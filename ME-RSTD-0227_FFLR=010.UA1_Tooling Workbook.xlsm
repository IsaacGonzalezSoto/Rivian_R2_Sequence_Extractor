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4.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99C9086-67A9-5B14-2C2D-5A8001700F7D}"/>
  <workbookPr updateLinks="never" codeName="ThisWorkbook" hidePivotFieldList="1"/>
  <mc:AlternateContent xmlns:mc="http://schemas.openxmlformats.org/markup-compatibility/2006">
    <mc:Choice Requires="x15">
      <x15ac:absPath xmlns:x15ac="http://schemas.microsoft.com/office/spreadsheetml/2010/11/ac" url="M:\BIW_Engineering\48_Rivian\MBRI-2401\025_3D\80_Document\11_Pneumatic Relevant\50% Design Approval\气路汇总\FFLR\夹具\"/>
    </mc:Choice>
  </mc:AlternateContent>
  <xr:revisionPtr revIDLastSave="0" documentId="13_ncr:1_{8FC20AD8-8145-4357-8676-DA8416763359}" xr6:coauthVersionLast="47" xr6:coauthVersionMax="47" xr10:uidLastSave="{00000000-0000-0000-0000-000000000000}"/>
  <workbookProtection workbookAlgorithmName="SHA-512" workbookHashValue="RnxpOHInRLndQC/5tRRk7K/1LTNVDg43SADlf18s/PAxsmYpKXm+KfWNKd8swlWFLZAPQgxMHDaG/baANsv4uw==" workbookSaltValue="1+JMmLEkp7WRfAX1Usq97w==" workbookSpinCount="100000" lockStructure="1"/>
  <bookViews>
    <workbookView xWindow="-120" yWindow="-120" windowWidth="29040" windowHeight="15840" tabRatio="887" activeTab="1" xr2:uid="{567BCD02-9673-FF4A-9A10-007EA103D3DD}"/>
  </bookViews>
  <sheets>
    <sheet name="Instructions" sheetId="7" r:id="rId1"/>
    <sheet name="Cover Page" sheetId="2" r:id="rId2"/>
    <sheet name="ISO View" sheetId="11" r:id="rId3"/>
    <sheet name="Cylinder Detail" sheetId="12" r:id="rId4"/>
    <sheet name="Sensor Detail" sheetId="13" r:id="rId5"/>
    <sheet name="Tooling Detail" sheetId="25" r:id="rId6"/>
    <sheet name="Sequence Detail" sheetId="24" r:id="rId7"/>
    <sheet name="Validation" sheetId="27" r:id="rId8"/>
    <sheet name="Template Version History" sheetId="9" r:id="rId9"/>
    <sheet name="EEC_Import" sheetId="15" state="hidden" r:id="rId10"/>
    <sheet name="Dropdown_Lists" sheetId="16" state="hidden" r:id="rId11"/>
  </sheets>
  <definedNames>
    <definedName name="Actor" localSheetId="6">'Sequence Detail'!$I1</definedName>
    <definedName name="ActorDescription" localSheetId="6">'Sequence Detail'!$N1</definedName>
    <definedName name="ActorName" localSheetId="6">'Sequence Detail'!$O1</definedName>
    <definedName name="ActorType" localSheetId="6">'Sequence Detail'!$H1</definedName>
    <definedName name="Auxiliar" localSheetId="6">'Sequence Detail'!$S1</definedName>
    <definedName name="CustomAction" localSheetId="6">'Sequence Detail'!$J1</definedName>
    <definedName name="CustomDuration" localSheetId="6">'Sequence Detail'!$K1</definedName>
    <definedName name="CylinderUnits">_xlfn.ANCHORARRAY(Dropdown_Lists!$U$2)</definedName>
    <definedName name="Date">'Cover Page'!$C$15</definedName>
    <definedName name="DepID" localSheetId="6">'Sequence Detail'!$R1</definedName>
    <definedName name="DepRow" localSheetId="6">MATCH('Sequence Detail'!DepID, Sequence[ID], 0)</definedName>
    <definedName name="DesignStatus">'Cover Page'!$C$14</definedName>
    <definedName name="Duration" localSheetId="6">'Sequence Detail'!$U1</definedName>
    <definedName name="End" localSheetId="6">'Sequence Detail'!$V1</definedName>
    <definedName name="ID" localSheetId="6">'Sequence Detail'!$E1</definedName>
    <definedName name="IndStart" localSheetId="6">'Sequence Detail'!$Q1</definedName>
    <definedName name="Integrator">'Cover Page'!$C$13</definedName>
    <definedName name="IntegratorResponsibleEngineer">'Cover Page'!$C$16</definedName>
    <definedName name="Line">'Cover Page'!$C$5</definedName>
    <definedName name="LineDescription">'Cover Page'!$C$6</definedName>
    <definedName name="ManifoldConnection">'Cover Page'!$C$18</definedName>
    <definedName name="MotionGroupActions">Dropdown_Lists!$N$2:$N$4</definedName>
    <definedName name="MotionGroups" comment="Grabs the list of all motion groups defined in the cylinder detail sheet">_xlfn.ANCHORARRAY(Dropdown_Lists!$M$2)</definedName>
    <definedName name="MotionGroupStatuses">Dropdown_Lists!$O$2:$O$4</definedName>
    <definedName name="Motor">Dropdown_Lists!$AA$2:$AA$11</definedName>
    <definedName name="Operators">Dropdown_Lists!$R$2:$R$11</definedName>
    <definedName name="_xlnm.Print_Area" localSheetId="1">'Cover Page'!$A$1:$L$55</definedName>
    <definedName name="_xlnm.Print_Area" localSheetId="3">'Cylinder Detail'!$E$3:$AC$84</definedName>
    <definedName name="_xlnm.Print_Area" localSheetId="10">Dropdown_Lists!$A$1:$AB$101</definedName>
    <definedName name="_xlnm.Print_Area" localSheetId="2">'ISO View'!$A$1:$F$34</definedName>
    <definedName name="_xlnm.Print_Area" localSheetId="4">'Sensor Detail'!$D$1:$M$42</definedName>
    <definedName name="_xlnm.Print_Area" localSheetId="6">'Sequence Detail'!$A$1:$W$2002</definedName>
    <definedName name="RivianResponsibleEngineer">'Cover Page'!$C$17</definedName>
    <definedName name="Robots">Dropdown_Lists!$S$2:$S$11</definedName>
    <definedName name="RowType" localSheetId="6">'Sequence Detail'!$G1</definedName>
    <definedName name="SensorGroups" comment="Grabs the list of all sensor groups defined in the sensor detail sheet">_xlfn.ANCHORARRAY(Dropdown_Lists!$P$2)</definedName>
    <definedName name="SensorGroupStatuses">Dropdown_Lists!$Q$2:$Q$3</definedName>
    <definedName name="SensorType" localSheetId="4">'Sensor Detail'!$K1</definedName>
    <definedName name="SensorUnits">_xlfn.ANCHORARRAY(Dropdown_Lists!$V$2)</definedName>
    <definedName name="Shop">'Cover Page'!$C$4</definedName>
    <definedName name="StandardAction" localSheetId="6">'Sequence Detail'!$L1</definedName>
    <definedName name="StandardDuration" localSheetId="6">'Sequence Detail'!$M1</definedName>
    <definedName name="Start" localSheetId="6">'Sequence Detail'!$T1</definedName>
    <definedName name="Station">'Cover Page'!$C$7</definedName>
    <definedName name="StationDescription">'Cover Page'!$C$8</definedName>
    <definedName name="Style" localSheetId="6">'Sequence Detail'!$F1</definedName>
    <definedName name="StyleDescriptions">_xlfn.ANCHORARRAY(Dropdown_Lists!$L$2)</definedName>
    <definedName name="System">'Cover Page'!$C$9</definedName>
    <definedName name="SystemDescription">'Cover Page'!$C$10</definedName>
    <definedName name="TargetCycleTime">'Cover Page'!#REF!</definedName>
    <definedName name="Tool">'Cover Page'!$C$11</definedName>
    <definedName name="ToolDescription">'Cover Page'!$C$12</definedName>
    <definedName name="ToolType">'Cover Page'!$C$19</definedName>
    <definedName name="ValveName" localSheetId="6">'Sequence Detail'!$P1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7" i="24" l="1"/>
  <c r="M37" i="24"/>
  <c r="U37" i="24" s="1"/>
  <c r="N37" i="24"/>
  <c r="O37" i="24"/>
  <c r="P37" i="24"/>
  <c r="S37" i="24"/>
  <c r="E38" i="24"/>
  <c r="M38" i="24"/>
  <c r="U38" i="24" s="1"/>
  <c r="N38" i="24"/>
  <c r="O38" i="24"/>
  <c r="P38" i="24"/>
  <c r="S38" i="24"/>
  <c r="E39" i="24"/>
  <c r="M39" i="24"/>
  <c r="U39" i="24" s="1"/>
  <c r="N39" i="24"/>
  <c r="O39" i="24"/>
  <c r="P39" i="24"/>
  <c r="S39" i="24"/>
  <c r="E40" i="24"/>
  <c r="M40" i="24"/>
  <c r="U40" i="24" s="1"/>
  <c r="N40" i="24"/>
  <c r="O40" i="24"/>
  <c r="P40" i="24"/>
  <c r="S40" i="24"/>
  <c r="E41" i="24"/>
  <c r="M41" i="24"/>
  <c r="U41" i="24" s="1"/>
  <c r="N41" i="24"/>
  <c r="O41" i="24"/>
  <c r="P41" i="24"/>
  <c r="S41" i="24"/>
  <c r="E42" i="24"/>
  <c r="M42" i="24"/>
  <c r="U42" i="24" s="1"/>
  <c r="N42" i="24"/>
  <c r="O42" i="24"/>
  <c r="P42" i="24"/>
  <c r="S42" i="24"/>
  <c r="E43" i="24"/>
  <c r="M43" i="24"/>
  <c r="U43" i="24" s="1"/>
  <c r="N43" i="24"/>
  <c r="O43" i="24"/>
  <c r="P43" i="24"/>
  <c r="S43" i="24"/>
  <c r="E56" i="24"/>
  <c r="S56" i="24" s="1"/>
  <c r="M56" i="24"/>
  <c r="U56" i="24" s="1"/>
  <c r="N56" i="24"/>
  <c r="E51" i="24"/>
  <c r="M51" i="24"/>
  <c r="U51" i="24" s="1"/>
  <c r="N51" i="24"/>
  <c r="O51" i="24"/>
  <c r="P51" i="24"/>
  <c r="S51" i="24"/>
  <c r="E47" i="24"/>
  <c r="M47" i="24"/>
  <c r="N47" i="24"/>
  <c r="O47" i="24"/>
  <c r="P47" i="24"/>
  <c r="S47" i="24"/>
  <c r="U47" i="24"/>
  <c r="E4"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36" i="24"/>
  <c r="E44" i="24"/>
  <c r="E45" i="24"/>
  <c r="E46" i="24"/>
  <c r="E48" i="24"/>
  <c r="E49" i="24"/>
  <c r="E50" i="24"/>
  <c r="E52" i="24"/>
  <c r="E53" i="24"/>
  <c r="E54" i="24"/>
  <c r="E55"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110" i="24"/>
  <c r="M60" i="24" l="1"/>
  <c r="U60" i="24" s="1"/>
  <c r="N60" i="24"/>
  <c r="S60" i="24"/>
  <c r="M76" i="24"/>
  <c r="U76" i="24" s="1"/>
  <c r="N76" i="24"/>
  <c r="O76" i="24"/>
  <c r="P76" i="24"/>
  <c r="S76" i="24"/>
  <c r="M75" i="24"/>
  <c r="N75" i="24"/>
  <c r="O75" i="24"/>
  <c r="P75" i="24"/>
  <c r="S75" i="24"/>
  <c r="U75" i="24"/>
  <c r="M74" i="24"/>
  <c r="U74" i="24" s="1"/>
  <c r="N74" i="24"/>
  <c r="O74" i="24"/>
  <c r="P74" i="24"/>
  <c r="S74" i="24"/>
  <c r="M65" i="24" l="1"/>
  <c r="U65" i="24" s="1"/>
  <c r="N65" i="24"/>
  <c r="S65" i="24"/>
  <c r="M61" i="24"/>
  <c r="U61" i="24" s="1"/>
  <c r="N61" i="24"/>
  <c r="S61" i="24"/>
  <c r="M57" i="24"/>
  <c r="U57" i="24" s="1"/>
  <c r="N57" i="24"/>
  <c r="S57" i="24"/>
  <c r="M52" i="24"/>
  <c r="U52" i="24" s="1"/>
  <c r="N52" i="24"/>
  <c r="O52" i="24"/>
  <c r="P52" i="24"/>
  <c r="S52" i="24"/>
  <c r="M48" i="24"/>
  <c r="U48" i="24" s="1"/>
  <c r="N48" i="24"/>
  <c r="P48" i="24"/>
  <c r="S48" i="24"/>
  <c r="M98" i="24"/>
  <c r="U98" i="24" s="1"/>
  <c r="M99" i="24"/>
  <c r="U99" i="24" s="1"/>
  <c r="M100" i="24"/>
  <c r="U100" i="24" s="1"/>
  <c r="M101" i="24"/>
  <c r="U101" i="24" s="1"/>
  <c r="M102" i="24"/>
  <c r="U102" i="24" s="1"/>
  <c r="M103" i="24"/>
  <c r="U103" i="24" s="1"/>
  <c r="M104" i="24"/>
  <c r="U104" i="24" s="1"/>
  <c r="M105" i="24"/>
  <c r="U105" i="24" s="1"/>
  <c r="M106" i="24"/>
  <c r="U106" i="24" s="1"/>
  <c r="M107" i="24"/>
  <c r="U107" i="24" s="1"/>
  <c r="M108" i="24"/>
  <c r="U108" i="24" s="1"/>
  <c r="M109" i="24"/>
  <c r="U109" i="24" s="1"/>
  <c r="M110" i="24"/>
  <c r="N98" i="24"/>
  <c r="N99" i="24"/>
  <c r="N100" i="24"/>
  <c r="N101" i="24"/>
  <c r="N102" i="24"/>
  <c r="N103" i="24"/>
  <c r="N104" i="24"/>
  <c r="N105" i="24"/>
  <c r="N106" i="24"/>
  <c r="N107" i="24"/>
  <c r="N108" i="24"/>
  <c r="N109" i="24"/>
  <c r="N110" i="24"/>
  <c r="O110" i="24"/>
  <c r="P110" i="24"/>
  <c r="S98" i="24"/>
  <c r="S99" i="24"/>
  <c r="S100" i="24"/>
  <c r="S101" i="24"/>
  <c r="S102" i="24"/>
  <c r="S103" i="24"/>
  <c r="S104" i="24"/>
  <c r="S105" i="24"/>
  <c r="S106" i="24"/>
  <c r="S107" i="24"/>
  <c r="S108" i="24"/>
  <c r="S109" i="24"/>
  <c r="S110" i="24"/>
  <c r="R110" i="24" s="1"/>
  <c r="T110" i="24"/>
  <c r="U110" i="24"/>
  <c r="V110" i="24" l="1"/>
  <c r="M64" i="24" l="1"/>
  <c r="U64" i="24" s="1"/>
  <c r="M66" i="24"/>
  <c r="U66" i="24" s="1"/>
  <c r="M67" i="24"/>
  <c r="U67" i="24" s="1"/>
  <c r="M68" i="24"/>
  <c r="U68" i="24" s="1"/>
  <c r="M69" i="24"/>
  <c r="U69" i="24" s="1"/>
  <c r="M70" i="24"/>
  <c r="U70" i="24" s="1"/>
  <c r="M71" i="24"/>
  <c r="U71" i="24" s="1"/>
  <c r="M72" i="24"/>
  <c r="U72" i="24" s="1"/>
  <c r="M73" i="24"/>
  <c r="U73" i="24" s="1"/>
  <c r="M77" i="24"/>
  <c r="U77" i="24" s="1"/>
  <c r="M78" i="24"/>
  <c r="U78" i="24" s="1"/>
  <c r="M79" i="24"/>
  <c r="U79" i="24" s="1"/>
  <c r="M80" i="24"/>
  <c r="U80" i="24" s="1"/>
  <c r="M81" i="24"/>
  <c r="U81" i="24" s="1"/>
  <c r="M82" i="24"/>
  <c r="U82" i="24" s="1"/>
  <c r="M83" i="24"/>
  <c r="U83" i="24" s="1"/>
  <c r="M84" i="24"/>
  <c r="U84" i="24" s="1"/>
  <c r="M85" i="24"/>
  <c r="U85" i="24" s="1"/>
  <c r="M86" i="24"/>
  <c r="U86" i="24" s="1"/>
  <c r="M87" i="24"/>
  <c r="U87" i="24" s="1"/>
  <c r="M88" i="24"/>
  <c r="U88" i="24" s="1"/>
  <c r="M89" i="24"/>
  <c r="U89" i="24" s="1"/>
  <c r="M90" i="24"/>
  <c r="U90" i="24" s="1"/>
  <c r="M91" i="24"/>
  <c r="U91" i="24" s="1"/>
  <c r="M92" i="24"/>
  <c r="U92" i="24" s="1"/>
  <c r="M93" i="24"/>
  <c r="U93" i="24" s="1"/>
  <c r="M94" i="24"/>
  <c r="U94" i="24" s="1"/>
  <c r="M95" i="24"/>
  <c r="U95" i="24" s="1"/>
  <c r="M96" i="24"/>
  <c r="U96" i="24" s="1"/>
  <c r="M97" i="24"/>
  <c r="U97" i="24" s="1"/>
  <c r="N64" i="24"/>
  <c r="N66" i="24"/>
  <c r="N67" i="24"/>
  <c r="N68" i="24"/>
  <c r="N69" i="24"/>
  <c r="N70" i="24"/>
  <c r="N71" i="24"/>
  <c r="N72" i="24"/>
  <c r="N73" i="24"/>
  <c r="N77" i="24"/>
  <c r="N78" i="24"/>
  <c r="N79" i="24"/>
  <c r="N80" i="24"/>
  <c r="N81" i="24"/>
  <c r="N82" i="24"/>
  <c r="N83" i="24"/>
  <c r="N84" i="24"/>
  <c r="N85" i="24"/>
  <c r="N86" i="24"/>
  <c r="N87" i="24"/>
  <c r="N88" i="24"/>
  <c r="N89" i="24"/>
  <c r="N90" i="24"/>
  <c r="N91" i="24"/>
  <c r="N92" i="24"/>
  <c r="N93" i="24"/>
  <c r="N94" i="24"/>
  <c r="N95" i="24"/>
  <c r="N96" i="24"/>
  <c r="N97" i="24"/>
  <c r="S64" i="24"/>
  <c r="S66" i="24"/>
  <c r="S67" i="24"/>
  <c r="S68" i="24"/>
  <c r="S69" i="24"/>
  <c r="S70" i="24"/>
  <c r="S71" i="24"/>
  <c r="S72" i="24"/>
  <c r="S73" i="24"/>
  <c r="S77" i="24"/>
  <c r="S78" i="24"/>
  <c r="S79" i="24"/>
  <c r="S80" i="24"/>
  <c r="S81" i="24"/>
  <c r="S82" i="24"/>
  <c r="S83" i="24"/>
  <c r="S84" i="24"/>
  <c r="S85" i="24"/>
  <c r="S86" i="24"/>
  <c r="S87" i="24"/>
  <c r="S88" i="24"/>
  <c r="S89" i="24"/>
  <c r="S90" i="24"/>
  <c r="S91" i="24"/>
  <c r="S92" i="24"/>
  <c r="S93" i="24"/>
  <c r="S94" i="24"/>
  <c r="S95" i="24"/>
  <c r="S96" i="24"/>
  <c r="S97" i="24"/>
  <c r="R66" i="24" l="1"/>
  <c r="R67" i="24" l="1"/>
  <c r="R68" i="24" l="1"/>
  <c r="R69" i="24" l="1"/>
  <c r="R70" i="24" s="1"/>
  <c r="R71" i="24" s="1"/>
  <c r="R72" i="24" s="1"/>
  <c r="R73" i="24" s="1"/>
  <c r="R74" i="24" l="1"/>
  <c r="R75" i="24" s="1"/>
  <c r="R76" i="24" s="1"/>
  <c r="R77" i="24" s="1"/>
  <c r="R78" i="24" s="1"/>
  <c r="R79" i="24" s="1"/>
  <c r="R80" i="24" s="1"/>
  <c r="R81" i="24" s="1"/>
  <c r="R82" i="24" s="1"/>
  <c r="R83" i="24" s="1"/>
  <c r="R84" i="24" s="1"/>
  <c r="R85" i="24" s="1"/>
  <c r="R86" i="24" l="1"/>
  <c r="R87" i="24" l="1"/>
  <c r="R88" i="24" l="1"/>
  <c r="R89" i="24" s="1"/>
  <c r="R90" i="24" s="1"/>
  <c r="R91" i="24" s="1"/>
  <c r="R92" i="24" s="1"/>
  <c r="R93" i="24" s="1"/>
  <c r="R94" i="24" s="1"/>
  <c r="R95" i="24" s="1"/>
  <c r="R96" i="24" s="1"/>
  <c r="R97" i="24" s="1"/>
  <c r="R98" i="24" s="1"/>
  <c r="R99" i="24" s="1"/>
  <c r="R100" i="24" s="1"/>
  <c r="R101" i="24" s="1"/>
  <c r="R102" i="24" s="1"/>
  <c r="R103" i="24" s="1"/>
  <c r="R104" i="24" s="1"/>
  <c r="R105" i="24" s="1"/>
  <c r="R106" i="24" s="1"/>
  <c r="R107" i="24" s="1"/>
  <c r="R108" i="24" s="1"/>
  <c r="R109" i="24" s="1"/>
  <c r="M62" i="24" l="1"/>
  <c r="U62" i="24" s="1"/>
  <c r="M63" i="24"/>
  <c r="U63" i="24" s="1"/>
  <c r="N62" i="24"/>
  <c r="N63" i="24"/>
  <c r="S62" i="24"/>
  <c r="S63" i="24"/>
  <c r="N13" i="27" l="1"/>
  <c r="F4" i="27" a="1"/>
  <c r="F4" i="27" s="1"/>
  <c r="M59" i="24"/>
  <c r="U59" i="24" s="1"/>
  <c r="N59" i="24"/>
  <c r="S59" i="24"/>
  <c r="M58" i="24"/>
  <c r="U58" i="24" s="1"/>
  <c r="N58" i="24"/>
  <c r="S58" i="24"/>
  <c r="M54" i="24"/>
  <c r="U54" i="24" s="1"/>
  <c r="M55" i="24"/>
  <c r="U55" i="24" s="1"/>
  <c r="N54" i="24"/>
  <c r="N55" i="24"/>
  <c r="S54" i="24"/>
  <c r="S55" i="24"/>
  <c r="S49" i="24"/>
  <c r="M44" i="24"/>
  <c r="U44" i="24" s="1"/>
  <c r="M45" i="24"/>
  <c r="U45" i="24" s="1"/>
  <c r="M46" i="24"/>
  <c r="U46" i="24" s="1"/>
  <c r="M49" i="24"/>
  <c r="U49" i="24" s="1"/>
  <c r="M50" i="24"/>
  <c r="U50" i="24" s="1"/>
  <c r="M53" i="24"/>
  <c r="U53" i="24" s="1"/>
  <c r="N44" i="24"/>
  <c r="N45" i="24"/>
  <c r="N46" i="24"/>
  <c r="N49" i="24"/>
  <c r="N50" i="24"/>
  <c r="N53" i="24"/>
  <c r="S44" i="24"/>
  <c r="S45" i="24"/>
  <c r="S46" i="24"/>
  <c r="S50" i="24"/>
  <c r="S53" i="24"/>
  <c r="S35" i="24"/>
  <c r="M31" i="24"/>
  <c r="U31" i="24" s="1"/>
  <c r="M32" i="24"/>
  <c r="U32" i="24" s="1"/>
  <c r="M33" i="24"/>
  <c r="U33" i="24" s="1"/>
  <c r="M34" i="24"/>
  <c r="U34" i="24" s="1"/>
  <c r="M35" i="24"/>
  <c r="U35" i="24" s="1"/>
  <c r="M36" i="24"/>
  <c r="U36" i="24" s="1"/>
  <c r="N31" i="24"/>
  <c r="N32" i="24"/>
  <c r="N33" i="24"/>
  <c r="N34" i="24"/>
  <c r="N35" i="24"/>
  <c r="N36" i="24"/>
  <c r="P33" i="24"/>
  <c r="P34" i="24"/>
  <c r="S31" i="24"/>
  <c r="S32" i="24"/>
  <c r="S33" i="24"/>
  <c r="S34" i="24"/>
  <c r="S36" i="24"/>
  <c r="M30" i="24"/>
  <c r="U30" i="24" s="1"/>
  <c r="N30" i="24"/>
  <c r="O30" i="24"/>
  <c r="P30" i="24"/>
  <c r="S30" i="24"/>
  <c r="S29" i="24"/>
  <c r="M29" i="24"/>
  <c r="U29" i="24" s="1"/>
  <c r="N29" i="24"/>
  <c r="O29" i="24"/>
  <c r="P29" i="24"/>
  <c r="S17" i="24"/>
  <c r="M17" i="24"/>
  <c r="U17" i="24" s="1"/>
  <c r="N17" i="24"/>
  <c r="S22" i="24"/>
  <c r="S25" i="24"/>
  <c r="S27" i="24"/>
  <c r="M22" i="24"/>
  <c r="U22" i="24" s="1"/>
  <c r="M23" i="24"/>
  <c r="U23" i="24" s="1"/>
  <c r="M24" i="24"/>
  <c r="U24" i="24" s="1"/>
  <c r="M25" i="24"/>
  <c r="U25" i="24" s="1"/>
  <c r="M26" i="24"/>
  <c r="U26" i="24" s="1"/>
  <c r="M27" i="24"/>
  <c r="U27" i="24" s="1"/>
  <c r="M28" i="24"/>
  <c r="U28" i="24" s="1"/>
  <c r="N22" i="24"/>
  <c r="N23" i="24"/>
  <c r="N24" i="24"/>
  <c r="N25" i="24"/>
  <c r="N26" i="24"/>
  <c r="N27" i="24"/>
  <c r="N28" i="24"/>
  <c r="S23" i="24"/>
  <c r="S24" i="24"/>
  <c r="S26" i="24"/>
  <c r="S28" i="24"/>
  <c r="M21" i="24"/>
  <c r="U21" i="24" s="1"/>
  <c r="N21" i="24"/>
  <c r="S21" i="24"/>
  <c r="M20" i="24"/>
  <c r="U20" i="24" s="1"/>
  <c r="N20" i="24"/>
  <c r="S20" i="24"/>
  <c r="M19" i="24"/>
  <c r="U19" i="24" s="1"/>
  <c r="N19" i="24"/>
  <c r="S19" i="24"/>
  <c r="M15" i="24"/>
  <c r="N15" i="24"/>
  <c r="S15" i="24"/>
  <c r="U15" i="24"/>
  <c r="M18" i="24"/>
  <c r="U18" i="24" s="1"/>
  <c r="N18" i="24"/>
  <c r="S18" i="24"/>
  <c r="M16" i="24"/>
  <c r="N16" i="24"/>
  <c r="S16" i="24"/>
  <c r="U16" i="24"/>
  <c r="M12" i="24"/>
  <c r="M13" i="24"/>
  <c r="M14" i="24"/>
  <c r="N12" i="24"/>
  <c r="N13" i="24"/>
  <c r="N14" i="24"/>
  <c r="S12" i="24"/>
  <c r="S13" i="24"/>
  <c r="S14" i="24"/>
  <c r="U12" i="24"/>
  <c r="U13" i="24"/>
  <c r="U14" i="24"/>
  <c r="M8" i="24"/>
  <c r="M9" i="24"/>
  <c r="U9" i="24" s="1"/>
  <c r="M10" i="24"/>
  <c r="M11" i="24"/>
  <c r="U11" i="24" s="1"/>
  <c r="N8" i="24"/>
  <c r="N9" i="24"/>
  <c r="N10" i="24"/>
  <c r="N11" i="24"/>
  <c r="S8" i="24"/>
  <c r="S9" i="24"/>
  <c r="S10" i="24"/>
  <c r="S11" i="24"/>
  <c r="U8" i="24"/>
  <c r="U10" i="24"/>
  <c r="M7" i="24"/>
  <c r="N7" i="24"/>
  <c r="S7" i="24"/>
  <c r="U7" i="24"/>
  <c r="M6" i="24"/>
  <c r="N6" i="24"/>
  <c r="S6" i="24"/>
  <c r="U6" i="24"/>
  <c r="M5" i="24"/>
  <c r="U5" i="24" s="1"/>
  <c r="N5" i="24"/>
  <c r="S5" i="24"/>
  <c r="E4" i="27" l="1" a="1"/>
  <c r="E4" i="27" s="1"/>
  <c r="N5" i="27" l="1"/>
  <c r="N6" i="27"/>
  <c r="N7" i="27"/>
  <c r="N8" i="27"/>
  <c r="N9" i="27"/>
  <c r="N10" i="27"/>
  <c r="N11" i="27"/>
  <c r="N12"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4" i="27"/>
  <c r="O3" i="27" a="1"/>
  <c r="O3" i="27" s="1"/>
  <c r="N3" i="27" a="1"/>
  <c r="N3" i="27" s="1"/>
  <c r="R3" i="27" a="1"/>
  <c r="R3" i="27" s="1"/>
  <c r="Q3" i="27" a="1"/>
  <c r="Q3" i="27" s="1"/>
  <c r="P3" i="27" a="1"/>
  <c r="P3" i="27" s="1"/>
  <c r="N2" i="27" a="1"/>
  <c r="N2" i="27" s="1"/>
  <c r="C19" i="27" l="1"/>
  <c r="C18" i="27"/>
  <c r="C17" i="27"/>
  <c r="C16" i="27"/>
  <c r="C15" i="27"/>
  <c r="C14" i="27"/>
  <c r="C13" i="27"/>
  <c r="C12" i="27"/>
  <c r="C11" i="27"/>
  <c r="C10" i="27"/>
  <c r="C9" i="27"/>
  <c r="C8" i="27"/>
  <c r="C7" i="27"/>
  <c r="C6" i="27"/>
  <c r="C5" i="27"/>
  <c r="C4" i="27"/>
  <c r="B3" i="27" a="1"/>
  <c r="B3" i="27" s="1"/>
  <c r="V4" i="24"/>
  <c r="T4" i="24"/>
  <c r="P4" i="24"/>
  <c r="S4" i="24"/>
  <c r="R4" i="24" l="1"/>
  <c r="R5" i="24" s="1"/>
  <c r="U4" i="24"/>
  <c r="T5" i="24" l="1"/>
  <c r="V5" i="24" s="1"/>
  <c r="R6" i="24"/>
  <c r="M4" i="24"/>
  <c r="N4" i="24"/>
  <c r="O4" i="24"/>
  <c r="T6" i="24" l="1"/>
  <c r="V6" i="24" s="1"/>
  <c r="R7" i="24"/>
  <c r="R8" i="24" s="1"/>
  <c r="P4" i="13"/>
  <c r="P5" i="13"/>
  <c r="P6" i="13"/>
  <c r="P7" i="13"/>
  <c r="P8" i="13"/>
  <c r="P9" i="13"/>
  <c r="O34" i="24" s="1"/>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AD9" i="12"/>
  <c r="AD10" i="12"/>
  <c r="O61" i="24" s="1"/>
  <c r="AD7" i="12"/>
  <c r="AD8" i="12"/>
  <c r="O60" i="24" s="1"/>
  <c r="AD6" i="12"/>
  <c r="AD4" i="12"/>
  <c r="O56" i="24" s="1"/>
  <c r="AD5" i="12"/>
  <c r="O57" i="24" s="1"/>
  <c r="AD11" i="12"/>
  <c r="O62" i="24" s="1"/>
  <c r="AD12" i="12"/>
  <c r="O63" i="24" s="1"/>
  <c r="AD13" i="12"/>
  <c r="AD14" i="12"/>
  <c r="AD15" i="12"/>
  <c r="O65" i="24" s="1"/>
  <c r="AD16" i="12"/>
  <c r="AD17" i="12"/>
  <c r="AD18" i="12"/>
  <c r="AD19" i="12"/>
  <c r="AD20" i="12"/>
  <c r="AD21" i="12"/>
  <c r="AD22" i="12"/>
  <c r="AD23" i="12"/>
  <c r="AD24" i="12"/>
  <c r="AD25" i="12"/>
  <c r="AD26" i="12"/>
  <c r="AD27" i="12"/>
  <c r="AD28" i="12"/>
  <c r="AD29" i="12"/>
  <c r="AD30" i="12"/>
  <c r="AD31" i="12"/>
  <c r="AD32" i="12"/>
  <c r="AD33" i="12"/>
  <c r="AD34" i="12"/>
  <c r="AD35" i="12"/>
  <c r="AD36" i="12"/>
  <c r="AD37" i="12"/>
  <c r="AD38" i="12"/>
  <c r="AD39" i="12"/>
  <c r="AD40" i="12"/>
  <c r="AD41" i="12"/>
  <c r="AD42" i="12"/>
  <c r="AD43" i="12"/>
  <c r="AD44" i="12"/>
  <c r="AD45" i="12"/>
  <c r="AD46" i="12"/>
  <c r="AD47" i="12"/>
  <c r="AD48" i="12"/>
  <c r="AD49" i="12"/>
  <c r="AD50" i="12"/>
  <c r="AD51" i="12"/>
  <c r="AD52" i="12"/>
  <c r="AD53" i="12"/>
  <c r="AD54" i="12"/>
  <c r="AD55" i="12"/>
  <c r="AD56" i="12"/>
  <c r="AD57" i="12"/>
  <c r="AD58" i="12"/>
  <c r="AD59" i="12"/>
  <c r="AD60" i="12"/>
  <c r="AD61" i="12"/>
  <c r="AD62" i="12"/>
  <c r="AD63" i="12"/>
  <c r="AD64" i="12"/>
  <c r="AD65" i="12"/>
  <c r="AD66" i="12"/>
  <c r="AD67" i="12"/>
  <c r="AD68" i="12"/>
  <c r="AD69" i="12"/>
  <c r="AD70" i="12"/>
  <c r="AD71" i="12"/>
  <c r="AD72" i="12"/>
  <c r="AD73" i="12"/>
  <c r="AD74" i="12"/>
  <c r="AD75" i="12"/>
  <c r="AD76" i="12"/>
  <c r="AD77" i="12"/>
  <c r="AD78" i="12"/>
  <c r="AD79" i="12"/>
  <c r="AD80" i="12"/>
  <c r="AD81" i="12"/>
  <c r="AD82" i="12"/>
  <c r="AD83" i="12"/>
  <c r="AD84" i="12"/>
  <c r="AD85" i="12"/>
  <c r="AD86" i="12"/>
  <c r="AD87" i="12"/>
  <c r="AD88" i="12"/>
  <c r="AD89" i="12"/>
  <c r="AD90" i="12"/>
  <c r="AD91" i="12"/>
  <c r="AD92" i="12"/>
  <c r="AD93" i="12"/>
  <c r="AD94" i="12"/>
  <c r="AD95" i="12"/>
  <c r="AD96" i="12"/>
  <c r="AD97" i="12"/>
  <c r="AD98" i="12"/>
  <c r="AD99" i="12"/>
  <c r="AD100" i="12"/>
  <c r="AD101" i="12"/>
  <c r="AD102" i="12"/>
  <c r="AD103" i="12"/>
  <c r="AC9" i="12"/>
  <c r="AC10" i="12"/>
  <c r="P61" i="24" s="1"/>
  <c r="AC7" i="12"/>
  <c r="AC8" i="12"/>
  <c r="P60" i="24" s="1"/>
  <c r="AC6" i="12"/>
  <c r="AC4" i="12"/>
  <c r="P56" i="24" s="1"/>
  <c r="AC5" i="12"/>
  <c r="P57" i="24" s="1"/>
  <c r="AC11" i="12"/>
  <c r="P62" i="24" s="1"/>
  <c r="AC12" i="12"/>
  <c r="P63" i="24" s="1"/>
  <c r="AC13" i="12"/>
  <c r="AC14" i="12"/>
  <c r="AC15" i="12"/>
  <c r="P65" i="24" s="1"/>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O48" i="24" l="1"/>
  <c r="O33" i="24"/>
  <c r="P106" i="24"/>
  <c r="O108" i="24"/>
  <c r="P109" i="24"/>
  <c r="P108" i="24"/>
  <c r="O93" i="24"/>
  <c r="P91" i="24"/>
  <c r="P93" i="24"/>
  <c r="P97" i="24"/>
  <c r="P105" i="24"/>
  <c r="O97" i="24"/>
  <c r="O105" i="24"/>
  <c r="P95" i="24"/>
  <c r="O109" i="24"/>
  <c r="O91" i="24"/>
  <c r="O95" i="24"/>
  <c r="P94" i="24"/>
  <c r="O94" i="24"/>
  <c r="P102" i="24"/>
  <c r="O102" i="24"/>
  <c r="P96" i="24"/>
  <c r="O96" i="24"/>
  <c r="P77" i="24"/>
  <c r="P89" i="24"/>
  <c r="O104" i="24"/>
  <c r="P100" i="24"/>
  <c r="O77" i="24"/>
  <c r="O89" i="24"/>
  <c r="O103" i="24"/>
  <c r="O73" i="24"/>
  <c r="P107" i="24"/>
  <c r="P21" i="24"/>
  <c r="P81" i="24"/>
  <c r="P90" i="24"/>
  <c r="O99" i="24"/>
  <c r="O70" i="24"/>
  <c r="O80" i="24"/>
  <c r="O101" i="24"/>
  <c r="O100" i="24"/>
  <c r="O107" i="24"/>
  <c r="O21" i="24"/>
  <c r="O81" i="24"/>
  <c r="O90" i="24"/>
  <c r="P104" i="24"/>
  <c r="O32" i="24"/>
  <c r="O106" i="24"/>
  <c r="P99" i="24"/>
  <c r="P70" i="24"/>
  <c r="P80" i="24"/>
  <c r="P101" i="24"/>
  <c r="P103" i="24"/>
  <c r="P73" i="24"/>
  <c r="P98" i="24"/>
  <c r="P92" i="24"/>
  <c r="O98" i="24"/>
  <c r="O92" i="24"/>
  <c r="P88" i="24"/>
  <c r="P20" i="24"/>
  <c r="O84" i="24"/>
  <c r="O66" i="24"/>
  <c r="O16" i="24"/>
  <c r="O72" i="24"/>
  <c r="O78" i="24"/>
  <c r="O53" i="24"/>
  <c r="O88" i="24"/>
  <c r="O67" i="24"/>
  <c r="O85" i="24"/>
  <c r="O17" i="24"/>
  <c r="P84" i="24"/>
  <c r="P66" i="24"/>
  <c r="P16" i="24"/>
  <c r="P69" i="24"/>
  <c r="P87" i="24"/>
  <c r="P19" i="24"/>
  <c r="P82" i="24"/>
  <c r="P59" i="24"/>
  <c r="O87" i="24"/>
  <c r="O69" i="24"/>
  <c r="O82" i="24"/>
  <c r="O59" i="24"/>
  <c r="P85" i="24"/>
  <c r="P67" i="24"/>
  <c r="P17" i="24"/>
  <c r="P72" i="24"/>
  <c r="P14" i="24"/>
  <c r="P78" i="24"/>
  <c r="P53" i="24"/>
  <c r="P68" i="24"/>
  <c r="P86" i="24"/>
  <c r="P18" i="24"/>
  <c r="P83" i="24"/>
  <c r="P15" i="24"/>
  <c r="P71" i="24"/>
  <c r="P64" i="24"/>
  <c r="P13" i="24"/>
  <c r="P79" i="24"/>
  <c r="P54" i="24"/>
  <c r="O68" i="24"/>
  <c r="O86" i="24"/>
  <c r="O18" i="24"/>
  <c r="O83" i="24"/>
  <c r="O15" i="24"/>
  <c r="O64" i="24"/>
  <c r="O71" i="24"/>
  <c r="O31" i="24"/>
  <c r="O79" i="24"/>
  <c r="O54" i="24"/>
  <c r="O14" i="24"/>
  <c r="P32" i="24"/>
  <c r="P12" i="24"/>
  <c r="P58" i="24"/>
  <c r="P55" i="24"/>
  <c r="P31" i="24"/>
  <c r="O19" i="24"/>
  <c r="O12" i="24"/>
  <c r="O55" i="24"/>
  <c r="O20" i="24"/>
  <c r="O13" i="24"/>
  <c r="O58" i="24"/>
  <c r="P5" i="24"/>
  <c r="P22" i="24"/>
  <c r="P35" i="24"/>
  <c r="O50" i="24"/>
  <c r="O11" i="24"/>
  <c r="O28" i="24"/>
  <c r="P44" i="24"/>
  <c r="P7" i="24"/>
  <c r="P24" i="24"/>
  <c r="O10" i="24"/>
  <c r="O27" i="24"/>
  <c r="O49" i="24"/>
  <c r="P28" i="24"/>
  <c r="P50" i="24"/>
  <c r="P11" i="24"/>
  <c r="O35" i="24"/>
  <c r="O22" i="24"/>
  <c r="O5" i="24"/>
  <c r="O36" i="24"/>
  <c r="O6" i="24"/>
  <c r="O23" i="24"/>
  <c r="P27" i="24"/>
  <c r="P49" i="24"/>
  <c r="P10" i="24"/>
  <c r="O7" i="24"/>
  <c r="O44" i="24"/>
  <c r="O24" i="24"/>
  <c r="O26" i="24"/>
  <c r="O9" i="24"/>
  <c r="O46" i="24"/>
  <c r="P46" i="24"/>
  <c r="P9" i="24"/>
  <c r="P26" i="24"/>
  <c r="P45" i="24"/>
  <c r="P25" i="24"/>
  <c r="P8" i="24"/>
  <c r="P36" i="24"/>
  <c r="P23" i="24"/>
  <c r="P6" i="24"/>
  <c r="O25" i="24"/>
  <c r="O45" i="24"/>
  <c r="O8" i="24"/>
  <c r="R9" i="24"/>
  <c r="T7" i="24"/>
  <c r="V7" i="24" s="1"/>
  <c r="T8" i="24" s="1"/>
  <c r="V8" i="24" s="1"/>
  <c r="AF3" i="15"/>
  <c r="AF4" i="15"/>
  <c r="AF5" i="15"/>
  <c r="AF6" i="15"/>
  <c r="AF7" i="15"/>
  <c r="AF8" i="15"/>
  <c r="AF9" i="15"/>
  <c r="AF10" i="15"/>
  <c r="AF11" i="15"/>
  <c r="AF12" i="15"/>
  <c r="AF13" i="15"/>
  <c r="AF14" i="15"/>
  <c r="AF15" i="15"/>
  <c r="AF16" i="15"/>
  <c r="AF17" i="15"/>
  <c r="AF18" i="15"/>
  <c r="AF19" i="15"/>
  <c r="AF20" i="15"/>
  <c r="AF21" i="15"/>
  <c r="AF22" i="15"/>
  <c r="AF23" i="15"/>
  <c r="AF24" i="15"/>
  <c r="AF25" i="15"/>
  <c r="AF26" i="15"/>
  <c r="AF27" i="15"/>
  <c r="C19" i="25"/>
  <c r="C18" i="25"/>
  <c r="C17" i="25"/>
  <c r="C16" i="25"/>
  <c r="C15" i="25"/>
  <c r="C14" i="25"/>
  <c r="C13" i="25"/>
  <c r="C12" i="25"/>
  <c r="C11" i="25"/>
  <c r="C10" i="25"/>
  <c r="C9" i="25"/>
  <c r="C8" i="25"/>
  <c r="C7" i="25"/>
  <c r="C6" i="25"/>
  <c r="C5" i="25"/>
  <c r="C4" i="25"/>
  <c r="B3" i="25" a="1"/>
  <c r="B3" i="25" s="1"/>
  <c r="K3" i="15"/>
  <c r="A3" i="15" s="1"/>
  <c r="L3" i="15"/>
  <c r="N3" i="15"/>
  <c r="O3" i="15"/>
  <c r="P3" i="15"/>
  <c r="Q3" i="15"/>
  <c r="R3" i="15"/>
  <c r="S3" i="15"/>
  <c r="T3" i="15"/>
  <c r="U3" i="15"/>
  <c r="V3" i="15"/>
  <c r="W3" i="15"/>
  <c r="X3" i="15" s="1"/>
  <c r="Y3" i="15"/>
  <c r="Z3" i="15"/>
  <c r="AA3" i="15"/>
  <c r="AB3" i="15"/>
  <c r="AC3" i="15"/>
  <c r="AD3" i="15"/>
  <c r="AE3" i="15"/>
  <c r="AG3" i="15"/>
  <c r="AH3" i="15"/>
  <c r="AI3" i="15" s="1"/>
  <c r="AJ3" i="15"/>
  <c r="AK3" i="15"/>
  <c r="AL3" i="15"/>
  <c r="AM3" i="15"/>
  <c r="AN3" i="15"/>
  <c r="AO3" i="15"/>
  <c r="K4" i="15"/>
  <c r="L4" i="15"/>
  <c r="N4" i="15"/>
  <c r="O4" i="15"/>
  <c r="P4" i="15"/>
  <c r="Q4" i="15"/>
  <c r="R4" i="15"/>
  <c r="S4" i="15"/>
  <c r="T4" i="15"/>
  <c r="U4" i="15"/>
  <c r="V4" i="15"/>
  <c r="W4" i="15"/>
  <c r="X4" i="15" s="1"/>
  <c r="Y4" i="15"/>
  <c r="Z4" i="15"/>
  <c r="AA4" i="15"/>
  <c r="AB4" i="15"/>
  <c r="AC4" i="15"/>
  <c r="AD4" i="15"/>
  <c r="AE4" i="15"/>
  <c r="AG4" i="15"/>
  <c r="AH4" i="15"/>
  <c r="AI4" i="15" s="1"/>
  <c r="AJ4" i="15"/>
  <c r="AK4" i="15"/>
  <c r="AL4" i="15"/>
  <c r="AM4" i="15"/>
  <c r="AN4" i="15"/>
  <c r="AO4" i="15"/>
  <c r="K5" i="15"/>
  <c r="B5" i="15" s="1"/>
  <c r="L5" i="15"/>
  <c r="N5" i="15"/>
  <c r="O5" i="15"/>
  <c r="P5" i="15"/>
  <c r="Q5" i="15"/>
  <c r="R5" i="15"/>
  <c r="S5" i="15"/>
  <c r="T5" i="15"/>
  <c r="U5" i="15"/>
  <c r="V5" i="15"/>
  <c r="W5" i="15"/>
  <c r="X5" i="15" s="1"/>
  <c r="Y5" i="15"/>
  <c r="Z5" i="15"/>
  <c r="AA5" i="15"/>
  <c r="AB5" i="15"/>
  <c r="AC5" i="15"/>
  <c r="AD5" i="15"/>
  <c r="AE5" i="15"/>
  <c r="AG5" i="15"/>
  <c r="AH5" i="15"/>
  <c r="AI5" i="15" s="1"/>
  <c r="AJ5" i="15"/>
  <c r="AK5" i="15"/>
  <c r="AL5" i="15"/>
  <c r="AM5" i="15"/>
  <c r="AN5" i="15"/>
  <c r="AO5" i="15"/>
  <c r="K6" i="15"/>
  <c r="D6" i="15" s="1"/>
  <c r="L6" i="15"/>
  <c r="N6" i="15"/>
  <c r="O6" i="15"/>
  <c r="P6" i="15"/>
  <c r="Q6" i="15"/>
  <c r="R6" i="15"/>
  <c r="S6" i="15"/>
  <c r="T6" i="15"/>
  <c r="U6" i="15"/>
  <c r="V6" i="15"/>
  <c r="W6" i="15"/>
  <c r="X6" i="15" s="1"/>
  <c r="Y6" i="15"/>
  <c r="Z6" i="15"/>
  <c r="AA6" i="15"/>
  <c r="AB6" i="15"/>
  <c r="AC6" i="15"/>
  <c r="AD6" i="15"/>
  <c r="AE6" i="15"/>
  <c r="AG6" i="15"/>
  <c r="AH6" i="15"/>
  <c r="AI6" i="15" s="1"/>
  <c r="AJ6" i="15"/>
  <c r="AK6" i="15"/>
  <c r="AL6" i="15"/>
  <c r="AM6" i="15"/>
  <c r="AN6" i="15"/>
  <c r="AO6" i="15"/>
  <c r="K7" i="15"/>
  <c r="L7" i="15"/>
  <c r="N7" i="15"/>
  <c r="O7" i="15"/>
  <c r="P7" i="15"/>
  <c r="Q7" i="15"/>
  <c r="R7" i="15"/>
  <c r="S7" i="15"/>
  <c r="T7" i="15"/>
  <c r="U7" i="15"/>
  <c r="V7" i="15"/>
  <c r="W7" i="15"/>
  <c r="X7" i="15" s="1"/>
  <c r="Y7" i="15"/>
  <c r="Z7" i="15"/>
  <c r="AA7" i="15"/>
  <c r="AB7" i="15"/>
  <c r="AC7" i="15"/>
  <c r="AD7" i="15"/>
  <c r="AE7" i="15"/>
  <c r="AG7" i="15"/>
  <c r="AH7" i="15"/>
  <c r="AI7" i="15" s="1"/>
  <c r="AJ7" i="15"/>
  <c r="AK7" i="15"/>
  <c r="AL7" i="15"/>
  <c r="AM7" i="15"/>
  <c r="AN7" i="15"/>
  <c r="AO7" i="15"/>
  <c r="K8" i="15"/>
  <c r="B8" i="15" s="1"/>
  <c r="L8" i="15"/>
  <c r="N8" i="15"/>
  <c r="O8" i="15"/>
  <c r="P8" i="15"/>
  <c r="Q8" i="15"/>
  <c r="R8" i="15"/>
  <c r="S8" i="15"/>
  <c r="T8" i="15"/>
  <c r="U8" i="15"/>
  <c r="V8" i="15"/>
  <c r="W8" i="15"/>
  <c r="X8" i="15" s="1"/>
  <c r="Y8" i="15"/>
  <c r="Z8" i="15"/>
  <c r="AA8" i="15"/>
  <c r="AB8" i="15"/>
  <c r="AC8" i="15"/>
  <c r="AD8" i="15"/>
  <c r="AE8" i="15"/>
  <c r="AG8" i="15"/>
  <c r="AH8" i="15"/>
  <c r="AI8" i="15" s="1"/>
  <c r="AJ8" i="15"/>
  <c r="AK8" i="15"/>
  <c r="AL8" i="15"/>
  <c r="AM8" i="15"/>
  <c r="AN8" i="15"/>
  <c r="AO8" i="15"/>
  <c r="K9" i="15"/>
  <c r="E9" i="15" s="1"/>
  <c r="L9" i="15"/>
  <c r="N9" i="15"/>
  <c r="O9" i="15"/>
  <c r="P9" i="15"/>
  <c r="Q9" i="15"/>
  <c r="R9" i="15"/>
  <c r="S9" i="15"/>
  <c r="T9" i="15"/>
  <c r="U9" i="15"/>
  <c r="V9" i="15"/>
  <c r="W9" i="15"/>
  <c r="X9" i="15" s="1"/>
  <c r="Y9" i="15"/>
  <c r="Z9" i="15"/>
  <c r="AA9" i="15"/>
  <c r="AB9" i="15"/>
  <c r="AC9" i="15"/>
  <c r="AD9" i="15"/>
  <c r="AE9" i="15"/>
  <c r="AG9" i="15"/>
  <c r="AH9" i="15"/>
  <c r="AI9" i="15" s="1"/>
  <c r="AJ9" i="15"/>
  <c r="AK9" i="15"/>
  <c r="AL9" i="15"/>
  <c r="AM9" i="15"/>
  <c r="AN9" i="15"/>
  <c r="AO9" i="15"/>
  <c r="K10" i="15"/>
  <c r="L10" i="15"/>
  <c r="N10" i="15"/>
  <c r="O10" i="15"/>
  <c r="P10" i="15"/>
  <c r="Q10" i="15"/>
  <c r="R10" i="15"/>
  <c r="S10" i="15"/>
  <c r="T10" i="15"/>
  <c r="U10" i="15"/>
  <c r="V10" i="15"/>
  <c r="W10" i="15"/>
  <c r="X10" i="15" s="1"/>
  <c r="Y10" i="15"/>
  <c r="Z10" i="15"/>
  <c r="AA10" i="15"/>
  <c r="AB10" i="15"/>
  <c r="AC10" i="15"/>
  <c r="AD10" i="15"/>
  <c r="AE10" i="15"/>
  <c r="AG10" i="15"/>
  <c r="AH10" i="15"/>
  <c r="AI10" i="15" s="1"/>
  <c r="AJ10" i="15"/>
  <c r="AK10" i="15"/>
  <c r="AL10" i="15"/>
  <c r="AM10" i="15"/>
  <c r="AN10" i="15"/>
  <c r="AO10" i="15"/>
  <c r="K11" i="15"/>
  <c r="L11" i="15"/>
  <c r="N11" i="15"/>
  <c r="O11" i="15"/>
  <c r="P11" i="15"/>
  <c r="Q11" i="15"/>
  <c r="R11" i="15"/>
  <c r="S11" i="15"/>
  <c r="T11" i="15"/>
  <c r="U11" i="15"/>
  <c r="V11" i="15"/>
  <c r="W11" i="15"/>
  <c r="X11" i="15" s="1"/>
  <c r="Y11" i="15"/>
  <c r="Z11" i="15"/>
  <c r="AA11" i="15"/>
  <c r="AB11" i="15"/>
  <c r="AC11" i="15"/>
  <c r="AD11" i="15"/>
  <c r="AE11" i="15"/>
  <c r="AG11" i="15"/>
  <c r="AH11" i="15"/>
  <c r="AI11" i="15" s="1"/>
  <c r="AJ11" i="15"/>
  <c r="AK11" i="15"/>
  <c r="AL11" i="15"/>
  <c r="AM11" i="15"/>
  <c r="AN11" i="15"/>
  <c r="AO11" i="15"/>
  <c r="K12" i="15"/>
  <c r="L12" i="15"/>
  <c r="N12" i="15"/>
  <c r="O12" i="15"/>
  <c r="P12" i="15"/>
  <c r="Q12" i="15"/>
  <c r="R12" i="15"/>
  <c r="S12" i="15"/>
  <c r="T12" i="15"/>
  <c r="U12" i="15"/>
  <c r="V12" i="15"/>
  <c r="W12" i="15"/>
  <c r="X12" i="15" s="1"/>
  <c r="Y12" i="15"/>
  <c r="Z12" i="15"/>
  <c r="AA12" i="15"/>
  <c r="AB12" i="15"/>
  <c r="AC12" i="15"/>
  <c r="AD12" i="15"/>
  <c r="AE12" i="15"/>
  <c r="AG12" i="15"/>
  <c r="AH12" i="15"/>
  <c r="AI12" i="15" s="1"/>
  <c r="AJ12" i="15"/>
  <c r="AK12" i="15"/>
  <c r="AL12" i="15"/>
  <c r="AM12" i="15"/>
  <c r="AN12" i="15"/>
  <c r="AO12" i="15"/>
  <c r="K13" i="15"/>
  <c r="L13" i="15"/>
  <c r="N13" i="15"/>
  <c r="O13" i="15"/>
  <c r="P13" i="15"/>
  <c r="Q13" i="15"/>
  <c r="R13" i="15"/>
  <c r="S13" i="15"/>
  <c r="T13" i="15"/>
  <c r="U13" i="15"/>
  <c r="V13" i="15"/>
  <c r="W13" i="15"/>
  <c r="X13" i="15" s="1"/>
  <c r="Y13" i="15"/>
  <c r="Z13" i="15"/>
  <c r="AA13" i="15"/>
  <c r="AB13" i="15"/>
  <c r="AC13" i="15"/>
  <c r="AD13" i="15"/>
  <c r="AE13" i="15"/>
  <c r="AG13" i="15"/>
  <c r="AH13" i="15"/>
  <c r="AI13" i="15" s="1"/>
  <c r="AJ13" i="15"/>
  <c r="AK13" i="15"/>
  <c r="AL13" i="15"/>
  <c r="AM13" i="15"/>
  <c r="AN13" i="15"/>
  <c r="AO13" i="15"/>
  <c r="K14" i="15"/>
  <c r="H14" i="15" s="1"/>
  <c r="L14" i="15"/>
  <c r="N14" i="15"/>
  <c r="O14" i="15"/>
  <c r="P14" i="15"/>
  <c r="Q14" i="15"/>
  <c r="R14" i="15"/>
  <c r="S14" i="15"/>
  <c r="T14" i="15"/>
  <c r="U14" i="15"/>
  <c r="V14" i="15"/>
  <c r="W14" i="15"/>
  <c r="X14" i="15" s="1"/>
  <c r="Y14" i="15"/>
  <c r="Z14" i="15"/>
  <c r="AA14" i="15"/>
  <c r="AB14" i="15"/>
  <c r="AC14" i="15"/>
  <c r="AD14" i="15"/>
  <c r="AE14" i="15"/>
  <c r="AG14" i="15"/>
  <c r="AH14" i="15"/>
  <c r="AI14" i="15" s="1"/>
  <c r="AJ14" i="15"/>
  <c r="AK14" i="15"/>
  <c r="AL14" i="15"/>
  <c r="AM14" i="15"/>
  <c r="AN14" i="15"/>
  <c r="AO14" i="15"/>
  <c r="K15" i="15"/>
  <c r="A15" i="15" s="1"/>
  <c r="L15" i="15"/>
  <c r="N15" i="15"/>
  <c r="O15" i="15"/>
  <c r="P15" i="15"/>
  <c r="Q15" i="15"/>
  <c r="R15" i="15"/>
  <c r="S15" i="15"/>
  <c r="T15" i="15"/>
  <c r="U15" i="15"/>
  <c r="V15" i="15"/>
  <c r="W15" i="15"/>
  <c r="X15" i="15" s="1"/>
  <c r="Y15" i="15"/>
  <c r="Z15" i="15"/>
  <c r="AA15" i="15"/>
  <c r="AB15" i="15"/>
  <c r="AC15" i="15"/>
  <c r="AD15" i="15"/>
  <c r="AE15" i="15"/>
  <c r="AG15" i="15"/>
  <c r="AH15" i="15"/>
  <c r="AI15" i="15" s="1"/>
  <c r="AJ15" i="15"/>
  <c r="AK15" i="15"/>
  <c r="AL15" i="15"/>
  <c r="AM15" i="15"/>
  <c r="AN15" i="15"/>
  <c r="AO15" i="15"/>
  <c r="K16" i="15"/>
  <c r="F16" i="15" s="1"/>
  <c r="L16" i="15"/>
  <c r="N16" i="15"/>
  <c r="O16" i="15"/>
  <c r="P16" i="15"/>
  <c r="Q16" i="15"/>
  <c r="R16" i="15"/>
  <c r="S16" i="15"/>
  <c r="T16" i="15"/>
  <c r="U16" i="15"/>
  <c r="V16" i="15"/>
  <c r="W16" i="15"/>
  <c r="X16" i="15" s="1"/>
  <c r="Y16" i="15"/>
  <c r="Z16" i="15"/>
  <c r="AA16" i="15"/>
  <c r="AB16" i="15"/>
  <c r="AC16" i="15"/>
  <c r="AD16" i="15"/>
  <c r="AE16" i="15"/>
  <c r="AG16" i="15"/>
  <c r="AH16" i="15"/>
  <c r="AI16" i="15" s="1"/>
  <c r="AJ16" i="15"/>
  <c r="AK16" i="15"/>
  <c r="AL16" i="15"/>
  <c r="AM16" i="15"/>
  <c r="AN16" i="15"/>
  <c r="AO16" i="15"/>
  <c r="K17" i="15"/>
  <c r="E17" i="15" s="1"/>
  <c r="L17" i="15"/>
  <c r="N17" i="15"/>
  <c r="O17" i="15"/>
  <c r="P17" i="15"/>
  <c r="Q17" i="15"/>
  <c r="R17" i="15"/>
  <c r="S17" i="15"/>
  <c r="T17" i="15"/>
  <c r="U17" i="15"/>
  <c r="V17" i="15"/>
  <c r="W17" i="15"/>
  <c r="X17" i="15" s="1"/>
  <c r="Y17" i="15"/>
  <c r="Z17" i="15"/>
  <c r="AA17" i="15"/>
  <c r="AB17" i="15"/>
  <c r="AC17" i="15"/>
  <c r="AD17" i="15"/>
  <c r="AE17" i="15"/>
  <c r="AG17" i="15"/>
  <c r="AH17" i="15"/>
  <c r="AI17" i="15" s="1"/>
  <c r="AJ17" i="15"/>
  <c r="AK17" i="15"/>
  <c r="AL17" i="15"/>
  <c r="AM17" i="15"/>
  <c r="AN17" i="15"/>
  <c r="AO17" i="15"/>
  <c r="K18" i="15"/>
  <c r="L18" i="15"/>
  <c r="N18" i="15"/>
  <c r="O18" i="15"/>
  <c r="P18" i="15"/>
  <c r="Q18" i="15"/>
  <c r="R18" i="15"/>
  <c r="S18" i="15"/>
  <c r="T18" i="15"/>
  <c r="U18" i="15"/>
  <c r="V18" i="15"/>
  <c r="W18" i="15"/>
  <c r="X18" i="15" s="1"/>
  <c r="Y18" i="15"/>
  <c r="Z18" i="15"/>
  <c r="AA18" i="15"/>
  <c r="AB18" i="15"/>
  <c r="AC18" i="15"/>
  <c r="AD18" i="15"/>
  <c r="AE18" i="15"/>
  <c r="AG18" i="15"/>
  <c r="AH18" i="15"/>
  <c r="AI18" i="15" s="1"/>
  <c r="AJ18" i="15"/>
  <c r="AK18" i="15"/>
  <c r="AL18" i="15"/>
  <c r="AM18" i="15"/>
  <c r="AN18" i="15"/>
  <c r="AO18" i="15"/>
  <c r="K19" i="15"/>
  <c r="I19" i="15" s="1"/>
  <c r="L19" i="15"/>
  <c r="N19" i="15"/>
  <c r="O19" i="15"/>
  <c r="P19" i="15"/>
  <c r="Q19" i="15"/>
  <c r="R19" i="15"/>
  <c r="S19" i="15"/>
  <c r="T19" i="15"/>
  <c r="U19" i="15"/>
  <c r="V19" i="15"/>
  <c r="W19" i="15"/>
  <c r="X19" i="15" s="1"/>
  <c r="Y19" i="15"/>
  <c r="Z19" i="15"/>
  <c r="AA19" i="15"/>
  <c r="AB19" i="15"/>
  <c r="AC19" i="15"/>
  <c r="AD19" i="15"/>
  <c r="AE19" i="15"/>
  <c r="AG19" i="15"/>
  <c r="AH19" i="15"/>
  <c r="AI19" i="15" s="1"/>
  <c r="AJ19" i="15"/>
  <c r="AK19" i="15"/>
  <c r="AL19" i="15"/>
  <c r="AM19" i="15"/>
  <c r="AN19" i="15"/>
  <c r="AO19" i="15"/>
  <c r="K20" i="15"/>
  <c r="B20" i="15" s="1"/>
  <c r="L20" i="15"/>
  <c r="N20" i="15"/>
  <c r="O20" i="15"/>
  <c r="P20" i="15"/>
  <c r="Q20" i="15"/>
  <c r="R20" i="15"/>
  <c r="S20" i="15"/>
  <c r="T20" i="15"/>
  <c r="U20" i="15"/>
  <c r="V20" i="15"/>
  <c r="W20" i="15"/>
  <c r="X20" i="15" s="1"/>
  <c r="Y20" i="15"/>
  <c r="Z20" i="15"/>
  <c r="AA20" i="15"/>
  <c r="AB20" i="15"/>
  <c r="AC20" i="15"/>
  <c r="AD20" i="15"/>
  <c r="AE20" i="15"/>
  <c r="AG20" i="15"/>
  <c r="AH20" i="15"/>
  <c r="AI20" i="15" s="1"/>
  <c r="AJ20" i="15"/>
  <c r="AK20" i="15"/>
  <c r="AL20" i="15"/>
  <c r="AM20" i="15"/>
  <c r="AN20" i="15"/>
  <c r="AO20" i="15"/>
  <c r="K21" i="15"/>
  <c r="G21" i="15" s="1"/>
  <c r="L21" i="15"/>
  <c r="N21" i="15"/>
  <c r="O21" i="15"/>
  <c r="P21" i="15"/>
  <c r="Q21" i="15"/>
  <c r="R21" i="15"/>
  <c r="S21" i="15"/>
  <c r="T21" i="15"/>
  <c r="U21" i="15"/>
  <c r="V21" i="15"/>
  <c r="W21" i="15"/>
  <c r="X21" i="15" s="1"/>
  <c r="Y21" i="15"/>
  <c r="Z21" i="15"/>
  <c r="AA21" i="15"/>
  <c r="AB21" i="15"/>
  <c r="AC21" i="15"/>
  <c r="AD21" i="15"/>
  <c r="AE21" i="15"/>
  <c r="AG21" i="15"/>
  <c r="AH21" i="15"/>
  <c r="AI21" i="15" s="1"/>
  <c r="AJ21" i="15"/>
  <c r="AK21" i="15"/>
  <c r="AL21" i="15"/>
  <c r="AM21" i="15"/>
  <c r="AN21" i="15"/>
  <c r="AO21" i="15"/>
  <c r="K22" i="15"/>
  <c r="L22" i="15"/>
  <c r="N22" i="15"/>
  <c r="O22" i="15"/>
  <c r="P22" i="15"/>
  <c r="Q22" i="15"/>
  <c r="R22" i="15"/>
  <c r="S22" i="15"/>
  <c r="T22" i="15"/>
  <c r="U22" i="15"/>
  <c r="V22" i="15"/>
  <c r="W22" i="15"/>
  <c r="X22" i="15" s="1"/>
  <c r="Y22" i="15"/>
  <c r="Z22" i="15"/>
  <c r="AA22" i="15"/>
  <c r="AB22" i="15"/>
  <c r="AC22" i="15"/>
  <c r="AD22" i="15"/>
  <c r="AE22" i="15"/>
  <c r="AG22" i="15"/>
  <c r="AH22" i="15"/>
  <c r="AI22" i="15" s="1"/>
  <c r="AJ22" i="15"/>
  <c r="AK22" i="15"/>
  <c r="AL22" i="15"/>
  <c r="AM22" i="15"/>
  <c r="AN22" i="15"/>
  <c r="AO22" i="15"/>
  <c r="K23" i="15"/>
  <c r="E23" i="15" s="1"/>
  <c r="L23" i="15"/>
  <c r="N23" i="15"/>
  <c r="O23" i="15"/>
  <c r="P23" i="15"/>
  <c r="Q23" i="15"/>
  <c r="R23" i="15"/>
  <c r="S23" i="15"/>
  <c r="T23" i="15"/>
  <c r="U23" i="15"/>
  <c r="V23" i="15"/>
  <c r="W23" i="15"/>
  <c r="X23" i="15" s="1"/>
  <c r="Y23" i="15"/>
  <c r="Z23" i="15"/>
  <c r="AA23" i="15"/>
  <c r="AB23" i="15"/>
  <c r="AC23" i="15"/>
  <c r="AD23" i="15"/>
  <c r="AE23" i="15"/>
  <c r="AG23" i="15"/>
  <c r="AH23" i="15"/>
  <c r="AI23" i="15" s="1"/>
  <c r="AJ23" i="15"/>
  <c r="AK23" i="15"/>
  <c r="AL23" i="15"/>
  <c r="AM23" i="15"/>
  <c r="AN23" i="15"/>
  <c r="AO23" i="15"/>
  <c r="K24" i="15"/>
  <c r="J24" i="15" s="1"/>
  <c r="L24" i="15"/>
  <c r="N24" i="15"/>
  <c r="O24" i="15"/>
  <c r="P24" i="15"/>
  <c r="Q24" i="15"/>
  <c r="R24" i="15"/>
  <c r="S24" i="15"/>
  <c r="T24" i="15"/>
  <c r="U24" i="15"/>
  <c r="V24" i="15"/>
  <c r="W24" i="15"/>
  <c r="X24" i="15" s="1"/>
  <c r="Y24" i="15"/>
  <c r="Z24" i="15"/>
  <c r="AA24" i="15"/>
  <c r="AB24" i="15"/>
  <c r="AC24" i="15"/>
  <c r="AD24" i="15"/>
  <c r="AE24" i="15"/>
  <c r="AG24" i="15"/>
  <c r="AH24" i="15"/>
  <c r="AI24" i="15" s="1"/>
  <c r="AJ24" i="15"/>
  <c r="AK24" i="15"/>
  <c r="AL24" i="15"/>
  <c r="AM24" i="15"/>
  <c r="AN24" i="15"/>
  <c r="AO24" i="15"/>
  <c r="K25" i="15"/>
  <c r="C25" i="15" s="1"/>
  <c r="L25" i="15"/>
  <c r="N25" i="15"/>
  <c r="O25" i="15"/>
  <c r="P25" i="15"/>
  <c r="Q25" i="15"/>
  <c r="R25" i="15"/>
  <c r="S25" i="15"/>
  <c r="T25" i="15"/>
  <c r="U25" i="15"/>
  <c r="V25" i="15"/>
  <c r="W25" i="15"/>
  <c r="X25" i="15" s="1"/>
  <c r="Y25" i="15"/>
  <c r="Z25" i="15"/>
  <c r="AA25" i="15"/>
  <c r="AB25" i="15"/>
  <c r="AC25" i="15"/>
  <c r="AD25" i="15"/>
  <c r="AE25" i="15"/>
  <c r="AG25" i="15"/>
  <c r="AH25" i="15"/>
  <c r="AI25" i="15" s="1"/>
  <c r="AJ25" i="15"/>
  <c r="AK25" i="15"/>
  <c r="AL25" i="15"/>
  <c r="AM25" i="15"/>
  <c r="AN25" i="15"/>
  <c r="AO25" i="15"/>
  <c r="K26" i="15"/>
  <c r="L26" i="15"/>
  <c r="N26" i="15"/>
  <c r="O26" i="15"/>
  <c r="P26" i="15"/>
  <c r="Q26" i="15"/>
  <c r="R26" i="15"/>
  <c r="S26" i="15"/>
  <c r="T26" i="15"/>
  <c r="U26" i="15"/>
  <c r="V26" i="15"/>
  <c r="W26" i="15"/>
  <c r="X26" i="15" s="1"/>
  <c r="Y26" i="15"/>
  <c r="Z26" i="15"/>
  <c r="AA26" i="15"/>
  <c r="AB26" i="15"/>
  <c r="AC26" i="15"/>
  <c r="AD26" i="15"/>
  <c r="AE26" i="15"/>
  <c r="AG26" i="15"/>
  <c r="AH26" i="15"/>
  <c r="AI26" i="15" s="1"/>
  <c r="AJ26" i="15"/>
  <c r="AK26" i="15"/>
  <c r="AL26" i="15"/>
  <c r="AM26" i="15"/>
  <c r="AN26" i="15"/>
  <c r="AO26" i="15"/>
  <c r="K27" i="15"/>
  <c r="L27" i="15"/>
  <c r="N27" i="15"/>
  <c r="O27" i="15"/>
  <c r="P27" i="15"/>
  <c r="Q27" i="15"/>
  <c r="R27" i="15"/>
  <c r="S27" i="15"/>
  <c r="T27" i="15"/>
  <c r="U27" i="15"/>
  <c r="V27" i="15"/>
  <c r="W27" i="15"/>
  <c r="X27" i="15" s="1"/>
  <c r="Y27" i="15"/>
  <c r="Z27" i="15"/>
  <c r="AA27" i="15"/>
  <c r="AB27" i="15"/>
  <c r="AC27" i="15"/>
  <c r="AD27" i="15"/>
  <c r="AE27" i="15"/>
  <c r="AG27" i="15"/>
  <c r="AH27" i="15"/>
  <c r="AI27" i="15" s="1"/>
  <c r="AJ27" i="15"/>
  <c r="AK27" i="15"/>
  <c r="AL27" i="15"/>
  <c r="AM27" i="15"/>
  <c r="AN27" i="15"/>
  <c r="AO27" i="15"/>
  <c r="K28" i="15"/>
  <c r="L28" i="15"/>
  <c r="N28" i="15"/>
  <c r="O28" i="15"/>
  <c r="P28" i="15"/>
  <c r="Q28" i="15"/>
  <c r="R28" i="15"/>
  <c r="S28" i="15"/>
  <c r="T28" i="15"/>
  <c r="U28" i="15"/>
  <c r="V28" i="15"/>
  <c r="W28" i="15"/>
  <c r="X28" i="15" s="1"/>
  <c r="Y28" i="15"/>
  <c r="Z28" i="15"/>
  <c r="AA28" i="15"/>
  <c r="AB28" i="15"/>
  <c r="AC28" i="15"/>
  <c r="AD28" i="15"/>
  <c r="AE28" i="15"/>
  <c r="AF28" i="15"/>
  <c r="AG28" i="15"/>
  <c r="AH28" i="15"/>
  <c r="AI28" i="15" s="1"/>
  <c r="AJ28" i="15"/>
  <c r="AK28" i="15"/>
  <c r="AL28" i="15"/>
  <c r="AM28" i="15"/>
  <c r="AN28" i="15"/>
  <c r="AO28" i="15"/>
  <c r="K29" i="15"/>
  <c r="L29" i="15"/>
  <c r="N29" i="15"/>
  <c r="O29" i="15"/>
  <c r="P29" i="15"/>
  <c r="Q29" i="15"/>
  <c r="R29" i="15"/>
  <c r="S29" i="15"/>
  <c r="T29" i="15"/>
  <c r="U29" i="15"/>
  <c r="V29" i="15"/>
  <c r="W29" i="15"/>
  <c r="X29" i="15" s="1"/>
  <c r="Y29" i="15"/>
  <c r="Z29" i="15"/>
  <c r="AA29" i="15"/>
  <c r="AB29" i="15"/>
  <c r="AC29" i="15"/>
  <c r="AD29" i="15"/>
  <c r="AE29" i="15"/>
  <c r="AF29" i="15"/>
  <c r="AG29" i="15"/>
  <c r="AH29" i="15"/>
  <c r="AI29" i="15" s="1"/>
  <c r="AJ29" i="15"/>
  <c r="AK29" i="15"/>
  <c r="AL29" i="15"/>
  <c r="AM29" i="15"/>
  <c r="AN29" i="15"/>
  <c r="AO29" i="15"/>
  <c r="K30" i="15"/>
  <c r="D30" i="15" s="1"/>
  <c r="L30" i="15"/>
  <c r="N30" i="15"/>
  <c r="O30" i="15"/>
  <c r="P30" i="15"/>
  <c r="Q30" i="15"/>
  <c r="R30" i="15"/>
  <c r="S30" i="15"/>
  <c r="T30" i="15"/>
  <c r="U30" i="15"/>
  <c r="V30" i="15"/>
  <c r="W30" i="15"/>
  <c r="X30" i="15" s="1"/>
  <c r="Y30" i="15"/>
  <c r="Z30" i="15"/>
  <c r="AA30" i="15"/>
  <c r="AB30" i="15"/>
  <c r="AC30" i="15"/>
  <c r="AD30" i="15"/>
  <c r="AE30" i="15"/>
  <c r="AF30" i="15"/>
  <c r="AG30" i="15"/>
  <c r="AH30" i="15"/>
  <c r="AI30" i="15" s="1"/>
  <c r="AJ30" i="15"/>
  <c r="AK30" i="15"/>
  <c r="AL30" i="15"/>
  <c r="AM30" i="15"/>
  <c r="AN30" i="15"/>
  <c r="AO30" i="15"/>
  <c r="K31" i="15"/>
  <c r="I31" i="15" s="1"/>
  <c r="L31" i="15"/>
  <c r="N31" i="15"/>
  <c r="O31" i="15"/>
  <c r="P31" i="15"/>
  <c r="Q31" i="15"/>
  <c r="R31" i="15"/>
  <c r="S31" i="15"/>
  <c r="T31" i="15"/>
  <c r="U31" i="15"/>
  <c r="V31" i="15"/>
  <c r="W31" i="15"/>
  <c r="X31" i="15" s="1"/>
  <c r="Y31" i="15"/>
  <c r="Z31" i="15"/>
  <c r="AA31" i="15"/>
  <c r="AB31" i="15"/>
  <c r="AC31" i="15"/>
  <c r="AD31" i="15"/>
  <c r="AE31" i="15"/>
  <c r="AF31" i="15"/>
  <c r="AG31" i="15"/>
  <c r="AH31" i="15"/>
  <c r="AI31" i="15" s="1"/>
  <c r="AJ31" i="15"/>
  <c r="AK31" i="15"/>
  <c r="AL31" i="15"/>
  <c r="AM31" i="15"/>
  <c r="AN31" i="15"/>
  <c r="AO31" i="15"/>
  <c r="K32" i="15"/>
  <c r="L32" i="15"/>
  <c r="N32" i="15"/>
  <c r="O32" i="15"/>
  <c r="P32" i="15"/>
  <c r="Q32" i="15"/>
  <c r="R32" i="15"/>
  <c r="S32" i="15"/>
  <c r="T32" i="15"/>
  <c r="U32" i="15"/>
  <c r="V32" i="15"/>
  <c r="W32" i="15"/>
  <c r="X32" i="15" s="1"/>
  <c r="Y32" i="15"/>
  <c r="Z32" i="15"/>
  <c r="AA32" i="15"/>
  <c r="AB32" i="15"/>
  <c r="AC32" i="15"/>
  <c r="AD32" i="15"/>
  <c r="AE32" i="15"/>
  <c r="AF32" i="15"/>
  <c r="AG32" i="15"/>
  <c r="AH32" i="15"/>
  <c r="AI32" i="15" s="1"/>
  <c r="AJ32" i="15"/>
  <c r="AK32" i="15"/>
  <c r="AL32" i="15"/>
  <c r="AM32" i="15"/>
  <c r="AN32" i="15"/>
  <c r="AO32" i="15"/>
  <c r="K33" i="15"/>
  <c r="G33" i="15" s="1"/>
  <c r="L33" i="15"/>
  <c r="N33" i="15"/>
  <c r="O33" i="15"/>
  <c r="P33" i="15"/>
  <c r="Q33" i="15"/>
  <c r="R33" i="15"/>
  <c r="S33" i="15"/>
  <c r="T33" i="15"/>
  <c r="U33" i="15"/>
  <c r="V33" i="15"/>
  <c r="W33" i="15"/>
  <c r="X33" i="15" s="1"/>
  <c r="Y33" i="15"/>
  <c r="Z33" i="15"/>
  <c r="AA33" i="15"/>
  <c r="AB33" i="15"/>
  <c r="AC33" i="15"/>
  <c r="AD33" i="15"/>
  <c r="AE33" i="15"/>
  <c r="AF33" i="15"/>
  <c r="AG33" i="15"/>
  <c r="AH33" i="15"/>
  <c r="AI33" i="15" s="1"/>
  <c r="AJ33" i="15"/>
  <c r="AK33" i="15"/>
  <c r="AL33" i="15"/>
  <c r="AM33" i="15"/>
  <c r="AN33" i="15"/>
  <c r="AO33" i="15"/>
  <c r="K34" i="15"/>
  <c r="L34" i="15"/>
  <c r="N34" i="15"/>
  <c r="O34" i="15"/>
  <c r="P34" i="15"/>
  <c r="Q34" i="15"/>
  <c r="R34" i="15"/>
  <c r="S34" i="15"/>
  <c r="T34" i="15"/>
  <c r="U34" i="15"/>
  <c r="V34" i="15"/>
  <c r="W34" i="15"/>
  <c r="X34" i="15" s="1"/>
  <c r="Y34" i="15"/>
  <c r="Z34" i="15"/>
  <c r="AA34" i="15"/>
  <c r="AB34" i="15"/>
  <c r="AC34" i="15"/>
  <c r="AD34" i="15"/>
  <c r="AE34" i="15"/>
  <c r="AF34" i="15"/>
  <c r="AG34" i="15"/>
  <c r="AH34" i="15"/>
  <c r="AI34" i="15" s="1"/>
  <c r="AJ34" i="15"/>
  <c r="AK34" i="15"/>
  <c r="AL34" i="15"/>
  <c r="AM34" i="15"/>
  <c r="AN34" i="15"/>
  <c r="AO34" i="15"/>
  <c r="K35" i="15"/>
  <c r="L35" i="15"/>
  <c r="N35" i="15"/>
  <c r="O35" i="15"/>
  <c r="P35" i="15"/>
  <c r="Q35" i="15"/>
  <c r="R35" i="15"/>
  <c r="S35" i="15"/>
  <c r="T35" i="15"/>
  <c r="U35" i="15"/>
  <c r="V35" i="15"/>
  <c r="W35" i="15"/>
  <c r="X35" i="15" s="1"/>
  <c r="Y35" i="15"/>
  <c r="Z35" i="15"/>
  <c r="AA35" i="15"/>
  <c r="AB35" i="15"/>
  <c r="AC35" i="15"/>
  <c r="AD35" i="15"/>
  <c r="AE35" i="15"/>
  <c r="AF35" i="15"/>
  <c r="AG35" i="15"/>
  <c r="AH35" i="15"/>
  <c r="AI35" i="15" s="1"/>
  <c r="AJ35" i="15"/>
  <c r="AK35" i="15"/>
  <c r="AL35" i="15"/>
  <c r="AM35" i="15"/>
  <c r="AN35" i="15"/>
  <c r="AO35" i="15"/>
  <c r="K36" i="15"/>
  <c r="L36" i="15"/>
  <c r="N36" i="15"/>
  <c r="O36" i="15"/>
  <c r="P36" i="15"/>
  <c r="Q36" i="15"/>
  <c r="R36" i="15"/>
  <c r="S36" i="15"/>
  <c r="T36" i="15"/>
  <c r="U36" i="15"/>
  <c r="V36" i="15"/>
  <c r="W36" i="15"/>
  <c r="X36" i="15" s="1"/>
  <c r="Y36" i="15"/>
  <c r="Z36" i="15"/>
  <c r="AA36" i="15"/>
  <c r="AB36" i="15"/>
  <c r="AC36" i="15"/>
  <c r="AD36" i="15"/>
  <c r="AE36" i="15"/>
  <c r="AF36" i="15"/>
  <c r="AG36" i="15"/>
  <c r="AH36" i="15"/>
  <c r="AI36" i="15" s="1"/>
  <c r="AJ36" i="15"/>
  <c r="AK36" i="15"/>
  <c r="AL36" i="15"/>
  <c r="AM36" i="15"/>
  <c r="AN36" i="15"/>
  <c r="AO36" i="15"/>
  <c r="K37" i="15"/>
  <c r="L37" i="15"/>
  <c r="N37" i="15"/>
  <c r="O37" i="15"/>
  <c r="P37" i="15"/>
  <c r="Q37" i="15"/>
  <c r="R37" i="15"/>
  <c r="S37" i="15"/>
  <c r="T37" i="15"/>
  <c r="U37" i="15"/>
  <c r="V37" i="15"/>
  <c r="W37" i="15"/>
  <c r="X37" i="15" s="1"/>
  <c r="Y37" i="15"/>
  <c r="Z37" i="15"/>
  <c r="AA37" i="15"/>
  <c r="AB37" i="15"/>
  <c r="AC37" i="15"/>
  <c r="AD37" i="15"/>
  <c r="AE37" i="15"/>
  <c r="AF37" i="15"/>
  <c r="AG37" i="15"/>
  <c r="AH37" i="15"/>
  <c r="AI37" i="15" s="1"/>
  <c r="AJ37" i="15"/>
  <c r="AK37" i="15"/>
  <c r="AL37" i="15"/>
  <c r="AM37" i="15"/>
  <c r="AN37" i="15"/>
  <c r="AO37" i="15"/>
  <c r="K38" i="15"/>
  <c r="A38" i="15" s="1"/>
  <c r="L38" i="15"/>
  <c r="N38" i="15"/>
  <c r="O38" i="15"/>
  <c r="P38" i="15"/>
  <c r="Q38" i="15"/>
  <c r="R38" i="15"/>
  <c r="S38" i="15"/>
  <c r="T38" i="15"/>
  <c r="U38" i="15"/>
  <c r="V38" i="15"/>
  <c r="W38" i="15"/>
  <c r="X38" i="15" s="1"/>
  <c r="Y38" i="15"/>
  <c r="Z38" i="15"/>
  <c r="AA38" i="15"/>
  <c r="AB38" i="15"/>
  <c r="AC38" i="15"/>
  <c r="AD38" i="15"/>
  <c r="AE38" i="15"/>
  <c r="AF38" i="15"/>
  <c r="AG38" i="15"/>
  <c r="AH38" i="15"/>
  <c r="AI38" i="15" s="1"/>
  <c r="AJ38" i="15"/>
  <c r="AK38" i="15"/>
  <c r="AL38" i="15"/>
  <c r="AM38" i="15"/>
  <c r="AN38" i="15"/>
  <c r="AO38" i="15"/>
  <c r="K39" i="15"/>
  <c r="A39" i="15" s="1"/>
  <c r="L39" i="15"/>
  <c r="N39" i="15"/>
  <c r="O39" i="15"/>
  <c r="P39" i="15"/>
  <c r="Q39" i="15"/>
  <c r="R39" i="15"/>
  <c r="S39" i="15"/>
  <c r="T39" i="15"/>
  <c r="U39" i="15"/>
  <c r="V39" i="15"/>
  <c r="W39" i="15"/>
  <c r="X39" i="15" s="1"/>
  <c r="Y39" i="15"/>
  <c r="Z39" i="15"/>
  <c r="AA39" i="15"/>
  <c r="AB39" i="15"/>
  <c r="AC39" i="15"/>
  <c r="AD39" i="15"/>
  <c r="AE39" i="15"/>
  <c r="AF39" i="15"/>
  <c r="AG39" i="15"/>
  <c r="AH39" i="15"/>
  <c r="AI39" i="15" s="1"/>
  <c r="AJ39" i="15"/>
  <c r="AK39" i="15"/>
  <c r="AL39" i="15"/>
  <c r="AM39" i="15"/>
  <c r="AN39" i="15"/>
  <c r="AO39" i="15"/>
  <c r="K40" i="15"/>
  <c r="F40" i="15" s="1"/>
  <c r="L40" i="15"/>
  <c r="N40" i="15"/>
  <c r="O40" i="15"/>
  <c r="P40" i="15"/>
  <c r="Q40" i="15"/>
  <c r="R40" i="15"/>
  <c r="S40" i="15"/>
  <c r="T40" i="15"/>
  <c r="U40" i="15"/>
  <c r="V40" i="15"/>
  <c r="W40" i="15"/>
  <c r="X40" i="15" s="1"/>
  <c r="Y40" i="15"/>
  <c r="Z40" i="15"/>
  <c r="AA40" i="15"/>
  <c r="AB40" i="15"/>
  <c r="AC40" i="15"/>
  <c r="AD40" i="15"/>
  <c r="AE40" i="15"/>
  <c r="AF40" i="15"/>
  <c r="AG40" i="15"/>
  <c r="AH40" i="15"/>
  <c r="AI40" i="15" s="1"/>
  <c r="AJ40" i="15"/>
  <c r="AK40" i="15"/>
  <c r="AL40" i="15"/>
  <c r="AM40" i="15"/>
  <c r="AN40" i="15"/>
  <c r="AO40" i="15"/>
  <c r="K41" i="15"/>
  <c r="E41" i="15" s="1"/>
  <c r="L41" i="15"/>
  <c r="N41" i="15"/>
  <c r="O41" i="15"/>
  <c r="P41" i="15"/>
  <c r="Q41" i="15"/>
  <c r="R41" i="15"/>
  <c r="S41" i="15"/>
  <c r="T41" i="15"/>
  <c r="U41" i="15"/>
  <c r="V41" i="15"/>
  <c r="W41" i="15"/>
  <c r="X41" i="15" s="1"/>
  <c r="Y41" i="15"/>
  <c r="Z41" i="15"/>
  <c r="AA41" i="15"/>
  <c r="AB41" i="15"/>
  <c r="AC41" i="15"/>
  <c r="AD41" i="15"/>
  <c r="AE41" i="15"/>
  <c r="AF41" i="15"/>
  <c r="AG41" i="15"/>
  <c r="AH41" i="15"/>
  <c r="AI41" i="15" s="1"/>
  <c r="AJ41" i="15"/>
  <c r="AK41" i="15"/>
  <c r="AL41" i="15"/>
  <c r="AM41" i="15"/>
  <c r="AN41" i="15"/>
  <c r="AO41" i="15"/>
  <c r="K42" i="15"/>
  <c r="D42" i="15" s="1"/>
  <c r="L42" i="15"/>
  <c r="N42" i="15"/>
  <c r="O42" i="15"/>
  <c r="P42" i="15"/>
  <c r="Q42" i="15"/>
  <c r="R42" i="15"/>
  <c r="S42" i="15"/>
  <c r="T42" i="15"/>
  <c r="U42" i="15"/>
  <c r="V42" i="15"/>
  <c r="W42" i="15"/>
  <c r="X42" i="15" s="1"/>
  <c r="Y42" i="15"/>
  <c r="Z42" i="15"/>
  <c r="AA42" i="15"/>
  <c r="AB42" i="15"/>
  <c r="AC42" i="15"/>
  <c r="AD42" i="15"/>
  <c r="AE42" i="15"/>
  <c r="AF42" i="15"/>
  <c r="AG42" i="15"/>
  <c r="AH42" i="15"/>
  <c r="AI42" i="15" s="1"/>
  <c r="AJ42" i="15"/>
  <c r="AK42" i="15"/>
  <c r="AL42" i="15"/>
  <c r="AM42" i="15"/>
  <c r="AN42" i="15"/>
  <c r="AO42" i="15"/>
  <c r="K43" i="15"/>
  <c r="L43" i="15"/>
  <c r="N43" i="15"/>
  <c r="O43" i="15"/>
  <c r="P43" i="15"/>
  <c r="Q43" i="15"/>
  <c r="R43" i="15"/>
  <c r="S43" i="15"/>
  <c r="T43" i="15"/>
  <c r="U43" i="15"/>
  <c r="V43" i="15"/>
  <c r="W43" i="15"/>
  <c r="X43" i="15" s="1"/>
  <c r="Y43" i="15"/>
  <c r="Z43" i="15"/>
  <c r="AA43" i="15"/>
  <c r="AB43" i="15"/>
  <c r="AC43" i="15"/>
  <c r="AD43" i="15"/>
  <c r="AE43" i="15"/>
  <c r="AF43" i="15"/>
  <c r="AG43" i="15"/>
  <c r="AH43" i="15"/>
  <c r="AI43" i="15" s="1"/>
  <c r="AJ43" i="15"/>
  <c r="AK43" i="15"/>
  <c r="AL43" i="15"/>
  <c r="AM43" i="15"/>
  <c r="AN43" i="15"/>
  <c r="AO43" i="15"/>
  <c r="K44" i="15"/>
  <c r="L44" i="15"/>
  <c r="N44" i="15"/>
  <c r="O44" i="15"/>
  <c r="P44" i="15"/>
  <c r="Q44" i="15"/>
  <c r="R44" i="15"/>
  <c r="S44" i="15"/>
  <c r="T44" i="15"/>
  <c r="U44" i="15"/>
  <c r="V44" i="15"/>
  <c r="W44" i="15"/>
  <c r="X44" i="15" s="1"/>
  <c r="Y44" i="15"/>
  <c r="Z44" i="15"/>
  <c r="AA44" i="15"/>
  <c r="AB44" i="15"/>
  <c r="AC44" i="15"/>
  <c r="AD44" i="15"/>
  <c r="AE44" i="15"/>
  <c r="AF44" i="15"/>
  <c r="AG44" i="15"/>
  <c r="AH44" i="15"/>
  <c r="AI44" i="15" s="1"/>
  <c r="AJ44" i="15"/>
  <c r="AK44" i="15"/>
  <c r="AL44" i="15"/>
  <c r="AM44" i="15"/>
  <c r="AN44" i="15"/>
  <c r="AO44" i="15"/>
  <c r="K45" i="15"/>
  <c r="G45" i="15" s="1"/>
  <c r="L45" i="15"/>
  <c r="N45" i="15"/>
  <c r="O45" i="15"/>
  <c r="P45" i="15"/>
  <c r="Q45" i="15"/>
  <c r="R45" i="15"/>
  <c r="S45" i="15"/>
  <c r="T45" i="15"/>
  <c r="U45" i="15"/>
  <c r="V45" i="15"/>
  <c r="W45" i="15"/>
  <c r="X45" i="15" s="1"/>
  <c r="Y45" i="15"/>
  <c r="Z45" i="15"/>
  <c r="AA45" i="15"/>
  <c r="AB45" i="15"/>
  <c r="AC45" i="15"/>
  <c r="AD45" i="15"/>
  <c r="AE45" i="15"/>
  <c r="AF45" i="15"/>
  <c r="AG45" i="15"/>
  <c r="AH45" i="15"/>
  <c r="AI45" i="15" s="1"/>
  <c r="AJ45" i="15"/>
  <c r="AK45" i="15"/>
  <c r="AL45" i="15"/>
  <c r="AM45" i="15"/>
  <c r="AN45" i="15"/>
  <c r="AO45" i="15"/>
  <c r="K46" i="15"/>
  <c r="L46" i="15"/>
  <c r="N46" i="15"/>
  <c r="O46" i="15"/>
  <c r="P46" i="15"/>
  <c r="Q46" i="15"/>
  <c r="R46" i="15"/>
  <c r="S46" i="15"/>
  <c r="T46" i="15"/>
  <c r="U46" i="15"/>
  <c r="V46" i="15"/>
  <c r="W46" i="15"/>
  <c r="X46" i="15" s="1"/>
  <c r="Y46" i="15"/>
  <c r="Z46" i="15"/>
  <c r="AA46" i="15"/>
  <c r="AB46" i="15"/>
  <c r="AC46" i="15"/>
  <c r="AD46" i="15"/>
  <c r="AE46" i="15"/>
  <c r="AF46" i="15"/>
  <c r="AG46" i="15"/>
  <c r="AH46" i="15"/>
  <c r="AI46" i="15" s="1"/>
  <c r="AJ46" i="15"/>
  <c r="AK46" i="15"/>
  <c r="AL46" i="15"/>
  <c r="AM46" i="15"/>
  <c r="AN46" i="15"/>
  <c r="AO46" i="15"/>
  <c r="K47" i="15"/>
  <c r="L47" i="15"/>
  <c r="N47" i="15"/>
  <c r="O47" i="15"/>
  <c r="P47" i="15"/>
  <c r="Q47" i="15"/>
  <c r="R47" i="15"/>
  <c r="S47" i="15"/>
  <c r="T47" i="15"/>
  <c r="U47" i="15"/>
  <c r="V47" i="15"/>
  <c r="W47" i="15"/>
  <c r="X47" i="15" s="1"/>
  <c r="Y47" i="15"/>
  <c r="Z47" i="15"/>
  <c r="AA47" i="15"/>
  <c r="AB47" i="15"/>
  <c r="AC47" i="15"/>
  <c r="AD47" i="15"/>
  <c r="AE47" i="15"/>
  <c r="AF47" i="15"/>
  <c r="AG47" i="15"/>
  <c r="AH47" i="15"/>
  <c r="AI47" i="15" s="1"/>
  <c r="AJ47" i="15"/>
  <c r="AK47" i="15"/>
  <c r="AL47" i="15"/>
  <c r="AM47" i="15"/>
  <c r="AN47" i="15"/>
  <c r="AO47" i="15"/>
  <c r="K48" i="15"/>
  <c r="J48" i="15" s="1"/>
  <c r="L48" i="15"/>
  <c r="N48" i="15"/>
  <c r="O48" i="15"/>
  <c r="P48" i="15"/>
  <c r="Q48" i="15"/>
  <c r="R48" i="15"/>
  <c r="S48" i="15"/>
  <c r="T48" i="15"/>
  <c r="U48" i="15"/>
  <c r="V48" i="15"/>
  <c r="W48" i="15"/>
  <c r="X48" i="15" s="1"/>
  <c r="Y48" i="15"/>
  <c r="Z48" i="15"/>
  <c r="AA48" i="15"/>
  <c r="AB48" i="15"/>
  <c r="AC48" i="15"/>
  <c r="AD48" i="15"/>
  <c r="AE48" i="15"/>
  <c r="AF48" i="15"/>
  <c r="AG48" i="15"/>
  <c r="AH48" i="15"/>
  <c r="AI48" i="15" s="1"/>
  <c r="AJ48" i="15"/>
  <c r="AK48" i="15"/>
  <c r="AL48" i="15"/>
  <c r="AM48" i="15"/>
  <c r="AN48" i="15"/>
  <c r="AO48" i="15"/>
  <c r="K49" i="15"/>
  <c r="C49" i="15" s="1"/>
  <c r="L49" i="15"/>
  <c r="N49" i="15"/>
  <c r="O49" i="15"/>
  <c r="P49" i="15"/>
  <c r="Q49" i="15"/>
  <c r="R49" i="15"/>
  <c r="S49" i="15"/>
  <c r="T49" i="15"/>
  <c r="U49" i="15"/>
  <c r="V49" i="15"/>
  <c r="W49" i="15"/>
  <c r="X49" i="15" s="1"/>
  <c r="Y49" i="15"/>
  <c r="Z49" i="15"/>
  <c r="AA49" i="15"/>
  <c r="AB49" i="15"/>
  <c r="AC49" i="15"/>
  <c r="AD49" i="15"/>
  <c r="AE49" i="15"/>
  <c r="AF49" i="15"/>
  <c r="AG49" i="15"/>
  <c r="AH49" i="15"/>
  <c r="AI49" i="15" s="1"/>
  <c r="AJ49" i="15"/>
  <c r="AK49" i="15"/>
  <c r="AL49" i="15"/>
  <c r="AM49" i="15"/>
  <c r="AN49" i="15"/>
  <c r="AO49" i="15"/>
  <c r="K50" i="15"/>
  <c r="H50" i="15" s="1"/>
  <c r="L50" i="15"/>
  <c r="N50" i="15"/>
  <c r="O50" i="15"/>
  <c r="P50" i="15"/>
  <c r="Q50" i="15"/>
  <c r="R50" i="15"/>
  <c r="S50" i="15"/>
  <c r="T50" i="15"/>
  <c r="U50" i="15"/>
  <c r="V50" i="15"/>
  <c r="W50" i="15"/>
  <c r="X50" i="15" s="1"/>
  <c r="Y50" i="15"/>
  <c r="Z50" i="15"/>
  <c r="AA50" i="15"/>
  <c r="AB50" i="15"/>
  <c r="AC50" i="15"/>
  <c r="AD50" i="15"/>
  <c r="AE50" i="15"/>
  <c r="AF50" i="15"/>
  <c r="AG50" i="15"/>
  <c r="AH50" i="15"/>
  <c r="AI50" i="15" s="1"/>
  <c r="AJ50" i="15"/>
  <c r="AK50" i="15"/>
  <c r="AL50" i="15"/>
  <c r="AM50" i="15"/>
  <c r="AN50" i="15"/>
  <c r="AO50" i="15"/>
  <c r="K51" i="15"/>
  <c r="A51" i="15" s="1"/>
  <c r="L51" i="15"/>
  <c r="N51" i="15"/>
  <c r="O51" i="15"/>
  <c r="P51" i="15"/>
  <c r="Q51" i="15"/>
  <c r="R51" i="15"/>
  <c r="S51" i="15"/>
  <c r="T51" i="15"/>
  <c r="U51" i="15"/>
  <c r="V51" i="15"/>
  <c r="W51" i="15"/>
  <c r="X51" i="15" s="1"/>
  <c r="Y51" i="15"/>
  <c r="Z51" i="15"/>
  <c r="AA51" i="15"/>
  <c r="AB51" i="15"/>
  <c r="AC51" i="15"/>
  <c r="AD51" i="15"/>
  <c r="AE51" i="15"/>
  <c r="AF51" i="15"/>
  <c r="AG51" i="15"/>
  <c r="AH51" i="15"/>
  <c r="AI51" i="15" s="1"/>
  <c r="AJ51" i="15"/>
  <c r="AK51" i="15"/>
  <c r="AL51" i="15"/>
  <c r="AM51" i="15"/>
  <c r="AN51" i="15"/>
  <c r="AO51" i="15"/>
  <c r="K52" i="15"/>
  <c r="F52" i="15" s="1"/>
  <c r="L52" i="15"/>
  <c r="N52" i="15"/>
  <c r="O52" i="15"/>
  <c r="P52" i="15"/>
  <c r="Q52" i="15"/>
  <c r="R52" i="15"/>
  <c r="S52" i="15"/>
  <c r="T52" i="15"/>
  <c r="U52" i="15"/>
  <c r="V52" i="15"/>
  <c r="W52" i="15"/>
  <c r="X52" i="15" s="1"/>
  <c r="Y52" i="15"/>
  <c r="Z52" i="15"/>
  <c r="AA52" i="15"/>
  <c r="AB52" i="15"/>
  <c r="AC52" i="15"/>
  <c r="AD52" i="15"/>
  <c r="AE52" i="15"/>
  <c r="AF52" i="15"/>
  <c r="AG52" i="15"/>
  <c r="AH52" i="15"/>
  <c r="AI52" i="15" s="1"/>
  <c r="AJ52" i="15"/>
  <c r="AK52" i="15"/>
  <c r="AL52" i="15"/>
  <c r="AM52" i="15"/>
  <c r="AN52" i="15"/>
  <c r="AO52" i="15"/>
  <c r="K53" i="15"/>
  <c r="E53" i="15" s="1"/>
  <c r="L53" i="15"/>
  <c r="N53" i="15"/>
  <c r="O53" i="15"/>
  <c r="P53" i="15"/>
  <c r="Q53" i="15"/>
  <c r="R53" i="15"/>
  <c r="S53" i="15"/>
  <c r="T53" i="15"/>
  <c r="U53" i="15"/>
  <c r="V53" i="15"/>
  <c r="W53" i="15"/>
  <c r="X53" i="15" s="1"/>
  <c r="Y53" i="15"/>
  <c r="Z53" i="15"/>
  <c r="AA53" i="15"/>
  <c r="AB53" i="15"/>
  <c r="AC53" i="15"/>
  <c r="AD53" i="15"/>
  <c r="AE53" i="15"/>
  <c r="AF53" i="15"/>
  <c r="AG53" i="15"/>
  <c r="AH53" i="15"/>
  <c r="AI53" i="15" s="1"/>
  <c r="AJ53" i="15"/>
  <c r="AK53" i="15"/>
  <c r="AL53" i="15"/>
  <c r="AM53" i="15"/>
  <c r="AN53" i="15"/>
  <c r="AO53" i="15"/>
  <c r="K54" i="15"/>
  <c r="D54" i="15" s="1"/>
  <c r="L54" i="15"/>
  <c r="N54" i="15"/>
  <c r="O54" i="15"/>
  <c r="P54" i="15"/>
  <c r="Q54" i="15"/>
  <c r="R54" i="15"/>
  <c r="S54" i="15"/>
  <c r="T54" i="15"/>
  <c r="U54" i="15"/>
  <c r="V54" i="15"/>
  <c r="W54" i="15"/>
  <c r="X54" i="15" s="1"/>
  <c r="Y54" i="15"/>
  <c r="Z54" i="15"/>
  <c r="AA54" i="15"/>
  <c r="AB54" i="15"/>
  <c r="AC54" i="15"/>
  <c r="AD54" i="15"/>
  <c r="AE54" i="15"/>
  <c r="AF54" i="15"/>
  <c r="AG54" i="15"/>
  <c r="AH54" i="15"/>
  <c r="AI54" i="15" s="1"/>
  <c r="AJ54" i="15"/>
  <c r="AK54" i="15"/>
  <c r="AL54" i="15"/>
  <c r="AM54" i="15"/>
  <c r="AN54" i="15"/>
  <c r="AO54" i="15"/>
  <c r="K55" i="15"/>
  <c r="I55" i="15" s="1"/>
  <c r="L55" i="15"/>
  <c r="N55" i="15"/>
  <c r="O55" i="15"/>
  <c r="P55" i="15"/>
  <c r="Q55" i="15"/>
  <c r="R55" i="15"/>
  <c r="S55" i="15"/>
  <c r="T55" i="15"/>
  <c r="U55" i="15"/>
  <c r="V55" i="15"/>
  <c r="W55" i="15"/>
  <c r="X55" i="15" s="1"/>
  <c r="Y55" i="15"/>
  <c r="Z55" i="15"/>
  <c r="AA55" i="15"/>
  <c r="AB55" i="15"/>
  <c r="AC55" i="15"/>
  <c r="AD55" i="15"/>
  <c r="AE55" i="15"/>
  <c r="AF55" i="15"/>
  <c r="AG55" i="15"/>
  <c r="AH55" i="15"/>
  <c r="AI55" i="15" s="1"/>
  <c r="AJ55" i="15"/>
  <c r="AK55" i="15"/>
  <c r="AL55" i="15"/>
  <c r="AM55" i="15"/>
  <c r="AN55" i="15"/>
  <c r="AO55" i="15"/>
  <c r="K56" i="15"/>
  <c r="B56" i="15" s="1"/>
  <c r="L56" i="15"/>
  <c r="N56" i="15"/>
  <c r="O56" i="15"/>
  <c r="P56" i="15"/>
  <c r="Q56" i="15"/>
  <c r="R56" i="15"/>
  <c r="S56" i="15"/>
  <c r="T56" i="15"/>
  <c r="U56" i="15"/>
  <c r="V56" i="15"/>
  <c r="W56" i="15"/>
  <c r="X56" i="15" s="1"/>
  <c r="Y56" i="15"/>
  <c r="Z56" i="15"/>
  <c r="AA56" i="15"/>
  <c r="AB56" i="15"/>
  <c r="AC56" i="15"/>
  <c r="AD56" i="15"/>
  <c r="AE56" i="15"/>
  <c r="AF56" i="15"/>
  <c r="AG56" i="15"/>
  <c r="AH56" i="15"/>
  <c r="AI56" i="15" s="1"/>
  <c r="AJ56" i="15"/>
  <c r="AK56" i="15"/>
  <c r="AL56" i="15"/>
  <c r="AM56" i="15"/>
  <c r="AN56" i="15"/>
  <c r="AO56" i="15"/>
  <c r="K57" i="15"/>
  <c r="G57" i="15" s="1"/>
  <c r="L57" i="15"/>
  <c r="N57" i="15"/>
  <c r="O57" i="15"/>
  <c r="P57" i="15"/>
  <c r="Q57" i="15"/>
  <c r="R57" i="15"/>
  <c r="S57" i="15"/>
  <c r="T57" i="15"/>
  <c r="U57" i="15"/>
  <c r="V57" i="15"/>
  <c r="W57" i="15"/>
  <c r="X57" i="15" s="1"/>
  <c r="Y57" i="15"/>
  <c r="Z57" i="15"/>
  <c r="AA57" i="15"/>
  <c r="AB57" i="15"/>
  <c r="AC57" i="15"/>
  <c r="AD57" i="15"/>
  <c r="AE57" i="15"/>
  <c r="AF57" i="15"/>
  <c r="AG57" i="15"/>
  <c r="AH57" i="15"/>
  <c r="AI57" i="15" s="1"/>
  <c r="AJ57" i="15"/>
  <c r="AK57" i="15"/>
  <c r="AL57" i="15"/>
  <c r="AM57" i="15"/>
  <c r="AN57" i="15"/>
  <c r="AO57" i="15"/>
  <c r="K58" i="15"/>
  <c r="I58" i="15" s="1"/>
  <c r="L58" i="15"/>
  <c r="N58" i="15"/>
  <c r="O58" i="15"/>
  <c r="P58" i="15"/>
  <c r="Q58" i="15"/>
  <c r="R58" i="15"/>
  <c r="S58" i="15"/>
  <c r="T58" i="15"/>
  <c r="U58" i="15"/>
  <c r="V58" i="15"/>
  <c r="W58" i="15"/>
  <c r="X58" i="15" s="1"/>
  <c r="Y58" i="15"/>
  <c r="Z58" i="15"/>
  <c r="AA58" i="15"/>
  <c r="AB58" i="15"/>
  <c r="AC58" i="15"/>
  <c r="AD58" i="15"/>
  <c r="AE58" i="15"/>
  <c r="AF58" i="15"/>
  <c r="AG58" i="15"/>
  <c r="AH58" i="15"/>
  <c r="AI58" i="15" s="1"/>
  <c r="AJ58" i="15"/>
  <c r="AK58" i="15"/>
  <c r="AL58" i="15"/>
  <c r="AM58" i="15"/>
  <c r="AN58" i="15"/>
  <c r="AO58" i="15"/>
  <c r="K59" i="15"/>
  <c r="E59" i="15" s="1"/>
  <c r="L59" i="15"/>
  <c r="N59" i="15"/>
  <c r="O59" i="15"/>
  <c r="P59" i="15"/>
  <c r="Q59" i="15"/>
  <c r="R59" i="15"/>
  <c r="S59" i="15"/>
  <c r="T59" i="15"/>
  <c r="U59" i="15"/>
  <c r="V59" i="15"/>
  <c r="W59" i="15"/>
  <c r="X59" i="15" s="1"/>
  <c r="Y59" i="15"/>
  <c r="Z59" i="15"/>
  <c r="AA59" i="15"/>
  <c r="AB59" i="15"/>
  <c r="AC59" i="15"/>
  <c r="AD59" i="15"/>
  <c r="AE59" i="15"/>
  <c r="AF59" i="15"/>
  <c r="AG59" i="15"/>
  <c r="AH59" i="15"/>
  <c r="AI59" i="15" s="1"/>
  <c r="AJ59" i="15"/>
  <c r="AK59" i="15"/>
  <c r="AL59" i="15"/>
  <c r="AM59" i="15"/>
  <c r="AN59" i="15"/>
  <c r="AO59" i="15"/>
  <c r="K60" i="15"/>
  <c r="J60" i="15" s="1"/>
  <c r="L60" i="15"/>
  <c r="N60" i="15"/>
  <c r="O60" i="15"/>
  <c r="P60" i="15"/>
  <c r="Q60" i="15"/>
  <c r="R60" i="15"/>
  <c r="S60" i="15"/>
  <c r="T60" i="15"/>
  <c r="U60" i="15"/>
  <c r="V60" i="15"/>
  <c r="W60" i="15"/>
  <c r="X60" i="15" s="1"/>
  <c r="Y60" i="15"/>
  <c r="Z60" i="15"/>
  <c r="AA60" i="15"/>
  <c r="AB60" i="15"/>
  <c r="AC60" i="15"/>
  <c r="AD60" i="15"/>
  <c r="AE60" i="15"/>
  <c r="AF60" i="15"/>
  <c r="AG60" i="15"/>
  <c r="AH60" i="15"/>
  <c r="AI60" i="15" s="1"/>
  <c r="AJ60" i="15"/>
  <c r="AK60" i="15"/>
  <c r="AL60" i="15"/>
  <c r="AM60" i="15"/>
  <c r="AN60" i="15"/>
  <c r="AO60" i="15"/>
  <c r="K61" i="15"/>
  <c r="M61" i="15" s="1"/>
  <c r="L61" i="15"/>
  <c r="N61" i="15"/>
  <c r="O61" i="15"/>
  <c r="P61" i="15"/>
  <c r="Q61" i="15"/>
  <c r="R61" i="15"/>
  <c r="S61" i="15"/>
  <c r="T61" i="15"/>
  <c r="U61" i="15"/>
  <c r="V61" i="15"/>
  <c r="W61" i="15"/>
  <c r="X61" i="15" s="1"/>
  <c r="Y61" i="15"/>
  <c r="Z61" i="15"/>
  <c r="AA61" i="15"/>
  <c r="AB61" i="15"/>
  <c r="AC61" i="15"/>
  <c r="AD61" i="15"/>
  <c r="AE61" i="15"/>
  <c r="AF61" i="15"/>
  <c r="AG61" i="15"/>
  <c r="AH61" i="15"/>
  <c r="AI61" i="15" s="1"/>
  <c r="AJ61" i="15"/>
  <c r="AK61" i="15"/>
  <c r="AL61" i="15"/>
  <c r="AM61" i="15"/>
  <c r="AN61" i="15"/>
  <c r="AO61" i="15"/>
  <c r="K62" i="15"/>
  <c r="H62" i="15" s="1"/>
  <c r="L62" i="15"/>
  <c r="N62" i="15"/>
  <c r="O62" i="15"/>
  <c r="P62" i="15"/>
  <c r="Q62" i="15"/>
  <c r="R62" i="15"/>
  <c r="S62" i="15"/>
  <c r="T62" i="15"/>
  <c r="U62" i="15"/>
  <c r="V62" i="15"/>
  <c r="W62" i="15"/>
  <c r="X62" i="15" s="1"/>
  <c r="Y62" i="15"/>
  <c r="Z62" i="15"/>
  <c r="AA62" i="15"/>
  <c r="AB62" i="15"/>
  <c r="AC62" i="15"/>
  <c r="AD62" i="15"/>
  <c r="AE62" i="15"/>
  <c r="AF62" i="15"/>
  <c r="AG62" i="15"/>
  <c r="AH62" i="15"/>
  <c r="AI62" i="15" s="1"/>
  <c r="AJ62" i="15"/>
  <c r="AK62" i="15"/>
  <c r="AL62" i="15"/>
  <c r="AM62" i="15"/>
  <c r="AN62" i="15"/>
  <c r="AO62" i="15"/>
  <c r="K63" i="15"/>
  <c r="L63" i="15"/>
  <c r="N63" i="15"/>
  <c r="O63" i="15"/>
  <c r="P63" i="15"/>
  <c r="Q63" i="15"/>
  <c r="R63" i="15"/>
  <c r="S63" i="15"/>
  <c r="T63" i="15"/>
  <c r="U63" i="15"/>
  <c r="V63" i="15"/>
  <c r="W63" i="15"/>
  <c r="X63" i="15" s="1"/>
  <c r="Y63" i="15"/>
  <c r="Z63" i="15"/>
  <c r="AA63" i="15"/>
  <c r="AB63" i="15"/>
  <c r="AC63" i="15"/>
  <c r="AD63" i="15"/>
  <c r="AE63" i="15"/>
  <c r="AF63" i="15"/>
  <c r="AG63" i="15"/>
  <c r="AH63" i="15"/>
  <c r="AI63" i="15" s="1"/>
  <c r="AJ63" i="15"/>
  <c r="AK63" i="15"/>
  <c r="AL63" i="15"/>
  <c r="AM63" i="15"/>
  <c r="AN63" i="15"/>
  <c r="AO63" i="15"/>
  <c r="K64" i="15"/>
  <c r="J64" i="15" s="1"/>
  <c r="L64" i="15"/>
  <c r="N64" i="15"/>
  <c r="O64" i="15"/>
  <c r="P64" i="15"/>
  <c r="Q64" i="15"/>
  <c r="R64" i="15"/>
  <c r="S64" i="15"/>
  <c r="T64" i="15"/>
  <c r="U64" i="15"/>
  <c r="V64" i="15"/>
  <c r="W64" i="15"/>
  <c r="X64" i="15" s="1"/>
  <c r="Y64" i="15"/>
  <c r="Z64" i="15"/>
  <c r="AA64" i="15"/>
  <c r="AB64" i="15"/>
  <c r="AC64" i="15"/>
  <c r="AD64" i="15"/>
  <c r="AE64" i="15"/>
  <c r="AF64" i="15"/>
  <c r="AG64" i="15"/>
  <c r="AH64" i="15"/>
  <c r="AI64" i="15" s="1"/>
  <c r="AJ64" i="15"/>
  <c r="AK64" i="15"/>
  <c r="AL64" i="15"/>
  <c r="AM64" i="15"/>
  <c r="AN64" i="15"/>
  <c r="AO64" i="15"/>
  <c r="K65" i="15"/>
  <c r="E65" i="15" s="1"/>
  <c r="L65" i="15"/>
  <c r="N65" i="15"/>
  <c r="O65" i="15"/>
  <c r="P65" i="15"/>
  <c r="Q65" i="15"/>
  <c r="R65" i="15"/>
  <c r="S65" i="15"/>
  <c r="T65" i="15"/>
  <c r="U65" i="15"/>
  <c r="V65" i="15"/>
  <c r="W65" i="15"/>
  <c r="X65" i="15" s="1"/>
  <c r="Y65" i="15"/>
  <c r="Z65" i="15"/>
  <c r="AA65" i="15"/>
  <c r="AB65" i="15"/>
  <c r="AC65" i="15"/>
  <c r="AD65" i="15"/>
  <c r="AE65" i="15"/>
  <c r="AF65" i="15"/>
  <c r="AG65" i="15"/>
  <c r="AH65" i="15"/>
  <c r="AI65" i="15" s="1"/>
  <c r="AJ65" i="15"/>
  <c r="AK65" i="15"/>
  <c r="AL65" i="15"/>
  <c r="AM65" i="15"/>
  <c r="AN65" i="15"/>
  <c r="AO65" i="15"/>
  <c r="K66" i="15"/>
  <c r="M66" i="15" s="1"/>
  <c r="L66" i="15"/>
  <c r="N66" i="15"/>
  <c r="O66" i="15"/>
  <c r="P66" i="15"/>
  <c r="Q66" i="15"/>
  <c r="R66" i="15"/>
  <c r="S66" i="15"/>
  <c r="T66" i="15"/>
  <c r="U66" i="15"/>
  <c r="V66" i="15"/>
  <c r="W66" i="15"/>
  <c r="X66" i="15" s="1"/>
  <c r="Y66" i="15"/>
  <c r="Z66" i="15"/>
  <c r="AA66" i="15"/>
  <c r="AB66" i="15"/>
  <c r="AC66" i="15"/>
  <c r="AD66" i="15"/>
  <c r="AE66" i="15"/>
  <c r="AF66" i="15"/>
  <c r="AG66" i="15"/>
  <c r="AH66" i="15"/>
  <c r="AI66" i="15"/>
  <c r="AJ66" i="15"/>
  <c r="AK66" i="15"/>
  <c r="AL66" i="15"/>
  <c r="AM66" i="15"/>
  <c r="AN66" i="15"/>
  <c r="AO66" i="15"/>
  <c r="K67" i="15"/>
  <c r="L67" i="15"/>
  <c r="N67" i="15"/>
  <c r="O67" i="15"/>
  <c r="P67" i="15"/>
  <c r="Q67" i="15"/>
  <c r="R67" i="15"/>
  <c r="S67" i="15"/>
  <c r="T67" i="15"/>
  <c r="U67" i="15"/>
  <c r="V67" i="15"/>
  <c r="W67" i="15"/>
  <c r="X67" i="15" s="1"/>
  <c r="Y67" i="15"/>
  <c r="Z67" i="15"/>
  <c r="AA67" i="15"/>
  <c r="AB67" i="15"/>
  <c r="AC67" i="15"/>
  <c r="AD67" i="15"/>
  <c r="AE67" i="15"/>
  <c r="AF67" i="15"/>
  <c r="AG67" i="15"/>
  <c r="AH67" i="15"/>
  <c r="AI67" i="15" s="1"/>
  <c r="AJ67" i="15"/>
  <c r="AK67" i="15"/>
  <c r="AL67" i="15"/>
  <c r="AM67" i="15"/>
  <c r="AN67" i="15"/>
  <c r="AO67" i="15"/>
  <c r="K68" i="15"/>
  <c r="L68" i="15"/>
  <c r="N68" i="15"/>
  <c r="O68" i="15"/>
  <c r="P68" i="15"/>
  <c r="Q68" i="15"/>
  <c r="R68" i="15"/>
  <c r="S68" i="15"/>
  <c r="T68" i="15"/>
  <c r="U68" i="15"/>
  <c r="V68" i="15"/>
  <c r="W68" i="15"/>
  <c r="X68" i="15" s="1"/>
  <c r="Y68" i="15"/>
  <c r="Z68" i="15"/>
  <c r="AA68" i="15"/>
  <c r="AB68" i="15"/>
  <c r="AC68" i="15"/>
  <c r="AD68" i="15"/>
  <c r="AE68" i="15"/>
  <c r="AF68" i="15"/>
  <c r="AG68" i="15"/>
  <c r="AH68" i="15"/>
  <c r="AI68" i="15" s="1"/>
  <c r="AJ68" i="15"/>
  <c r="AK68" i="15"/>
  <c r="AL68" i="15"/>
  <c r="AM68" i="15"/>
  <c r="AN68" i="15"/>
  <c r="AO68" i="15"/>
  <c r="K69" i="15"/>
  <c r="J69" i="15" s="1"/>
  <c r="L69" i="15"/>
  <c r="N69" i="15"/>
  <c r="O69" i="15"/>
  <c r="P69" i="15"/>
  <c r="Q69" i="15"/>
  <c r="R69" i="15"/>
  <c r="S69" i="15"/>
  <c r="T69" i="15"/>
  <c r="U69" i="15"/>
  <c r="V69" i="15"/>
  <c r="W69" i="15"/>
  <c r="X69" i="15" s="1"/>
  <c r="Y69" i="15"/>
  <c r="Z69" i="15"/>
  <c r="AA69" i="15"/>
  <c r="AB69" i="15"/>
  <c r="AC69" i="15"/>
  <c r="AD69" i="15"/>
  <c r="AE69" i="15"/>
  <c r="AF69" i="15"/>
  <c r="AG69" i="15"/>
  <c r="AH69" i="15"/>
  <c r="AI69" i="15" s="1"/>
  <c r="AJ69" i="15"/>
  <c r="AK69" i="15"/>
  <c r="AL69" i="15"/>
  <c r="AM69" i="15"/>
  <c r="AN69" i="15"/>
  <c r="AO69" i="15"/>
  <c r="K70" i="15"/>
  <c r="L70" i="15"/>
  <c r="N70" i="15"/>
  <c r="O70" i="15"/>
  <c r="P70" i="15"/>
  <c r="Q70" i="15"/>
  <c r="R70" i="15"/>
  <c r="S70" i="15"/>
  <c r="T70" i="15"/>
  <c r="U70" i="15"/>
  <c r="V70" i="15"/>
  <c r="W70" i="15"/>
  <c r="X70" i="15" s="1"/>
  <c r="Y70" i="15"/>
  <c r="Z70" i="15"/>
  <c r="AA70" i="15"/>
  <c r="AB70" i="15"/>
  <c r="AC70" i="15"/>
  <c r="AD70" i="15"/>
  <c r="AE70" i="15"/>
  <c r="AF70" i="15"/>
  <c r="AG70" i="15"/>
  <c r="AH70" i="15"/>
  <c r="AI70" i="15" s="1"/>
  <c r="AJ70" i="15"/>
  <c r="AK70" i="15"/>
  <c r="AL70" i="15"/>
  <c r="AM70" i="15"/>
  <c r="AN70" i="15"/>
  <c r="AO70" i="15"/>
  <c r="K71" i="15"/>
  <c r="L71" i="15"/>
  <c r="N71" i="15"/>
  <c r="O71" i="15"/>
  <c r="P71" i="15"/>
  <c r="Q71" i="15"/>
  <c r="R71" i="15"/>
  <c r="S71" i="15"/>
  <c r="T71" i="15"/>
  <c r="U71" i="15"/>
  <c r="V71" i="15"/>
  <c r="W71" i="15"/>
  <c r="X71" i="15" s="1"/>
  <c r="Y71" i="15"/>
  <c r="Z71" i="15"/>
  <c r="AA71" i="15"/>
  <c r="AB71" i="15"/>
  <c r="AC71" i="15"/>
  <c r="AD71" i="15"/>
  <c r="AE71" i="15"/>
  <c r="AF71" i="15"/>
  <c r="AG71" i="15"/>
  <c r="AH71" i="15"/>
  <c r="AI71" i="15" s="1"/>
  <c r="AJ71" i="15"/>
  <c r="AK71" i="15"/>
  <c r="AL71" i="15"/>
  <c r="AM71" i="15"/>
  <c r="AN71" i="15"/>
  <c r="AO71" i="15"/>
  <c r="K72" i="15"/>
  <c r="L72" i="15"/>
  <c r="N72" i="15"/>
  <c r="O72" i="15"/>
  <c r="P72" i="15"/>
  <c r="Q72" i="15"/>
  <c r="R72" i="15"/>
  <c r="S72" i="15"/>
  <c r="T72" i="15"/>
  <c r="U72" i="15"/>
  <c r="V72" i="15"/>
  <c r="W72" i="15"/>
  <c r="X72" i="15" s="1"/>
  <c r="Y72" i="15"/>
  <c r="Z72" i="15"/>
  <c r="AA72" i="15"/>
  <c r="AB72" i="15"/>
  <c r="AC72" i="15"/>
  <c r="AD72" i="15"/>
  <c r="AE72" i="15"/>
  <c r="AF72" i="15"/>
  <c r="AG72" i="15"/>
  <c r="AH72" i="15"/>
  <c r="AI72" i="15" s="1"/>
  <c r="AJ72" i="15"/>
  <c r="AK72" i="15"/>
  <c r="AL72" i="15"/>
  <c r="AM72" i="15"/>
  <c r="AN72" i="15"/>
  <c r="AO72" i="15"/>
  <c r="K73" i="15"/>
  <c r="F73" i="15" s="1"/>
  <c r="L73" i="15"/>
  <c r="N73" i="15"/>
  <c r="O73" i="15"/>
  <c r="P73" i="15"/>
  <c r="Q73" i="15"/>
  <c r="R73" i="15"/>
  <c r="S73" i="15"/>
  <c r="T73" i="15"/>
  <c r="U73" i="15"/>
  <c r="V73" i="15"/>
  <c r="W73" i="15"/>
  <c r="X73" i="15" s="1"/>
  <c r="Y73" i="15"/>
  <c r="Z73" i="15"/>
  <c r="AA73" i="15"/>
  <c r="AB73" i="15"/>
  <c r="AC73" i="15"/>
  <c r="AD73" i="15"/>
  <c r="AE73" i="15"/>
  <c r="AF73" i="15"/>
  <c r="AG73" i="15"/>
  <c r="AH73" i="15"/>
  <c r="AI73" i="15" s="1"/>
  <c r="AJ73" i="15"/>
  <c r="AK73" i="15"/>
  <c r="AL73" i="15"/>
  <c r="AM73" i="15"/>
  <c r="AN73" i="15"/>
  <c r="AO73" i="15"/>
  <c r="K74" i="15"/>
  <c r="L74" i="15"/>
  <c r="N74" i="15"/>
  <c r="O74" i="15"/>
  <c r="P74" i="15"/>
  <c r="Q74" i="15"/>
  <c r="R74" i="15"/>
  <c r="S74" i="15"/>
  <c r="T74" i="15"/>
  <c r="U74" i="15"/>
  <c r="V74" i="15"/>
  <c r="W74" i="15"/>
  <c r="X74" i="15" s="1"/>
  <c r="Y74" i="15"/>
  <c r="Z74" i="15"/>
  <c r="AA74" i="15"/>
  <c r="AB74" i="15"/>
  <c r="AC74" i="15"/>
  <c r="AD74" i="15"/>
  <c r="AE74" i="15"/>
  <c r="AF74" i="15"/>
  <c r="AG74" i="15"/>
  <c r="AH74" i="15"/>
  <c r="AI74" i="15" s="1"/>
  <c r="AJ74" i="15"/>
  <c r="AK74" i="15"/>
  <c r="AL74" i="15"/>
  <c r="AM74" i="15"/>
  <c r="AN74" i="15"/>
  <c r="AO74" i="15"/>
  <c r="K75" i="15"/>
  <c r="L75" i="15"/>
  <c r="N75" i="15"/>
  <c r="O75" i="15"/>
  <c r="P75" i="15"/>
  <c r="Q75" i="15"/>
  <c r="R75" i="15"/>
  <c r="S75" i="15"/>
  <c r="T75" i="15"/>
  <c r="U75" i="15"/>
  <c r="V75" i="15"/>
  <c r="W75" i="15"/>
  <c r="X75" i="15" s="1"/>
  <c r="Y75" i="15"/>
  <c r="Z75" i="15"/>
  <c r="AA75" i="15"/>
  <c r="AB75" i="15"/>
  <c r="AC75" i="15"/>
  <c r="AD75" i="15"/>
  <c r="AE75" i="15"/>
  <c r="AF75" i="15"/>
  <c r="AG75" i="15"/>
  <c r="AH75" i="15"/>
  <c r="AI75" i="15" s="1"/>
  <c r="AJ75" i="15"/>
  <c r="AK75" i="15"/>
  <c r="AL75" i="15"/>
  <c r="AM75" i="15"/>
  <c r="AN75" i="15"/>
  <c r="AO75" i="15"/>
  <c r="K76" i="15"/>
  <c r="I76" i="15" s="1"/>
  <c r="L76" i="15"/>
  <c r="N76" i="15"/>
  <c r="O76" i="15"/>
  <c r="P76" i="15"/>
  <c r="Q76" i="15"/>
  <c r="R76" i="15"/>
  <c r="S76" i="15"/>
  <c r="T76" i="15"/>
  <c r="U76" i="15"/>
  <c r="V76" i="15"/>
  <c r="W76" i="15"/>
  <c r="X76" i="15" s="1"/>
  <c r="Y76" i="15"/>
  <c r="Z76" i="15"/>
  <c r="AA76" i="15"/>
  <c r="AB76" i="15"/>
  <c r="AC76" i="15"/>
  <c r="AD76" i="15"/>
  <c r="AE76" i="15"/>
  <c r="AF76" i="15"/>
  <c r="AG76" i="15"/>
  <c r="AH76" i="15"/>
  <c r="AI76" i="15" s="1"/>
  <c r="AJ76" i="15"/>
  <c r="AK76" i="15"/>
  <c r="AL76" i="15"/>
  <c r="AM76" i="15"/>
  <c r="AN76" i="15"/>
  <c r="AO76" i="15"/>
  <c r="K77" i="15"/>
  <c r="B77" i="15" s="1"/>
  <c r="L77" i="15"/>
  <c r="N77" i="15"/>
  <c r="O77" i="15"/>
  <c r="P77" i="15"/>
  <c r="Q77" i="15"/>
  <c r="R77" i="15"/>
  <c r="S77" i="15"/>
  <c r="T77" i="15"/>
  <c r="U77" i="15"/>
  <c r="V77" i="15"/>
  <c r="W77" i="15"/>
  <c r="X77" i="15" s="1"/>
  <c r="Y77" i="15"/>
  <c r="Z77" i="15"/>
  <c r="AA77" i="15"/>
  <c r="AB77" i="15"/>
  <c r="AC77" i="15"/>
  <c r="AD77" i="15"/>
  <c r="AE77" i="15"/>
  <c r="AF77" i="15"/>
  <c r="AG77" i="15"/>
  <c r="AH77" i="15"/>
  <c r="AI77" i="15" s="1"/>
  <c r="AJ77" i="15"/>
  <c r="AK77" i="15"/>
  <c r="AL77" i="15"/>
  <c r="AM77" i="15"/>
  <c r="AN77" i="15"/>
  <c r="AO77" i="15"/>
  <c r="K78" i="15"/>
  <c r="AP78" i="15" s="1"/>
  <c r="L78" i="15"/>
  <c r="N78" i="15"/>
  <c r="O78" i="15"/>
  <c r="P78" i="15"/>
  <c r="Q78" i="15"/>
  <c r="R78" i="15"/>
  <c r="S78" i="15"/>
  <c r="T78" i="15"/>
  <c r="U78" i="15"/>
  <c r="V78" i="15"/>
  <c r="W78" i="15"/>
  <c r="X78" i="15" s="1"/>
  <c r="Y78" i="15"/>
  <c r="Z78" i="15"/>
  <c r="AA78" i="15"/>
  <c r="AB78" i="15"/>
  <c r="AC78" i="15"/>
  <c r="AD78" i="15"/>
  <c r="AE78" i="15"/>
  <c r="AF78" i="15"/>
  <c r="AG78" i="15"/>
  <c r="AH78" i="15"/>
  <c r="AI78" i="15" s="1"/>
  <c r="AJ78" i="15"/>
  <c r="AK78" i="15"/>
  <c r="AL78" i="15"/>
  <c r="AM78" i="15"/>
  <c r="AN78" i="15"/>
  <c r="AO78" i="15"/>
  <c r="K79" i="15"/>
  <c r="L79" i="15"/>
  <c r="N79" i="15"/>
  <c r="O79" i="15"/>
  <c r="P79" i="15"/>
  <c r="Q79" i="15"/>
  <c r="R79" i="15"/>
  <c r="S79" i="15"/>
  <c r="T79" i="15"/>
  <c r="U79" i="15"/>
  <c r="V79" i="15"/>
  <c r="W79" i="15"/>
  <c r="X79" i="15" s="1"/>
  <c r="Y79" i="15"/>
  <c r="Z79" i="15"/>
  <c r="AA79" i="15"/>
  <c r="AB79" i="15"/>
  <c r="AC79" i="15"/>
  <c r="AD79" i="15"/>
  <c r="AE79" i="15"/>
  <c r="AF79" i="15"/>
  <c r="AG79" i="15"/>
  <c r="AH79" i="15"/>
  <c r="AI79" i="15" s="1"/>
  <c r="AJ79" i="15"/>
  <c r="AK79" i="15"/>
  <c r="AL79" i="15"/>
  <c r="AM79" i="15"/>
  <c r="AN79" i="15"/>
  <c r="AO79" i="15"/>
  <c r="K80" i="15"/>
  <c r="E80" i="15" s="1"/>
  <c r="L80" i="15"/>
  <c r="N80" i="15"/>
  <c r="O80" i="15"/>
  <c r="P80" i="15"/>
  <c r="Q80" i="15"/>
  <c r="R80" i="15"/>
  <c r="S80" i="15"/>
  <c r="T80" i="15"/>
  <c r="U80" i="15"/>
  <c r="V80" i="15"/>
  <c r="W80" i="15"/>
  <c r="X80" i="15" s="1"/>
  <c r="Y80" i="15"/>
  <c r="Z80" i="15"/>
  <c r="AA80" i="15"/>
  <c r="AB80" i="15"/>
  <c r="AC80" i="15"/>
  <c r="AD80" i="15"/>
  <c r="AE80" i="15"/>
  <c r="AF80" i="15"/>
  <c r="AG80" i="15"/>
  <c r="AH80" i="15"/>
  <c r="AI80" i="15" s="1"/>
  <c r="AJ80" i="15"/>
  <c r="AK80" i="15"/>
  <c r="AL80" i="15"/>
  <c r="AM80" i="15"/>
  <c r="AN80" i="15"/>
  <c r="AO80" i="15"/>
  <c r="K81" i="15"/>
  <c r="J81" i="15" s="1"/>
  <c r="L81" i="15"/>
  <c r="N81" i="15"/>
  <c r="O81" i="15"/>
  <c r="P81" i="15"/>
  <c r="Q81" i="15"/>
  <c r="R81" i="15"/>
  <c r="S81" i="15"/>
  <c r="T81" i="15"/>
  <c r="U81" i="15"/>
  <c r="V81" i="15"/>
  <c r="W81" i="15"/>
  <c r="X81" i="15" s="1"/>
  <c r="Y81" i="15"/>
  <c r="Z81" i="15"/>
  <c r="AA81" i="15"/>
  <c r="AB81" i="15"/>
  <c r="AC81" i="15"/>
  <c r="AD81" i="15"/>
  <c r="AE81" i="15"/>
  <c r="AF81" i="15"/>
  <c r="AG81" i="15"/>
  <c r="AH81" i="15"/>
  <c r="AI81" i="15" s="1"/>
  <c r="AJ81" i="15"/>
  <c r="AK81" i="15"/>
  <c r="AL81" i="15"/>
  <c r="AM81" i="15"/>
  <c r="AN81" i="15"/>
  <c r="AO81" i="15"/>
  <c r="K82" i="15"/>
  <c r="C82" i="15" s="1"/>
  <c r="L82" i="15"/>
  <c r="N82" i="15"/>
  <c r="O82" i="15"/>
  <c r="P82" i="15"/>
  <c r="Q82" i="15"/>
  <c r="R82" i="15"/>
  <c r="S82" i="15"/>
  <c r="T82" i="15"/>
  <c r="U82" i="15"/>
  <c r="V82" i="15"/>
  <c r="W82" i="15"/>
  <c r="X82" i="15" s="1"/>
  <c r="Y82" i="15"/>
  <c r="Z82" i="15"/>
  <c r="AA82" i="15"/>
  <c r="AB82" i="15"/>
  <c r="AC82" i="15"/>
  <c r="AD82" i="15"/>
  <c r="AE82" i="15"/>
  <c r="AF82" i="15"/>
  <c r="AG82" i="15"/>
  <c r="AH82" i="15"/>
  <c r="AI82" i="15" s="1"/>
  <c r="AJ82" i="15"/>
  <c r="AK82" i="15"/>
  <c r="AL82" i="15"/>
  <c r="AM82" i="15"/>
  <c r="AN82" i="15"/>
  <c r="AO82" i="15"/>
  <c r="K83" i="15"/>
  <c r="H83" i="15" s="1"/>
  <c r="L83" i="15"/>
  <c r="N83" i="15"/>
  <c r="O83" i="15"/>
  <c r="P83" i="15"/>
  <c r="Q83" i="15"/>
  <c r="R83" i="15"/>
  <c r="S83" i="15"/>
  <c r="T83" i="15"/>
  <c r="U83" i="15"/>
  <c r="V83" i="15"/>
  <c r="W83" i="15"/>
  <c r="X83" i="15" s="1"/>
  <c r="Y83" i="15"/>
  <c r="Z83" i="15"/>
  <c r="AA83" i="15"/>
  <c r="AB83" i="15"/>
  <c r="AC83" i="15"/>
  <c r="AD83" i="15"/>
  <c r="AE83" i="15"/>
  <c r="AF83" i="15"/>
  <c r="AG83" i="15"/>
  <c r="AH83" i="15"/>
  <c r="AI83" i="15" s="1"/>
  <c r="AJ83" i="15"/>
  <c r="AK83" i="15"/>
  <c r="AL83" i="15"/>
  <c r="AM83" i="15"/>
  <c r="AN83" i="15"/>
  <c r="AO83" i="15"/>
  <c r="K84" i="15"/>
  <c r="L84" i="15"/>
  <c r="N84" i="15"/>
  <c r="O84" i="15"/>
  <c r="P84" i="15"/>
  <c r="Q84" i="15"/>
  <c r="R84" i="15"/>
  <c r="S84" i="15"/>
  <c r="T84" i="15"/>
  <c r="U84" i="15"/>
  <c r="V84" i="15"/>
  <c r="W84" i="15"/>
  <c r="X84" i="15" s="1"/>
  <c r="Y84" i="15"/>
  <c r="Z84" i="15"/>
  <c r="AA84" i="15"/>
  <c r="AB84" i="15"/>
  <c r="AC84" i="15"/>
  <c r="AD84" i="15"/>
  <c r="AE84" i="15"/>
  <c r="AF84" i="15"/>
  <c r="AG84" i="15"/>
  <c r="AH84" i="15"/>
  <c r="AI84" i="15" s="1"/>
  <c r="AJ84" i="15"/>
  <c r="AK84" i="15"/>
  <c r="AL84" i="15"/>
  <c r="AM84" i="15"/>
  <c r="AN84" i="15"/>
  <c r="AO84" i="15"/>
  <c r="K85" i="15"/>
  <c r="F85" i="15" s="1"/>
  <c r="L85" i="15"/>
  <c r="N85" i="15"/>
  <c r="O85" i="15"/>
  <c r="P85" i="15"/>
  <c r="Q85" i="15"/>
  <c r="R85" i="15"/>
  <c r="S85" i="15"/>
  <c r="T85" i="15"/>
  <c r="U85" i="15"/>
  <c r="V85" i="15"/>
  <c r="W85" i="15"/>
  <c r="X85" i="15" s="1"/>
  <c r="Y85" i="15"/>
  <c r="Z85" i="15"/>
  <c r="AA85" i="15"/>
  <c r="AB85" i="15"/>
  <c r="AC85" i="15"/>
  <c r="AD85" i="15"/>
  <c r="AE85" i="15"/>
  <c r="AF85" i="15"/>
  <c r="AG85" i="15"/>
  <c r="AH85" i="15"/>
  <c r="AI85" i="15" s="1"/>
  <c r="AJ85" i="15"/>
  <c r="AK85" i="15"/>
  <c r="AL85" i="15"/>
  <c r="AM85" i="15"/>
  <c r="AN85" i="15"/>
  <c r="AO85" i="15"/>
  <c r="K86" i="15"/>
  <c r="J86" i="15" s="1"/>
  <c r="L86" i="15"/>
  <c r="N86" i="15"/>
  <c r="O86" i="15"/>
  <c r="P86" i="15"/>
  <c r="Q86" i="15"/>
  <c r="R86" i="15"/>
  <c r="S86" i="15"/>
  <c r="T86" i="15"/>
  <c r="U86" i="15"/>
  <c r="V86" i="15"/>
  <c r="W86" i="15"/>
  <c r="X86" i="15" s="1"/>
  <c r="Y86" i="15"/>
  <c r="Z86" i="15"/>
  <c r="AA86" i="15"/>
  <c r="AB86" i="15"/>
  <c r="AC86" i="15"/>
  <c r="AD86" i="15"/>
  <c r="AE86" i="15"/>
  <c r="AF86" i="15"/>
  <c r="AG86" i="15"/>
  <c r="AH86" i="15"/>
  <c r="AI86" i="15" s="1"/>
  <c r="AJ86" i="15"/>
  <c r="AK86" i="15"/>
  <c r="AL86" i="15"/>
  <c r="AM86" i="15"/>
  <c r="AN86" i="15"/>
  <c r="AO86" i="15"/>
  <c r="K87" i="15"/>
  <c r="L87" i="15"/>
  <c r="N87" i="15"/>
  <c r="O87" i="15"/>
  <c r="P87" i="15"/>
  <c r="Q87" i="15"/>
  <c r="R87" i="15"/>
  <c r="S87" i="15"/>
  <c r="T87" i="15"/>
  <c r="U87" i="15"/>
  <c r="V87" i="15"/>
  <c r="W87" i="15"/>
  <c r="X87" i="15" s="1"/>
  <c r="Y87" i="15"/>
  <c r="Z87" i="15"/>
  <c r="AA87" i="15"/>
  <c r="AB87" i="15"/>
  <c r="AC87" i="15"/>
  <c r="AD87" i="15"/>
  <c r="AE87" i="15"/>
  <c r="AF87" i="15"/>
  <c r="AG87" i="15"/>
  <c r="AH87" i="15"/>
  <c r="AI87" i="15" s="1"/>
  <c r="AJ87" i="15"/>
  <c r="AK87" i="15"/>
  <c r="AL87" i="15"/>
  <c r="AM87" i="15"/>
  <c r="AN87" i="15"/>
  <c r="AO87" i="15"/>
  <c r="K88" i="15"/>
  <c r="L88" i="15"/>
  <c r="N88" i="15"/>
  <c r="O88" i="15"/>
  <c r="P88" i="15"/>
  <c r="Q88" i="15"/>
  <c r="R88" i="15"/>
  <c r="S88" i="15"/>
  <c r="T88" i="15"/>
  <c r="U88" i="15"/>
  <c r="V88" i="15"/>
  <c r="W88" i="15"/>
  <c r="X88" i="15" s="1"/>
  <c r="Y88" i="15"/>
  <c r="Z88" i="15"/>
  <c r="AA88" i="15"/>
  <c r="AB88" i="15"/>
  <c r="AC88" i="15"/>
  <c r="AD88" i="15"/>
  <c r="AE88" i="15"/>
  <c r="AF88" i="15"/>
  <c r="AG88" i="15"/>
  <c r="AH88" i="15"/>
  <c r="AI88" i="15" s="1"/>
  <c r="AJ88" i="15"/>
  <c r="AK88" i="15"/>
  <c r="AL88" i="15"/>
  <c r="AM88" i="15"/>
  <c r="AN88" i="15"/>
  <c r="AO88" i="15"/>
  <c r="K89" i="15"/>
  <c r="B89" i="15" s="1"/>
  <c r="L89" i="15"/>
  <c r="N89" i="15"/>
  <c r="O89" i="15"/>
  <c r="P89" i="15"/>
  <c r="Q89" i="15"/>
  <c r="R89" i="15"/>
  <c r="S89" i="15"/>
  <c r="T89" i="15"/>
  <c r="U89" i="15"/>
  <c r="V89" i="15"/>
  <c r="W89" i="15"/>
  <c r="X89" i="15" s="1"/>
  <c r="Y89" i="15"/>
  <c r="Z89" i="15"/>
  <c r="AA89" i="15"/>
  <c r="AB89" i="15"/>
  <c r="AC89" i="15"/>
  <c r="AD89" i="15"/>
  <c r="AE89" i="15"/>
  <c r="AF89" i="15"/>
  <c r="AG89" i="15"/>
  <c r="AH89" i="15"/>
  <c r="AI89" i="15" s="1"/>
  <c r="AJ89" i="15"/>
  <c r="AK89" i="15"/>
  <c r="AL89" i="15"/>
  <c r="AM89" i="15"/>
  <c r="AN89" i="15"/>
  <c r="AO89" i="15"/>
  <c r="K90" i="15"/>
  <c r="G90" i="15" s="1"/>
  <c r="L90" i="15"/>
  <c r="N90" i="15"/>
  <c r="O90" i="15"/>
  <c r="P90" i="15"/>
  <c r="Q90" i="15"/>
  <c r="R90" i="15"/>
  <c r="S90" i="15"/>
  <c r="T90" i="15"/>
  <c r="U90" i="15"/>
  <c r="V90" i="15"/>
  <c r="W90" i="15"/>
  <c r="X90" i="15" s="1"/>
  <c r="Y90" i="15"/>
  <c r="Z90" i="15"/>
  <c r="AA90" i="15"/>
  <c r="AB90" i="15"/>
  <c r="AC90" i="15"/>
  <c r="AD90" i="15"/>
  <c r="AE90" i="15"/>
  <c r="AF90" i="15"/>
  <c r="AG90" i="15"/>
  <c r="AH90" i="15"/>
  <c r="AI90" i="15" s="1"/>
  <c r="AJ90" i="15"/>
  <c r="AK90" i="15"/>
  <c r="AL90" i="15"/>
  <c r="AM90" i="15"/>
  <c r="AN90" i="15"/>
  <c r="AO90" i="15"/>
  <c r="K91" i="15"/>
  <c r="L91" i="15"/>
  <c r="N91" i="15"/>
  <c r="O91" i="15"/>
  <c r="P91" i="15"/>
  <c r="Q91" i="15"/>
  <c r="R91" i="15"/>
  <c r="S91" i="15"/>
  <c r="T91" i="15"/>
  <c r="U91" i="15"/>
  <c r="V91" i="15"/>
  <c r="W91" i="15"/>
  <c r="X91" i="15" s="1"/>
  <c r="Y91" i="15"/>
  <c r="Z91" i="15"/>
  <c r="AA91" i="15"/>
  <c r="AB91" i="15"/>
  <c r="AC91" i="15"/>
  <c r="AD91" i="15"/>
  <c r="AE91" i="15"/>
  <c r="AF91" i="15"/>
  <c r="AG91" i="15"/>
  <c r="AH91" i="15"/>
  <c r="AI91" i="15" s="1"/>
  <c r="AJ91" i="15"/>
  <c r="AK91" i="15"/>
  <c r="AL91" i="15"/>
  <c r="AM91" i="15"/>
  <c r="AN91" i="15"/>
  <c r="AO91" i="15"/>
  <c r="K92" i="15"/>
  <c r="E92" i="15" s="1"/>
  <c r="L92" i="15"/>
  <c r="N92" i="15"/>
  <c r="O92" i="15"/>
  <c r="P92" i="15"/>
  <c r="Q92" i="15"/>
  <c r="R92" i="15"/>
  <c r="S92" i="15"/>
  <c r="T92" i="15"/>
  <c r="U92" i="15"/>
  <c r="V92" i="15"/>
  <c r="W92" i="15"/>
  <c r="X92" i="15" s="1"/>
  <c r="Y92" i="15"/>
  <c r="Z92" i="15"/>
  <c r="AA92" i="15"/>
  <c r="AB92" i="15"/>
  <c r="AC92" i="15"/>
  <c r="AD92" i="15"/>
  <c r="AE92" i="15"/>
  <c r="AF92" i="15"/>
  <c r="AG92" i="15"/>
  <c r="AH92" i="15"/>
  <c r="AI92" i="15" s="1"/>
  <c r="AJ92" i="15"/>
  <c r="AK92" i="15"/>
  <c r="AL92" i="15"/>
  <c r="AM92" i="15"/>
  <c r="AN92" i="15"/>
  <c r="AO92" i="15"/>
  <c r="K93" i="15"/>
  <c r="L93" i="15"/>
  <c r="N93" i="15"/>
  <c r="O93" i="15"/>
  <c r="P93" i="15"/>
  <c r="Q93" i="15"/>
  <c r="R93" i="15"/>
  <c r="S93" i="15"/>
  <c r="T93" i="15"/>
  <c r="U93" i="15"/>
  <c r="V93" i="15"/>
  <c r="W93" i="15"/>
  <c r="X93" i="15" s="1"/>
  <c r="Y93" i="15"/>
  <c r="Z93" i="15"/>
  <c r="AA93" i="15"/>
  <c r="AB93" i="15"/>
  <c r="AC93" i="15"/>
  <c r="AD93" i="15"/>
  <c r="AE93" i="15"/>
  <c r="AF93" i="15"/>
  <c r="AG93" i="15"/>
  <c r="AH93" i="15"/>
  <c r="AI93" i="15" s="1"/>
  <c r="AJ93" i="15"/>
  <c r="AK93" i="15"/>
  <c r="AL93" i="15"/>
  <c r="AM93" i="15"/>
  <c r="AN93" i="15"/>
  <c r="AO93" i="15"/>
  <c r="K94" i="15"/>
  <c r="H94" i="15" s="1"/>
  <c r="L94" i="15"/>
  <c r="N94" i="15"/>
  <c r="O94" i="15"/>
  <c r="P94" i="15"/>
  <c r="Q94" i="15"/>
  <c r="R94" i="15"/>
  <c r="S94" i="15"/>
  <c r="T94" i="15"/>
  <c r="U94" i="15"/>
  <c r="V94" i="15"/>
  <c r="W94" i="15"/>
  <c r="X94" i="15" s="1"/>
  <c r="Y94" i="15"/>
  <c r="Z94" i="15"/>
  <c r="AA94" i="15"/>
  <c r="AB94" i="15"/>
  <c r="AC94" i="15"/>
  <c r="AD94" i="15"/>
  <c r="AE94" i="15"/>
  <c r="AF94" i="15"/>
  <c r="AG94" i="15"/>
  <c r="AH94" i="15"/>
  <c r="AI94" i="15" s="1"/>
  <c r="AJ94" i="15"/>
  <c r="AK94" i="15"/>
  <c r="AL94" i="15"/>
  <c r="AM94" i="15"/>
  <c r="AN94" i="15"/>
  <c r="AO94" i="15"/>
  <c r="K95" i="15"/>
  <c r="L95" i="15"/>
  <c r="N95" i="15"/>
  <c r="O95" i="15"/>
  <c r="P95" i="15"/>
  <c r="Q95" i="15"/>
  <c r="R95" i="15"/>
  <c r="S95" i="15"/>
  <c r="T95" i="15"/>
  <c r="U95" i="15"/>
  <c r="V95" i="15"/>
  <c r="W95" i="15"/>
  <c r="X95" i="15" s="1"/>
  <c r="Y95" i="15"/>
  <c r="Z95" i="15"/>
  <c r="AA95" i="15"/>
  <c r="AB95" i="15"/>
  <c r="AC95" i="15"/>
  <c r="AD95" i="15"/>
  <c r="AE95" i="15"/>
  <c r="AF95" i="15"/>
  <c r="AG95" i="15"/>
  <c r="AH95" i="15"/>
  <c r="AI95" i="15" s="1"/>
  <c r="AJ95" i="15"/>
  <c r="AK95" i="15"/>
  <c r="AL95" i="15"/>
  <c r="AM95" i="15"/>
  <c r="AN95" i="15"/>
  <c r="AO95" i="15"/>
  <c r="K96" i="15"/>
  <c r="L96" i="15"/>
  <c r="N96" i="15"/>
  <c r="O96" i="15"/>
  <c r="P96" i="15"/>
  <c r="Q96" i="15"/>
  <c r="R96" i="15"/>
  <c r="S96" i="15"/>
  <c r="T96" i="15"/>
  <c r="U96" i="15"/>
  <c r="V96" i="15"/>
  <c r="W96" i="15"/>
  <c r="X96" i="15" s="1"/>
  <c r="Y96" i="15"/>
  <c r="Z96" i="15"/>
  <c r="AA96" i="15"/>
  <c r="AB96" i="15"/>
  <c r="AC96" i="15"/>
  <c r="AD96" i="15"/>
  <c r="AE96" i="15"/>
  <c r="AF96" i="15"/>
  <c r="AG96" i="15"/>
  <c r="AH96" i="15"/>
  <c r="AI96" i="15" s="1"/>
  <c r="AJ96" i="15"/>
  <c r="AK96" i="15"/>
  <c r="AL96" i="15"/>
  <c r="AM96" i="15"/>
  <c r="AN96" i="15"/>
  <c r="AO96" i="15"/>
  <c r="K97" i="15"/>
  <c r="F97" i="15" s="1"/>
  <c r="L97" i="15"/>
  <c r="N97" i="15"/>
  <c r="O97" i="15"/>
  <c r="P97" i="15"/>
  <c r="Q97" i="15"/>
  <c r="R97" i="15"/>
  <c r="S97" i="15"/>
  <c r="T97" i="15"/>
  <c r="U97" i="15"/>
  <c r="V97" i="15"/>
  <c r="W97" i="15"/>
  <c r="X97" i="15" s="1"/>
  <c r="Y97" i="15"/>
  <c r="Z97" i="15"/>
  <c r="AA97" i="15"/>
  <c r="AB97" i="15"/>
  <c r="AC97" i="15"/>
  <c r="AD97" i="15"/>
  <c r="AE97" i="15"/>
  <c r="AF97" i="15"/>
  <c r="AG97" i="15"/>
  <c r="AH97" i="15"/>
  <c r="AI97" i="15" s="1"/>
  <c r="AJ97" i="15"/>
  <c r="AK97" i="15"/>
  <c r="AL97" i="15"/>
  <c r="AM97" i="15"/>
  <c r="AN97" i="15"/>
  <c r="AO97" i="15"/>
  <c r="K98" i="15"/>
  <c r="L98" i="15"/>
  <c r="N98" i="15"/>
  <c r="O98" i="15"/>
  <c r="P98" i="15"/>
  <c r="Q98" i="15"/>
  <c r="R98" i="15"/>
  <c r="S98" i="15"/>
  <c r="T98" i="15"/>
  <c r="U98" i="15"/>
  <c r="V98" i="15"/>
  <c r="W98" i="15"/>
  <c r="X98" i="15" s="1"/>
  <c r="Y98" i="15"/>
  <c r="Z98" i="15"/>
  <c r="AA98" i="15"/>
  <c r="AB98" i="15"/>
  <c r="AC98" i="15"/>
  <c r="AD98" i="15"/>
  <c r="AE98" i="15"/>
  <c r="AF98" i="15"/>
  <c r="AG98" i="15"/>
  <c r="AH98" i="15"/>
  <c r="AI98" i="15" s="1"/>
  <c r="AJ98" i="15"/>
  <c r="AK98" i="15"/>
  <c r="AL98" i="15"/>
  <c r="AM98" i="15"/>
  <c r="AN98" i="15"/>
  <c r="AO98" i="15"/>
  <c r="K99" i="15"/>
  <c r="L99" i="15"/>
  <c r="N99" i="15"/>
  <c r="O99" i="15"/>
  <c r="P99" i="15"/>
  <c r="Q99" i="15"/>
  <c r="R99" i="15"/>
  <c r="S99" i="15"/>
  <c r="T99" i="15"/>
  <c r="U99" i="15"/>
  <c r="V99" i="15"/>
  <c r="W99" i="15"/>
  <c r="X99" i="15" s="1"/>
  <c r="Y99" i="15"/>
  <c r="Z99" i="15"/>
  <c r="AA99" i="15"/>
  <c r="AB99" i="15"/>
  <c r="AC99" i="15"/>
  <c r="AD99" i="15"/>
  <c r="AE99" i="15"/>
  <c r="AF99" i="15"/>
  <c r="AG99" i="15"/>
  <c r="AH99" i="15"/>
  <c r="AI99" i="15" s="1"/>
  <c r="AJ99" i="15"/>
  <c r="AK99" i="15"/>
  <c r="AL99" i="15"/>
  <c r="AM99" i="15"/>
  <c r="AN99" i="15"/>
  <c r="AO99" i="15"/>
  <c r="K100" i="15"/>
  <c r="A100" i="15" s="1"/>
  <c r="L100" i="15"/>
  <c r="N100" i="15"/>
  <c r="O100" i="15"/>
  <c r="P100" i="15"/>
  <c r="Q100" i="15"/>
  <c r="R100" i="15"/>
  <c r="S100" i="15"/>
  <c r="T100" i="15"/>
  <c r="U100" i="15"/>
  <c r="V100" i="15"/>
  <c r="W100" i="15"/>
  <c r="X100" i="15" s="1"/>
  <c r="Y100" i="15"/>
  <c r="Z100" i="15"/>
  <c r="AA100" i="15"/>
  <c r="AB100" i="15"/>
  <c r="AC100" i="15"/>
  <c r="AD100" i="15"/>
  <c r="AE100" i="15"/>
  <c r="AF100" i="15"/>
  <c r="AG100" i="15"/>
  <c r="AH100" i="15"/>
  <c r="AI100" i="15" s="1"/>
  <c r="AJ100" i="15"/>
  <c r="AK100" i="15"/>
  <c r="AL100" i="15"/>
  <c r="AM100" i="15"/>
  <c r="AN100" i="15"/>
  <c r="AO100" i="15"/>
  <c r="K101" i="15"/>
  <c r="B101" i="15" s="1"/>
  <c r="L101" i="15"/>
  <c r="N101" i="15"/>
  <c r="O101" i="15"/>
  <c r="P101" i="15"/>
  <c r="Q101" i="15"/>
  <c r="R101" i="15"/>
  <c r="S101" i="15"/>
  <c r="T101" i="15"/>
  <c r="U101" i="15"/>
  <c r="V101" i="15"/>
  <c r="W101" i="15"/>
  <c r="X101" i="15" s="1"/>
  <c r="Y101" i="15"/>
  <c r="Z101" i="15"/>
  <c r="AA101" i="15"/>
  <c r="AB101" i="15"/>
  <c r="AC101" i="15"/>
  <c r="AD101" i="15"/>
  <c r="AE101" i="15"/>
  <c r="AF101" i="15"/>
  <c r="AG101" i="15"/>
  <c r="AH101" i="15"/>
  <c r="AI101" i="15" s="1"/>
  <c r="AJ101" i="15"/>
  <c r="AK101" i="15"/>
  <c r="AL101" i="15"/>
  <c r="AM101" i="15"/>
  <c r="AN101" i="15"/>
  <c r="AO101" i="15"/>
  <c r="K102" i="15"/>
  <c r="G102" i="15" s="1"/>
  <c r="L102" i="15"/>
  <c r="N102" i="15"/>
  <c r="O102" i="15"/>
  <c r="P102" i="15"/>
  <c r="Q102" i="15"/>
  <c r="R102" i="15"/>
  <c r="S102" i="15"/>
  <c r="T102" i="15"/>
  <c r="U102" i="15"/>
  <c r="V102" i="15"/>
  <c r="W102" i="15"/>
  <c r="X102" i="15" s="1"/>
  <c r="Y102" i="15"/>
  <c r="Z102" i="15"/>
  <c r="AA102" i="15"/>
  <c r="AB102" i="15"/>
  <c r="AC102" i="15"/>
  <c r="AD102" i="15"/>
  <c r="AE102" i="15"/>
  <c r="AF102" i="15"/>
  <c r="AG102" i="15"/>
  <c r="AH102" i="15"/>
  <c r="AI102" i="15" s="1"/>
  <c r="AJ102" i="15"/>
  <c r="AK102" i="15"/>
  <c r="AL102" i="15"/>
  <c r="AM102" i="15"/>
  <c r="AN102" i="15"/>
  <c r="AO102" i="15"/>
  <c r="K103" i="15"/>
  <c r="L103" i="15"/>
  <c r="N103" i="15"/>
  <c r="O103" i="15"/>
  <c r="P103" i="15"/>
  <c r="Q103" i="15"/>
  <c r="R103" i="15"/>
  <c r="S103" i="15"/>
  <c r="T103" i="15"/>
  <c r="U103" i="15"/>
  <c r="V103" i="15"/>
  <c r="W103" i="15"/>
  <c r="X103" i="15" s="1"/>
  <c r="Y103" i="15"/>
  <c r="Z103" i="15"/>
  <c r="AA103" i="15"/>
  <c r="AB103" i="15"/>
  <c r="AC103" i="15"/>
  <c r="AD103" i="15"/>
  <c r="AE103" i="15"/>
  <c r="AF103" i="15"/>
  <c r="AG103" i="15"/>
  <c r="AH103" i="15"/>
  <c r="AI103" i="15" s="1"/>
  <c r="AJ103" i="15"/>
  <c r="AK103" i="15"/>
  <c r="AL103" i="15"/>
  <c r="AM103" i="15"/>
  <c r="AN103" i="15"/>
  <c r="AO103" i="15"/>
  <c r="K104" i="15"/>
  <c r="E104" i="15" s="1"/>
  <c r="L104" i="15"/>
  <c r="N104" i="15"/>
  <c r="O104" i="15"/>
  <c r="P104" i="15"/>
  <c r="Q104" i="15"/>
  <c r="R104" i="15"/>
  <c r="S104" i="15"/>
  <c r="T104" i="15"/>
  <c r="U104" i="15"/>
  <c r="V104" i="15"/>
  <c r="W104" i="15"/>
  <c r="X104" i="15" s="1"/>
  <c r="Y104" i="15"/>
  <c r="Z104" i="15"/>
  <c r="AA104" i="15"/>
  <c r="AB104" i="15"/>
  <c r="AC104" i="15"/>
  <c r="AD104" i="15"/>
  <c r="AE104" i="15"/>
  <c r="AF104" i="15"/>
  <c r="AG104" i="15"/>
  <c r="AH104" i="15"/>
  <c r="AI104" i="15" s="1"/>
  <c r="AJ104" i="15"/>
  <c r="AK104" i="15"/>
  <c r="AL104" i="15"/>
  <c r="AM104" i="15"/>
  <c r="AN104" i="15"/>
  <c r="AO104" i="15"/>
  <c r="K105" i="15"/>
  <c r="D105" i="15" s="1"/>
  <c r="L105" i="15"/>
  <c r="N105" i="15"/>
  <c r="O105" i="15"/>
  <c r="P105" i="15"/>
  <c r="Q105" i="15"/>
  <c r="R105" i="15"/>
  <c r="S105" i="15"/>
  <c r="T105" i="15"/>
  <c r="U105" i="15"/>
  <c r="V105" i="15"/>
  <c r="W105" i="15"/>
  <c r="X105" i="15" s="1"/>
  <c r="Y105" i="15"/>
  <c r="Z105" i="15"/>
  <c r="AA105" i="15"/>
  <c r="AB105" i="15"/>
  <c r="AC105" i="15"/>
  <c r="AD105" i="15"/>
  <c r="AE105" i="15"/>
  <c r="AF105" i="15"/>
  <c r="AG105" i="15"/>
  <c r="AH105" i="15"/>
  <c r="AI105" i="15" s="1"/>
  <c r="AJ105" i="15"/>
  <c r="AK105" i="15"/>
  <c r="AL105" i="15"/>
  <c r="AM105" i="15"/>
  <c r="AN105" i="15"/>
  <c r="AO105" i="15"/>
  <c r="K106" i="15"/>
  <c r="L106" i="15"/>
  <c r="N106" i="15"/>
  <c r="O106" i="15"/>
  <c r="P106" i="15"/>
  <c r="Q106" i="15"/>
  <c r="R106" i="15"/>
  <c r="S106" i="15"/>
  <c r="T106" i="15"/>
  <c r="U106" i="15"/>
  <c r="V106" i="15"/>
  <c r="W106" i="15"/>
  <c r="X106" i="15" s="1"/>
  <c r="Y106" i="15"/>
  <c r="Z106" i="15"/>
  <c r="AA106" i="15"/>
  <c r="AB106" i="15"/>
  <c r="AC106" i="15"/>
  <c r="AD106" i="15"/>
  <c r="AE106" i="15"/>
  <c r="AF106" i="15"/>
  <c r="AG106" i="15"/>
  <c r="AH106" i="15"/>
  <c r="AI106" i="15" s="1"/>
  <c r="AJ106" i="15"/>
  <c r="AK106" i="15"/>
  <c r="AL106" i="15"/>
  <c r="AM106" i="15"/>
  <c r="AN106" i="15"/>
  <c r="AO106" i="15"/>
  <c r="K107" i="15"/>
  <c r="D107" i="15" s="1"/>
  <c r="L107" i="15"/>
  <c r="N107" i="15"/>
  <c r="O107" i="15"/>
  <c r="P107" i="15"/>
  <c r="Q107" i="15"/>
  <c r="R107" i="15"/>
  <c r="S107" i="15"/>
  <c r="T107" i="15"/>
  <c r="U107" i="15"/>
  <c r="V107" i="15"/>
  <c r="W107" i="15"/>
  <c r="X107" i="15" s="1"/>
  <c r="Y107" i="15"/>
  <c r="Z107" i="15"/>
  <c r="AA107" i="15"/>
  <c r="AB107" i="15"/>
  <c r="AC107" i="15"/>
  <c r="AD107" i="15"/>
  <c r="AE107" i="15"/>
  <c r="AF107" i="15"/>
  <c r="AG107" i="15"/>
  <c r="AH107" i="15"/>
  <c r="AI107" i="15" s="1"/>
  <c r="AJ107" i="15"/>
  <c r="AK107" i="15"/>
  <c r="AL107" i="15"/>
  <c r="AM107" i="15"/>
  <c r="AN107" i="15"/>
  <c r="AO107" i="15"/>
  <c r="K108" i="15"/>
  <c r="L108" i="15"/>
  <c r="N108" i="15"/>
  <c r="O108" i="15"/>
  <c r="P108" i="15"/>
  <c r="Q108" i="15"/>
  <c r="R108" i="15"/>
  <c r="S108" i="15"/>
  <c r="T108" i="15"/>
  <c r="U108" i="15"/>
  <c r="V108" i="15"/>
  <c r="W108" i="15"/>
  <c r="X108" i="15" s="1"/>
  <c r="Y108" i="15"/>
  <c r="Z108" i="15"/>
  <c r="AA108" i="15"/>
  <c r="AB108" i="15"/>
  <c r="AC108" i="15"/>
  <c r="AD108" i="15"/>
  <c r="AE108" i="15"/>
  <c r="AF108" i="15"/>
  <c r="AG108" i="15"/>
  <c r="AH108" i="15"/>
  <c r="AI108" i="15" s="1"/>
  <c r="AJ108" i="15"/>
  <c r="AK108" i="15"/>
  <c r="AL108" i="15"/>
  <c r="AM108" i="15"/>
  <c r="AN108" i="15"/>
  <c r="AO108" i="15"/>
  <c r="K109" i="15"/>
  <c r="D109" i="15" s="1"/>
  <c r="L109" i="15"/>
  <c r="N109" i="15"/>
  <c r="O109" i="15"/>
  <c r="P109" i="15"/>
  <c r="Q109" i="15"/>
  <c r="R109" i="15"/>
  <c r="S109" i="15"/>
  <c r="T109" i="15"/>
  <c r="U109" i="15"/>
  <c r="V109" i="15"/>
  <c r="W109" i="15"/>
  <c r="X109" i="15" s="1"/>
  <c r="Y109" i="15"/>
  <c r="Z109" i="15"/>
  <c r="AA109" i="15"/>
  <c r="AB109" i="15"/>
  <c r="AC109" i="15"/>
  <c r="AD109" i="15"/>
  <c r="AE109" i="15"/>
  <c r="AF109" i="15"/>
  <c r="AG109" i="15"/>
  <c r="AH109" i="15"/>
  <c r="AI109" i="15" s="1"/>
  <c r="AJ109" i="15"/>
  <c r="AK109" i="15"/>
  <c r="AL109" i="15"/>
  <c r="AM109" i="15"/>
  <c r="AN109" i="15"/>
  <c r="AO109" i="15"/>
  <c r="K110" i="15"/>
  <c r="E110" i="15" s="1"/>
  <c r="L110" i="15"/>
  <c r="N110" i="15"/>
  <c r="O110" i="15"/>
  <c r="P110" i="15"/>
  <c r="Q110" i="15"/>
  <c r="R110" i="15"/>
  <c r="S110" i="15"/>
  <c r="T110" i="15"/>
  <c r="U110" i="15"/>
  <c r="V110" i="15"/>
  <c r="W110" i="15"/>
  <c r="X110" i="15" s="1"/>
  <c r="Y110" i="15"/>
  <c r="Z110" i="15"/>
  <c r="AA110" i="15"/>
  <c r="AB110" i="15"/>
  <c r="AC110" i="15"/>
  <c r="AD110" i="15"/>
  <c r="AE110" i="15"/>
  <c r="AF110" i="15"/>
  <c r="AG110" i="15"/>
  <c r="AH110" i="15"/>
  <c r="AI110" i="15" s="1"/>
  <c r="AJ110" i="15"/>
  <c r="AK110" i="15"/>
  <c r="AL110" i="15"/>
  <c r="AM110" i="15"/>
  <c r="AN110" i="15"/>
  <c r="AO110" i="15"/>
  <c r="K111" i="15"/>
  <c r="L111" i="15"/>
  <c r="N111" i="15"/>
  <c r="O111" i="15"/>
  <c r="P111" i="15"/>
  <c r="Q111" i="15"/>
  <c r="R111" i="15"/>
  <c r="S111" i="15"/>
  <c r="T111" i="15"/>
  <c r="U111" i="15"/>
  <c r="V111" i="15"/>
  <c r="W111" i="15"/>
  <c r="X111" i="15" s="1"/>
  <c r="Y111" i="15"/>
  <c r="Z111" i="15"/>
  <c r="AA111" i="15"/>
  <c r="AB111" i="15"/>
  <c r="AC111" i="15"/>
  <c r="AD111" i="15"/>
  <c r="AE111" i="15"/>
  <c r="AF111" i="15"/>
  <c r="AG111" i="15"/>
  <c r="AH111" i="15"/>
  <c r="AI111" i="15" s="1"/>
  <c r="AJ111" i="15"/>
  <c r="AK111" i="15"/>
  <c r="AL111" i="15"/>
  <c r="AM111" i="15"/>
  <c r="AN111" i="15"/>
  <c r="AO111" i="15"/>
  <c r="K112" i="15"/>
  <c r="L112" i="15"/>
  <c r="N112" i="15"/>
  <c r="O112" i="15"/>
  <c r="P112" i="15"/>
  <c r="Q112" i="15"/>
  <c r="R112" i="15"/>
  <c r="S112" i="15"/>
  <c r="T112" i="15"/>
  <c r="U112" i="15"/>
  <c r="V112" i="15"/>
  <c r="W112" i="15"/>
  <c r="X112" i="15" s="1"/>
  <c r="Y112" i="15"/>
  <c r="Z112" i="15"/>
  <c r="AA112" i="15"/>
  <c r="AB112" i="15"/>
  <c r="AC112" i="15"/>
  <c r="AD112" i="15"/>
  <c r="AE112" i="15"/>
  <c r="AF112" i="15"/>
  <c r="AG112" i="15"/>
  <c r="AH112" i="15"/>
  <c r="AI112" i="15" s="1"/>
  <c r="AJ112" i="15"/>
  <c r="AK112" i="15"/>
  <c r="AL112" i="15"/>
  <c r="AM112" i="15"/>
  <c r="AN112" i="15"/>
  <c r="AO112" i="15"/>
  <c r="K113" i="15"/>
  <c r="B113" i="15" s="1"/>
  <c r="L113" i="15"/>
  <c r="N113" i="15"/>
  <c r="O113" i="15"/>
  <c r="P113" i="15"/>
  <c r="Q113" i="15"/>
  <c r="R113" i="15"/>
  <c r="S113" i="15"/>
  <c r="T113" i="15"/>
  <c r="U113" i="15"/>
  <c r="V113" i="15"/>
  <c r="W113" i="15"/>
  <c r="X113" i="15" s="1"/>
  <c r="Y113" i="15"/>
  <c r="Z113" i="15"/>
  <c r="AA113" i="15"/>
  <c r="AB113" i="15"/>
  <c r="AC113" i="15"/>
  <c r="AD113" i="15"/>
  <c r="AE113" i="15"/>
  <c r="AF113" i="15"/>
  <c r="AG113" i="15"/>
  <c r="AH113" i="15"/>
  <c r="AI113" i="15" s="1"/>
  <c r="AJ113" i="15"/>
  <c r="AK113" i="15"/>
  <c r="AL113" i="15"/>
  <c r="AM113" i="15"/>
  <c r="AN113" i="15"/>
  <c r="AO113" i="15"/>
  <c r="K114" i="15"/>
  <c r="G114" i="15" s="1"/>
  <c r="L114" i="15"/>
  <c r="N114" i="15"/>
  <c r="O114" i="15"/>
  <c r="P114" i="15"/>
  <c r="Q114" i="15"/>
  <c r="R114" i="15"/>
  <c r="S114" i="15"/>
  <c r="T114" i="15"/>
  <c r="U114" i="15"/>
  <c r="V114" i="15"/>
  <c r="W114" i="15"/>
  <c r="X114" i="15" s="1"/>
  <c r="Y114" i="15"/>
  <c r="Z114" i="15"/>
  <c r="AA114" i="15"/>
  <c r="AB114" i="15"/>
  <c r="AC114" i="15"/>
  <c r="AD114" i="15"/>
  <c r="AE114" i="15"/>
  <c r="AF114" i="15"/>
  <c r="AG114" i="15"/>
  <c r="AH114" i="15"/>
  <c r="AI114" i="15" s="1"/>
  <c r="AJ114" i="15"/>
  <c r="AK114" i="15"/>
  <c r="AL114" i="15"/>
  <c r="AM114" i="15"/>
  <c r="AN114" i="15"/>
  <c r="AO114" i="15"/>
  <c r="K115" i="15"/>
  <c r="H115" i="15" s="1"/>
  <c r="L115" i="15"/>
  <c r="N115" i="15"/>
  <c r="O115" i="15"/>
  <c r="P115" i="15"/>
  <c r="Q115" i="15"/>
  <c r="R115" i="15"/>
  <c r="S115" i="15"/>
  <c r="T115" i="15"/>
  <c r="U115" i="15"/>
  <c r="V115" i="15"/>
  <c r="W115" i="15"/>
  <c r="X115" i="15" s="1"/>
  <c r="Y115" i="15"/>
  <c r="Z115" i="15"/>
  <c r="AA115" i="15"/>
  <c r="AB115" i="15"/>
  <c r="AC115" i="15"/>
  <c r="AD115" i="15"/>
  <c r="AE115" i="15"/>
  <c r="AF115" i="15"/>
  <c r="AG115" i="15"/>
  <c r="AH115" i="15"/>
  <c r="AI115" i="15" s="1"/>
  <c r="AJ115" i="15"/>
  <c r="AK115" i="15"/>
  <c r="AL115" i="15"/>
  <c r="AM115" i="15"/>
  <c r="AN115" i="15"/>
  <c r="AO115" i="15"/>
  <c r="K116" i="15"/>
  <c r="L116" i="15"/>
  <c r="N116" i="15"/>
  <c r="O116" i="15"/>
  <c r="P116" i="15"/>
  <c r="Q116" i="15"/>
  <c r="R116" i="15"/>
  <c r="S116" i="15"/>
  <c r="T116" i="15"/>
  <c r="U116" i="15"/>
  <c r="V116" i="15"/>
  <c r="W116" i="15"/>
  <c r="X116" i="15" s="1"/>
  <c r="Y116" i="15"/>
  <c r="Z116" i="15"/>
  <c r="AA116" i="15"/>
  <c r="AB116" i="15"/>
  <c r="AC116" i="15"/>
  <c r="AD116" i="15"/>
  <c r="AE116" i="15"/>
  <c r="AF116" i="15"/>
  <c r="AG116" i="15"/>
  <c r="AH116" i="15"/>
  <c r="AI116" i="15" s="1"/>
  <c r="AJ116" i="15"/>
  <c r="AK116" i="15"/>
  <c r="AL116" i="15"/>
  <c r="AM116" i="15"/>
  <c r="AN116" i="15"/>
  <c r="AO116" i="15"/>
  <c r="K117" i="15"/>
  <c r="L117" i="15"/>
  <c r="N117" i="15"/>
  <c r="O117" i="15"/>
  <c r="P117" i="15"/>
  <c r="Q117" i="15"/>
  <c r="R117" i="15"/>
  <c r="S117" i="15"/>
  <c r="T117" i="15"/>
  <c r="U117" i="15"/>
  <c r="V117" i="15"/>
  <c r="W117" i="15"/>
  <c r="X117" i="15" s="1"/>
  <c r="Y117" i="15"/>
  <c r="Z117" i="15"/>
  <c r="AA117" i="15"/>
  <c r="AB117" i="15"/>
  <c r="AC117" i="15"/>
  <c r="AD117" i="15"/>
  <c r="AE117" i="15"/>
  <c r="AF117" i="15"/>
  <c r="AG117" i="15"/>
  <c r="AH117" i="15"/>
  <c r="AI117" i="15" s="1"/>
  <c r="AJ117" i="15"/>
  <c r="AK117" i="15"/>
  <c r="AL117" i="15"/>
  <c r="AM117" i="15"/>
  <c r="AN117" i="15"/>
  <c r="AO117" i="15"/>
  <c r="K118" i="15"/>
  <c r="L118" i="15"/>
  <c r="N118" i="15"/>
  <c r="O118" i="15"/>
  <c r="P118" i="15"/>
  <c r="Q118" i="15"/>
  <c r="R118" i="15"/>
  <c r="S118" i="15"/>
  <c r="T118" i="15"/>
  <c r="U118" i="15"/>
  <c r="V118" i="15"/>
  <c r="W118" i="15"/>
  <c r="X118" i="15" s="1"/>
  <c r="Y118" i="15"/>
  <c r="Z118" i="15"/>
  <c r="AA118" i="15"/>
  <c r="AB118" i="15"/>
  <c r="AC118" i="15"/>
  <c r="AD118" i="15"/>
  <c r="AE118" i="15"/>
  <c r="AF118" i="15"/>
  <c r="AG118" i="15"/>
  <c r="AH118" i="15"/>
  <c r="AI118" i="15" s="1"/>
  <c r="AJ118" i="15"/>
  <c r="AK118" i="15"/>
  <c r="AL118" i="15"/>
  <c r="AM118" i="15"/>
  <c r="AN118" i="15"/>
  <c r="AO118" i="15"/>
  <c r="K119" i="15"/>
  <c r="B119" i="15" s="1"/>
  <c r="L119" i="15"/>
  <c r="N119" i="15"/>
  <c r="O119" i="15"/>
  <c r="P119" i="15"/>
  <c r="Q119" i="15"/>
  <c r="R119" i="15"/>
  <c r="S119" i="15"/>
  <c r="T119" i="15"/>
  <c r="U119" i="15"/>
  <c r="V119" i="15"/>
  <c r="W119" i="15"/>
  <c r="X119" i="15" s="1"/>
  <c r="Y119" i="15"/>
  <c r="Z119" i="15"/>
  <c r="AA119" i="15"/>
  <c r="AB119" i="15"/>
  <c r="AC119" i="15"/>
  <c r="AD119" i="15"/>
  <c r="AE119" i="15"/>
  <c r="AF119" i="15"/>
  <c r="AG119" i="15"/>
  <c r="AH119" i="15"/>
  <c r="AI119" i="15" s="1"/>
  <c r="AJ119" i="15"/>
  <c r="AK119" i="15"/>
  <c r="AL119" i="15"/>
  <c r="AM119" i="15"/>
  <c r="AN119" i="15"/>
  <c r="AO119" i="15"/>
  <c r="K120" i="15"/>
  <c r="AP120" i="15" s="1"/>
  <c r="L120" i="15"/>
  <c r="N120" i="15"/>
  <c r="O120" i="15"/>
  <c r="P120" i="15"/>
  <c r="Q120" i="15"/>
  <c r="R120" i="15"/>
  <c r="S120" i="15"/>
  <c r="T120" i="15"/>
  <c r="U120" i="15"/>
  <c r="V120" i="15"/>
  <c r="W120" i="15"/>
  <c r="X120" i="15" s="1"/>
  <c r="Y120" i="15"/>
  <c r="Z120" i="15"/>
  <c r="AA120" i="15"/>
  <c r="AB120" i="15"/>
  <c r="AC120" i="15"/>
  <c r="AD120" i="15"/>
  <c r="AE120" i="15"/>
  <c r="AF120" i="15"/>
  <c r="AG120" i="15"/>
  <c r="AH120" i="15"/>
  <c r="AI120" i="15" s="1"/>
  <c r="AJ120" i="15"/>
  <c r="AK120" i="15"/>
  <c r="AL120" i="15"/>
  <c r="AM120" i="15"/>
  <c r="AN120" i="15"/>
  <c r="AO120" i="15"/>
  <c r="K121" i="15"/>
  <c r="L121" i="15"/>
  <c r="N121" i="15"/>
  <c r="O121" i="15"/>
  <c r="P121" i="15"/>
  <c r="Q121" i="15"/>
  <c r="R121" i="15"/>
  <c r="S121" i="15"/>
  <c r="T121" i="15"/>
  <c r="U121" i="15"/>
  <c r="V121" i="15"/>
  <c r="W121" i="15"/>
  <c r="X121" i="15" s="1"/>
  <c r="Y121" i="15"/>
  <c r="Z121" i="15"/>
  <c r="AA121" i="15"/>
  <c r="AB121" i="15"/>
  <c r="AC121" i="15"/>
  <c r="AD121" i="15"/>
  <c r="AE121" i="15"/>
  <c r="AF121" i="15"/>
  <c r="AG121" i="15"/>
  <c r="AH121" i="15"/>
  <c r="AI121" i="15" s="1"/>
  <c r="AJ121" i="15"/>
  <c r="AK121" i="15"/>
  <c r="AL121" i="15"/>
  <c r="AM121" i="15"/>
  <c r="AN121" i="15"/>
  <c r="AO121" i="15"/>
  <c r="K122" i="15"/>
  <c r="F122" i="15" s="1"/>
  <c r="L122" i="15"/>
  <c r="N122" i="15"/>
  <c r="O122" i="15"/>
  <c r="P122" i="15"/>
  <c r="Q122" i="15"/>
  <c r="R122" i="15"/>
  <c r="S122" i="15"/>
  <c r="T122" i="15"/>
  <c r="U122" i="15"/>
  <c r="V122" i="15"/>
  <c r="W122" i="15"/>
  <c r="X122" i="15" s="1"/>
  <c r="Y122" i="15"/>
  <c r="Z122" i="15"/>
  <c r="AA122" i="15"/>
  <c r="AB122" i="15"/>
  <c r="AC122" i="15"/>
  <c r="AD122" i="15"/>
  <c r="AE122" i="15"/>
  <c r="AF122" i="15"/>
  <c r="AG122" i="15"/>
  <c r="AH122" i="15"/>
  <c r="AI122" i="15" s="1"/>
  <c r="AJ122" i="15"/>
  <c r="AK122" i="15"/>
  <c r="AL122" i="15"/>
  <c r="AM122" i="15"/>
  <c r="AN122" i="15"/>
  <c r="AO122" i="15"/>
  <c r="K123" i="15"/>
  <c r="L123" i="15"/>
  <c r="N123" i="15"/>
  <c r="O123" i="15"/>
  <c r="P123" i="15"/>
  <c r="Q123" i="15"/>
  <c r="R123" i="15"/>
  <c r="S123" i="15"/>
  <c r="T123" i="15"/>
  <c r="U123" i="15"/>
  <c r="V123" i="15"/>
  <c r="W123" i="15"/>
  <c r="X123" i="15" s="1"/>
  <c r="Y123" i="15"/>
  <c r="Z123" i="15"/>
  <c r="AA123" i="15"/>
  <c r="AB123" i="15"/>
  <c r="AC123" i="15"/>
  <c r="AD123" i="15"/>
  <c r="AE123" i="15"/>
  <c r="AF123" i="15"/>
  <c r="AG123" i="15"/>
  <c r="AH123" i="15"/>
  <c r="AI123" i="15" s="1"/>
  <c r="AJ123" i="15"/>
  <c r="AK123" i="15"/>
  <c r="AL123" i="15"/>
  <c r="AM123" i="15"/>
  <c r="AN123" i="15"/>
  <c r="AO123" i="15"/>
  <c r="K124" i="15"/>
  <c r="I124" i="15" s="1"/>
  <c r="L124" i="15"/>
  <c r="N124" i="15"/>
  <c r="O124" i="15"/>
  <c r="P124" i="15"/>
  <c r="Q124" i="15"/>
  <c r="R124" i="15"/>
  <c r="S124" i="15"/>
  <c r="T124" i="15"/>
  <c r="U124" i="15"/>
  <c r="V124" i="15"/>
  <c r="W124" i="15"/>
  <c r="X124" i="15" s="1"/>
  <c r="Y124" i="15"/>
  <c r="Z124" i="15"/>
  <c r="AA124" i="15"/>
  <c r="AB124" i="15"/>
  <c r="AC124" i="15"/>
  <c r="AD124" i="15"/>
  <c r="AE124" i="15"/>
  <c r="AF124" i="15"/>
  <c r="AG124" i="15"/>
  <c r="AH124" i="15"/>
  <c r="AI124" i="15" s="1"/>
  <c r="AJ124" i="15"/>
  <c r="AK124" i="15"/>
  <c r="AL124" i="15"/>
  <c r="AM124" i="15"/>
  <c r="AN124" i="15"/>
  <c r="AO124" i="15"/>
  <c r="K125" i="15"/>
  <c r="B125" i="15" s="1"/>
  <c r="L125" i="15"/>
  <c r="N125" i="15"/>
  <c r="O125" i="15"/>
  <c r="P125" i="15"/>
  <c r="Q125" i="15"/>
  <c r="R125" i="15"/>
  <c r="S125" i="15"/>
  <c r="T125" i="15"/>
  <c r="U125" i="15"/>
  <c r="V125" i="15"/>
  <c r="W125" i="15"/>
  <c r="X125" i="15" s="1"/>
  <c r="Y125" i="15"/>
  <c r="Z125" i="15"/>
  <c r="AA125" i="15"/>
  <c r="AB125" i="15"/>
  <c r="AC125" i="15"/>
  <c r="AD125" i="15"/>
  <c r="AE125" i="15"/>
  <c r="AF125" i="15"/>
  <c r="AG125" i="15"/>
  <c r="AH125" i="15"/>
  <c r="AI125" i="15" s="1"/>
  <c r="AJ125" i="15"/>
  <c r="AK125" i="15"/>
  <c r="AL125" i="15"/>
  <c r="AM125" i="15"/>
  <c r="AN125" i="15"/>
  <c r="AO125" i="15"/>
  <c r="K126" i="15"/>
  <c r="L126" i="15"/>
  <c r="N126" i="15"/>
  <c r="O126" i="15"/>
  <c r="P126" i="15"/>
  <c r="Q126" i="15"/>
  <c r="R126" i="15"/>
  <c r="S126" i="15"/>
  <c r="T126" i="15"/>
  <c r="U126" i="15"/>
  <c r="V126" i="15"/>
  <c r="W126" i="15"/>
  <c r="X126" i="15" s="1"/>
  <c r="Y126" i="15"/>
  <c r="Z126" i="15"/>
  <c r="AA126" i="15"/>
  <c r="AB126" i="15"/>
  <c r="AC126" i="15"/>
  <c r="AD126" i="15"/>
  <c r="AE126" i="15"/>
  <c r="AF126" i="15"/>
  <c r="AG126" i="15"/>
  <c r="AH126" i="15"/>
  <c r="AI126" i="15" s="1"/>
  <c r="AJ126" i="15"/>
  <c r="AK126" i="15"/>
  <c r="AL126" i="15"/>
  <c r="AM126" i="15"/>
  <c r="AN126" i="15"/>
  <c r="AO126" i="15"/>
  <c r="K127" i="15"/>
  <c r="J127" i="15" s="1"/>
  <c r="L127" i="15"/>
  <c r="N127" i="15"/>
  <c r="O127" i="15"/>
  <c r="P127" i="15"/>
  <c r="Q127" i="15"/>
  <c r="R127" i="15"/>
  <c r="S127" i="15"/>
  <c r="T127" i="15"/>
  <c r="U127" i="15"/>
  <c r="V127" i="15"/>
  <c r="W127" i="15"/>
  <c r="X127" i="15" s="1"/>
  <c r="Y127" i="15"/>
  <c r="Z127" i="15"/>
  <c r="AA127" i="15"/>
  <c r="AB127" i="15"/>
  <c r="AC127" i="15"/>
  <c r="AD127" i="15"/>
  <c r="AE127" i="15"/>
  <c r="AF127" i="15"/>
  <c r="AG127" i="15"/>
  <c r="AH127" i="15"/>
  <c r="AI127" i="15" s="1"/>
  <c r="AJ127" i="15"/>
  <c r="AK127" i="15"/>
  <c r="AL127" i="15"/>
  <c r="AM127" i="15"/>
  <c r="AN127" i="15"/>
  <c r="AO127" i="15"/>
  <c r="K128" i="15"/>
  <c r="L128" i="15"/>
  <c r="N128" i="15"/>
  <c r="O128" i="15"/>
  <c r="P128" i="15"/>
  <c r="Q128" i="15"/>
  <c r="R128" i="15"/>
  <c r="S128" i="15"/>
  <c r="T128" i="15"/>
  <c r="U128" i="15"/>
  <c r="V128" i="15"/>
  <c r="W128" i="15"/>
  <c r="X128" i="15" s="1"/>
  <c r="Y128" i="15"/>
  <c r="Z128" i="15"/>
  <c r="AA128" i="15"/>
  <c r="AB128" i="15"/>
  <c r="AC128" i="15"/>
  <c r="AD128" i="15"/>
  <c r="AE128" i="15"/>
  <c r="AF128" i="15"/>
  <c r="AG128" i="15"/>
  <c r="AH128" i="15"/>
  <c r="AI128" i="15" s="1"/>
  <c r="AJ128" i="15"/>
  <c r="AK128" i="15"/>
  <c r="AL128" i="15"/>
  <c r="AM128" i="15"/>
  <c r="AN128" i="15"/>
  <c r="AO128" i="15"/>
  <c r="K129" i="15"/>
  <c r="J129" i="15" s="1"/>
  <c r="L129" i="15"/>
  <c r="N129" i="15"/>
  <c r="O129" i="15"/>
  <c r="P129" i="15"/>
  <c r="Q129" i="15"/>
  <c r="R129" i="15"/>
  <c r="S129" i="15"/>
  <c r="T129" i="15"/>
  <c r="U129" i="15"/>
  <c r="V129" i="15"/>
  <c r="W129" i="15"/>
  <c r="X129" i="15" s="1"/>
  <c r="Y129" i="15"/>
  <c r="Z129" i="15"/>
  <c r="AA129" i="15"/>
  <c r="AB129" i="15"/>
  <c r="AC129" i="15"/>
  <c r="AD129" i="15"/>
  <c r="AE129" i="15"/>
  <c r="AF129" i="15"/>
  <c r="AG129" i="15"/>
  <c r="AH129" i="15"/>
  <c r="AI129" i="15" s="1"/>
  <c r="AJ129" i="15"/>
  <c r="AK129" i="15"/>
  <c r="AL129" i="15"/>
  <c r="AM129" i="15"/>
  <c r="AN129" i="15"/>
  <c r="AO129" i="15"/>
  <c r="K130" i="15"/>
  <c r="A130" i="15" s="1"/>
  <c r="L130" i="15"/>
  <c r="N130" i="15"/>
  <c r="O130" i="15"/>
  <c r="P130" i="15"/>
  <c r="Q130" i="15"/>
  <c r="R130" i="15"/>
  <c r="S130" i="15"/>
  <c r="T130" i="15"/>
  <c r="U130" i="15"/>
  <c r="V130" i="15"/>
  <c r="W130" i="15"/>
  <c r="X130" i="15" s="1"/>
  <c r="Y130" i="15"/>
  <c r="Z130" i="15"/>
  <c r="AA130" i="15"/>
  <c r="AB130" i="15"/>
  <c r="AC130" i="15"/>
  <c r="AD130" i="15"/>
  <c r="AE130" i="15"/>
  <c r="AF130" i="15"/>
  <c r="AG130" i="15"/>
  <c r="AH130" i="15"/>
  <c r="AI130" i="15" s="1"/>
  <c r="AJ130" i="15"/>
  <c r="AK130" i="15"/>
  <c r="AL130" i="15"/>
  <c r="AM130" i="15"/>
  <c r="AN130" i="15"/>
  <c r="AO130" i="15"/>
  <c r="K131" i="15"/>
  <c r="AQ131" i="15" s="1"/>
  <c r="L131" i="15"/>
  <c r="N131" i="15"/>
  <c r="O131" i="15"/>
  <c r="P131" i="15"/>
  <c r="Q131" i="15"/>
  <c r="R131" i="15"/>
  <c r="S131" i="15"/>
  <c r="T131" i="15"/>
  <c r="U131" i="15"/>
  <c r="V131" i="15"/>
  <c r="W131" i="15"/>
  <c r="X131" i="15" s="1"/>
  <c r="Y131" i="15"/>
  <c r="Z131" i="15"/>
  <c r="AA131" i="15"/>
  <c r="AB131" i="15"/>
  <c r="AC131" i="15"/>
  <c r="AD131" i="15"/>
  <c r="AE131" i="15"/>
  <c r="AF131" i="15"/>
  <c r="AG131" i="15"/>
  <c r="AH131" i="15"/>
  <c r="AI131" i="15" s="1"/>
  <c r="AJ131" i="15"/>
  <c r="AK131" i="15"/>
  <c r="AL131" i="15"/>
  <c r="AM131" i="15"/>
  <c r="AN131" i="15"/>
  <c r="AO131" i="15"/>
  <c r="K132" i="15"/>
  <c r="AQ132" i="15" s="1"/>
  <c r="L132" i="15"/>
  <c r="N132" i="15"/>
  <c r="O132" i="15"/>
  <c r="P132" i="15"/>
  <c r="Q132" i="15"/>
  <c r="R132" i="15"/>
  <c r="S132" i="15"/>
  <c r="T132" i="15"/>
  <c r="U132" i="15"/>
  <c r="V132" i="15"/>
  <c r="W132" i="15"/>
  <c r="X132" i="15" s="1"/>
  <c r="Y132" i="15"/>
  <c r="Z132" i="15"/>
  <c r="AA132" i="15"/>
  <c r="AB132" i="15"/>
  <c r="AC132" i="15"/>
  <c r="AD132" i="15"/>
  <c r="AE132" i="15"/>
  <c r="AF132" i="15"/>
  <c r="AG132" i="15"/>
  <c r="AH132" i="15"/>
  <c r="AI132" i="15" s="1"/>
  <c r="AJ132" i="15"/>
  <c r="AK132" i="15"/>
  <c r="AL132" i="15"/>
  <c r="AM132" i="15"/>
  <c r="AN132" i="15"/>
  <c r="AO132" i="15"/>
  <c r="K133" i="15"/>
  <c r="L133" i="15"/>
  <c r="N133" i="15"/>
  <c r="O133" i="15"/>
  <c r="P133" i="15"/>
  <c r="Q133" i="15"/>
  <c r="R133" i="15"/>
  <c r="S133" i="15"/>
  <c r="T133" i="15"/>
  <c r="U133" i="15"/>
  <c r="V133" i="15"/>
  <c r="W133" i="15"/>
  <c r="X133" i="15" s="1"/>
  <c r="Y133" i="15"/>
  <c r="Z133" i="15"/>
  <c r="AA133" i="15"/>
  <c r="AB133" i="15"/>
  <c r="AC133" i="15"/>
  <c r="AD133" i="15"/>
  <c r="AE133" i="15"/>
  <c r="AF133" i="15"/>
  <c r="AG133" i="15"/>
  <c r="AH133" i="15"/>
  <c r="AI133" i="15" s="1"/>
  <c r="AJ133" i="15"/>
  <c r="AK133" i="15"/>
  <c r="AL133" i="15"/>
  <c r="AM133" i="15"/>
  <c r="AN133" i="15"/>
  <c r="AO133" i="15"/>
  <c r="K134" i="15"/>
  <c r="L134" i="15"/>
  <c r="N134" i="15"/>
  <c r="O134" i="15"/>
  <c r="P134" i="15"/>
  <c r="Q134" i="15"/>
  <c r="R134" i="15"/>
  <c r="S134" i="15"/>
  <c r="T134" i="15"/>
  <c r="U134" i="15"/>
  <c r="V134" i="15"/>
  <c r="W134" i="15"/>
  <c r="X134" i="15" s="1"/>
  <c r="Y134" i="15"/>
  <c r="Z134" i="15"/>
  <c r="AA134" i="15"/>
  <c r="AB134" i="15"/>
  <c r="AC134" i="15"/>
  <c r="AD134" i="15"/>
  <c r="AE134" i="15"/>
  <c r="AF134" i="15"/>
  <c r="AG134" i="15"/>
  <c r="AH134" i="15"/>
  <c r="AI134" i="15" s="1"/>
  <c r="AJ134" i="15"/>
  <c r="AK134" i="15"/>
  <c r="AL134" i="15"/>
  <c r="AM134" i="15"/>
  <c r="AN134" i="15"/>
  <c r="AO134" i="15"/>
  <c r="K135" i="15"/>
  <c r="M135" i="15" s="1"/>
  <c r="L135" i="15"/>
  <c r="N135" i="15"/>
  <c r="O135" i="15"/>
  <c r="P135" i="15"/>
  <c r="Q135" i="15"/>
  <c r="R135" i="15"/>
  <c r="S135" i="15"/>
  <c r="T135" i="15"/>
  <c r="U135" i="15"/>
  <c r="V135" i="15"/>
  <c r="W135" i="15"/>
  <c r="X135" i="15" s="1"/>
  <c r="Y135" i="15"/>
  <c r="Z135" i="15"/>
  <c r="AA135" i="15"/>
  <c r="AB135" i="15"/>
  <c r="AC135" i="15"/>
  <c r="AD135" i="15"/>
  <c r="AE135" i="15"/>
  <c r="AF135" i="15"/>
  <c r="AG135" i="15"/>
  <c r="AH135" i="15"/>
  <c r="AI135" i="15" s="1"/>
  <c r="AJ135" i="15"/>
  <c r="AK135" i="15"/>
  <c r="AL135" i="15"/>
  <c r="AM135" i="15"/>
  <c r="AN135" i="15"/>
  <c r="AO135" i="15"/>
  <c r="K136" i="15"/>
  <c r="C136" i="15" s="1"/>
  <c r="L136" i="15"/>
  <c r="N136" i="15"/>
  <c r="O136" i="15"/>
  <c r="P136" i="15"/>
  <c r="Q136" i="15"/>
  <c r="R136" i="15"/>
  <c r="S136" i="15"/>
  <c r="T136" i="15"/>
  <c r="U136" i="15"/>
  <c r="V136" i="15"/>
  <c r="W136" i="15"/>
  <c r="X136" i="15" s="1"/>
  <c r="Y136" i="15"/>
  <c r="Z136" i="15"/>
  <c r="AA136" i="15"/>
  <c r="AB136" i="15"/>
  <c r="AC136" i="15"/>
  <c r="AD136" i="15"/>
  <c r="AE136" i="15"/>
  <c r="AF136" i="15"/>
  <c r="AG136" i="15"/>
  <c r="AH136" i="15"/>
  <c r="AI136" i="15" s="1"/>
  <c r="AJ136" i="15"/>
  <c r="AK136" i="15"/>
  <c r="AL136" i="15"/>
  <c r="AM136" i="15"/>
  <c r="AN136" i="15"/>
  <c r="AO136" i="15"/>
  <c r="K137" i="15"/>
  <c r="H137" i="15" s="1"/>
  <c r="L137" i="15"/>
  <c r="N137" i="15"/>
  <c r="O137" i="15"/>
  <c r="P137" i="15"/>
  <c r="Q137" i="15"/>
  <c r="R137" i="15"/>
  <c r="S137" i="15"/>
  <c r="T137" i="15"/>
  <c r="U137" i="15"/>
  <c r="V137" i="15"/>
  <c r="W137" i="15"/>
  <c r="X137" i="15" s="1"/>
  <c r="Y137" i="15"/>
  <c r="Z137" i="15"/>
  <c r="AA137" i="15"/>
  <c r="AB137" i="15"/>
  <c r="AC137" i="15"/>
  <c r="AD137" i="15"/>
  <c r="AE137" i="15"/>
  <c r="AF137" i="15"/>
  <c r="AG137" i="15"/>
  <c r="AH137" i="15"/>
  <c r="AI137" i="15" s="1"/>
  <c r="AJ137" i="15"/>
  <c r="AK137" i="15"/>
  <c r="AL137" i="15"/>
  <c r="AM137" i="15"/>
  <c r="AN137" i="15"/>
  <c r="AO137" i="15"/>
  <c r="K138" i="15"/>
  <c r="L138" i="15"/>
  <c r="N138" i="15"/>
  <c r="O138" i="15"/>
  <c r="P138" i="15"/>
  <c r="Q138" i="15"/>
  <c r="R138" i="15"/>
  <c r="S138" i="15"/>
  <c r="T138" i="15"/>
  <c r="U138" i="15"/>
  <c r="V138" i="15"/>
  <c r="W138" i="15"/>
  <c r="X138" i="15" s="1"/>
  <c r="Y138" i="15"/>
  <c r="Z138" i="15"/>
  <c r="AA138" i="15"/>
  <c r="AB138" i="15"/>
  <c r="AC138" i="15"/>
  <c r="AD138" i="15"/>
  <c r="AE138" i="15"/>
  <c r="AF138" i="15"/>
  <c r="AG138" i="15"/>
  <c r="AH138" i="15"/>
  <c r="AI138" i="15" s="1"/>
  <c r="AJ138" i="15"/>
  <c r="AK138" i="15"/>
  <c r="AL138" i="15"/>
  <c r="AM138" i="15"/>
  <c r="AN138" i="15"/>
  <c r="AO138" i="15"/>
  <c r="K139" i="15"/>
  <c r="F139" i="15" s="1"/>
  <c r="L139" i="15"/>
  <c r="N139" i="15"/>
  <c r="O139" i="15"/>
  <c r="P139" i="15"/>
  <c r="Q139" i="15"/>
  <c r="R139" i="15"/>
  <c r="S139" i="15"/>
  <c r="T139" i="15"/>
  <c r="U139" i="15"/>
  <c r="V139" i="15"/>
  <c r="W139" i="15"/>
  <c r="X139" i="15" s="1"/>
  <c r="Y139" i="15"/>
  <c r="Z139" i="15"/>
  <c r="AA139" i="15"/>
  <c r="AB139" i="15"/>
  <c r="AC139" i="15"/>
  <c r="AD139" i="15"/>
  <c r="AE139" i="15"/>
  <c r="AF139" i="15"/>
  <c r="AG139" i="15"/>
  <c r="AH139" i="15"/>
  <c r="AI139" i="15" s="1"/>
  <c r="AJ139" i="15"/>
  <c r="AK139" i="15"/>
  <c r="AL139" i="15"/>
  <c r="AM139" i="15"/>
  <c r="AN139" i="15"/>
  <c r="AO139" i="15"/>
  <c r="K140" i="15"/>
  <c r="L140" i="15"/>
  <c r="N140" i="15"/>
  <c r="O140" i="15"/>
  <c r="P140" i="15"/>
  <c r="Q140" i="15"/>
  <c r="R140" i="15"/>
  <c r="S140" i="15"/>
  <c r="T140" i="15"/>
  <c r="U140" i="15"/>
  <c r="V140" i="15"/>
  <c r="W140" i="15"/>
  <c r="X140" i="15" s="1"/>
  <c r="Y140" i="15"/>
  <c r="Z140" i="15"/>
  <c r="AA140" i="15"/>
  <c r="AB140" i="15"/>
  <c r="AC140" i="15"/>
  <c r="AD140" i="15"/>
  <c r="AE140" i="15"/>
  <c r="AF140" i="15"/>
  <c r="AG140" i="15"/>
  <c r="AH140" i="15"/>
  <c r="AI140" i="15" s="1"/>
  <c r="AJ140" i="15"/>
  <c r="AK140" i="15"/>
  <c r="AL140" i="15"/>
  <c r="AM140" i="15"/>
  <c r="AN140" i="15"/>
  <c r="AO140" i="15"/>
  <c r="K141" i="15"/>
  <c r="E141" i="15" s="1"/>
  <c r="L141" i="15"/>
  <c r="N141" i="15"/>
  <c r="O141" i="15"/>
  <c r="P141" i="15"/>
  <c r="Q141" i="15"/>
  <c r="R141" i="15"/>
  <c r="S141" i="15"/>
  <c r="T141" i="15"/>
  <c r="U141" i="15"/>
  <c r="V141" i="15"/>
  <c r="W141" i="15"/>
  <c r="X141" i="15" s="1"/>
  <c r="Y141" i="15"/>
  <c r="Z141" i="15"/>
  <c r="AA141" i="15"/>
  <c r="AB141" i="15"/>
  <c r="AC141" i="15"/>
  <c r="AD141" i="15"/>
  <c r="AE141" i="15"/>
  <c r="AF141" i="15"/>
  <c r="AG141" i="15"/>
  <c r="AH141" i="15"/>
  <c r="AI141" i="15" s="1"/>
  <c r="AJ141" i="15"/>
  <c r="AK141" i="15"/>
  <c r="AL141" i="15"/>
  <c r="AM141" i="15"/>
  <c r="AN141" i="15"/>
  <c r="AO141" i="15"/>
  <c r="K142" i="15"/>
  <c r="I142" i="15" s="1"/>
  <c r="L142" i="15"/>
  <c r="N142" i="15"/>
  <c r="O142" i="15"/>
  <c r="P142" i="15"/>
  <c r="Q142" i="15"/>
  <c r="R142" i="15"/>
  <c r="S142" i="15"/>
  <c r="T142" i="15"/>
  <c r="U142" i="15"/>
  <c r="V142" i="15"/>
  <c r="W142" i="15"/>
  <c r="X142" i="15" s="1"/>
  <c r="Y142" i="15"/>
  <c r="Z142" i="15"/>
  <c r="AA142" i="15"/>
  <c r="AB142" i="15"/>
  <c r="AC142" i="15"/>
  <c r="AD142" i="15"/>
  <c r="AE142" i="15"/>
  <c r="AF142" i="15"/>
  <c r="AG142" i="15"/>
  <c r="AH142" i="15"/>
  <c r="AI142" i="15" s="1"/>
  <c r="AJ142" i="15"/>
  <c r="AK142" i="15"/>
  <c r="AL142" i="15"/>
  <c r="AM142" i="15"/>
  <c r="AN142" i="15"/>
  <c r="AO142" i="15"/>
  <c r="K143" i="15"/>
  <c r="M143" i="15" s="1"/>
  <c r="L143" i="15"/>
  <c r="N143" i="15"/>
  <c r="O143" i="15"/>
  <c r="P143" i="15"/>
  <c r="Q143" i="15"/>
  <c r="R143" i="15"/>
  <c r="S143" i="15"/>
  <c r="T143" i="15"/>
  <c r="U143" i="15"/>
  <c r="V143" i="15"/>
  <c r="W143" i="15"/>
  <c r="X143" i="15" s="1"/>
  <c r="Y143" i="15"/>
  <c r="Z143" i="15"/>
  <c r="AA143" i="15"/>
  <c r="AB143" i="15"/>
  <c r="AC143" i="15"/>
  <c r="AD143" i="15"/>
  <c r="AE143" i="15"/>
  <c r="AF143" i="15"/>
  <c r="AG143" i="15"/>
  <c r="AH143" i="15"/>
  <c r="AI143" i="15" s="1"/>
  <c r="AJ143" i="15"/>
  <c r="AK143" i="15"/>
  <c r="AL143" i="15"/>
  <c r="AM143" i="15"/>
  <c r="AN143" i="15"/>
  <c r="AO143" i="15"/>
  <c r="K144" i="15"/>
  <c r="L144" i="15"/>
  <c r="N144" i="15"/>
  <c r="O144" i="15"/>
  <c r="P144" i="15"/>
  <c r="Q144" i="15"/>
  <c r="R144" i="15"/>
  <c r="S144" i="15"/>
  <c r="T144" i="15"/>
  <c r="U144" i="15"/>
  <c r="V144" i="15"/>
  <c r="W144" i="15"/>
  <c r="X144" i="15" s="1"/>
  <c r="Y144" i="15"/>
  <c r="Z144" i="15"/>
  <c r="AA144" i="15"/>
  <c r="AB144" i="15"/>
  <c r="AC144" i="15"/>
  <c r="AD144" i="15"/>
  <c r="AE144" i="15"/>
  <c r="AF144" i="15"/>
  <c r="AG144" i="15"/>
  <c r="AH144" i="15"/>
  <c r="AI144" i="15" s="1"/>
  <c r="AJ144" i="15"/>
  <c r="AK144" i="15"/>
  <c r="AL144" i="15"/>
  <c r="AM144" i="15"/>
  <c r="AN144" i="15"/>
  <c r="AO144" i="15"/>
  <c r="K145" i="15"/>
  <c r="A145" i="15" s="1"/>
  <c r="L145" i="15"/>
  <c r="N145" i="15"/>
  <c r="O145" i="15"/>
  <c r="P145" i="15"/>
  <c r="Q145" i="15"/>
  <c r="R145" i="15"/>
  <c r="S145" i="15"/>
  <c r="T145" i="15"/>
  <c r="U145" i="15"/>
  <c r="V145" i="15"/>
  <c r="W145" i="15"/>
  <c r="X145" i="15" s="1"/>
  <c r="Y145" i="15"/>
  <c r="Z145" i="15"/>
  <c r="AA145" i="15"/>
  <c r="AB145" i="15"/>
  <c r="AC145" i="15"/>
  <c r="AD145" i="15"/>
  <c r="AE145" i="15"/>
  <c r="AF145" i="15"/>
  <c r="AG145" i="15"/>
  <c r="AH145" i="15"/>
  <c r="AI145" i="15" s="1"/>
  <c r="AJ145" i="15"/>
  <c r="AK145" i="15"/>
  <c r="AL145" i="15"/>
  <c r="AM145" i="15"/>
  <c r="AN145" i="15"/>
  <c r="AO145" i="15"/>
  <c r="K146" i="15"/>
  <c r="H146" i="15" s="1"/>
  <c r="L146" i="15"/>
  <c r="N146" i="15"/>
  <c r="O146" i="15"/>
  <c r="P146" i="15"/>
  <c r="Q146" i="15"/>
  <c r="R146" i="15"/>
  <c r="S146" i="15"/>
  <c r="T146" i="15"/>
  <c r="U146" i="15"/>
  <c r="V146" i="15"/>
  <c r="W146" i="15"/>
  <c r="X146" i="15" s="1"/>
  <c r="Y146" i="15"/>
  <c r="Z146" i="15"/>
  <c r="AA146" i="15"/>
  <c r="AB146" i="15"/>
  <c r="AC146" i="15"/>
  <c r="AD146" i="15"/>
  <c r="AE146" i="15"/>
  <c r="AF146" i="15"/>
  <c r="AG146" i="15"/>
  <c r="AH146" i="15"/>
  <c r="AI146" i="15" s="1"/>
  <c r="AJ146" i="15"/>
  <c r="AK146" i="15"/>
  <c r="AL146" i="15"/>
  <c r="AM146" i="15"/>
  <c r="AN146" i="15"/>
  <c r="AO146" i="15"/>
  <c r="K147" i="15"/>
  <c r="F147" i="15" s="1"/>
  <c r="L147" i="15"/>
  <c r="N147" i="15"/>
  <c r="O147" i="15"/>
  <c r="P147" i="15"/>
  <c r="Q147" i="15"/>
  <c r="R147" i="15"/>
  <c r="S147" i="15"/>
  <c r="T147" i="15"/>
  <c r="U147" i="15"/>
  <c r="V147" i="15"/>
  <c r="W147" i="15"/>
  <c r="X147" i="15" s="1"/>
  <c r="Y147" i="15"/>
  <c r="Z147" i="15"/>
  <c r="AA147" i="15"/>
  <c r="AB147" i="15"/>
  <c r="AC147" i="15"/>
  <c r="AD147" i="15"/>
  <c r="AE147" i="15"/>
  <c r="AF147" i="15"/>
  <c r="AG147" i="15"/>
  <c r="AH147" i="15"/>
  <c r="AI147" i="15" s="1"/>
  <c r="AJ147" i="15"/>
  <c r="AK147" i="15"/>
  <c r="AL147" i="15"/>
  <c r="AM147" i="15"/>
  <c r="AN147" i="15"/>
  <c r="AO147" i="15"/>
  <c r="K148" i="15"/>
  <c r="L148" i="15"/>
  <c r="N148" i="15"/>
  <c r="O148" i="15"/>
  <c r="P148" i="15"/>
  <c r="Q148" i="15"/>
  <c r="R148" i="15"/>
  <c r="S148" i="15"/>
  <c r="T148" i="15"/>
  <c r="U148" i="15"/>
  <c r="V148" i="15"/>
  <c r="W148" i="15"/>
  <c r="X148" i="15" s="1"/>
  <c r="Y148" i="15"/>
  <c r="Z148" i="15"/>
  <c r="AA148" i="15"/>
  <c r="AB148" i="15"/>
  <c r="AC148" i="15"/>
  <c r="AD148" i="15"/>
  <c r="AE148" i="15"/>
  <c r="AF148" i="15"/>
  <c r="AG148" i="15"/>
  <c r="AH148" i="15"/>
  <c r="AI148" i="15" s="1"/>
  <c r="AJ148" i="15"/>
  <c r="AK148" i="15"/>
  <c r="AL148" i="15"/>
  <c r="AM148" i="15"/>
  <c r="AN148" i="15"/>
  <c r="AO148" i="15"/>
  <c r="K149" i="15"/>
  <c r="L149" i="15"/>
  <c r="N149" i="15"/>
  <c r="O149" i="15"/>
  <c r="P149" i="15"/>
  <c r="Q149" i="15"/>
  <c r="R149" i="15"/>
  <c r="S149" i="15"/>
  <c r="T149" i="15"/>
  <c r="U149" i="15"/>
  <c r="V149" i="15"/>
  <c r="W149" i="15"/>
  <c r="X149" i="15" s="1"/>
  <c r="Y149" i="15"/>
  <c r="Z149" i="15"/>
  <c r="AA149" i="15"/>
  <c r="AB149" i="15"/>
  <c r="AC149" i="15"/>
  <c r="AD149" i="15"/>
  <c r="AE149" i="15"/>
  <c r="AF149" i="15"/>
  <c r="AG149" i="15"/>
  <c r="AH149" i="15"/>
  <c r="AI149" i="15" s="1"/>
  <c r="AJ149" i="15"/>
  <c r="AK149" i="15"/>
  <c r="AL149" i="15"/>
  <c r="AM149" i="15"/>
  <c r="AN149" i="15"/>
  <c r="AO149" i="15"/>
  <c r="K150" i="15"/>
  <c r="L150" i="15"/>
  <c r="N150" i="15"/>
  <c r="O150" i="15"/>
  <c r="P150" i="15"/>
  <c r="Q150" i="15"/>
  <c r="R150" i="15"/>
  <c r="S150" i="15"/>
  <c r="T150" i="15"/>
  <c r="U150" i="15"/>
  <c r="V150" i="15"/>
  <c r="W150" i="15"/>
  <c r="X150" i="15" s="1"/>
  <c r="Y150" i="15"/>
  <c r="Z150" i="15"/>
  <c r="AA150" i="15"/>
  <c r="AB150" i="15"/>
  <c r="AC150" i="15"/>
  <c r="AD150" i="15"/>
  <c r="AE150" i="15"/>
  <c r="AF150" i="15"/>
  <c r="AG150" i="15"/>
  <c r="AH150" i="15"/>
  <c r="AI150" i="15" s="1"/>
  <c r="AJ150" i="15"/>
  <c r="AK150" i="15"/>
  <c r="AL150" i="15"/>
  <c r="AM150" i="15"/>
  <c r="AN150" i="15"/>
  <c r="AO150" i="15"/>
  <c r="K151" i="15"/>
  <c r="F151" i="15" s="1"/>
  <c r="L151" i="15"/>
  <c r="N151" i="15"/>
  <c r="O151" i="15"/>
  <c r="P151" i="15"/>
  <c r="Q151" i="15"/>
  <c r="R151" i="15"/>
  <c r="S151" i="15"/>
  <c r="T151" i="15"/>
  <c r="U151" i="15"/>
  <c r="V151" i="15"/>
  <c r="W151" i="15"/>
  <c r="X151" i="15" s="1"/>
  <c r="Y151" i="15"/>
  <c r="Z151" i="15"/>
  <c r="AA151" i="15"/>
  <c r="AB151" i="15"/>
  <c r="AC151" i="15"/>
  <c r="AD151" i="15"/>
  <c r="AE151" i="15"/>
  <c r="AF151" i="15"/>
  <c r="AG151" i="15"/>
  <c r="AH151" i="15"/>
  <c r="AI151" i="15" s="1"/>
  <c r="AJ151" i="15"/>
  <c r="AK151" i="15"/>
  <c r="AL151" i="15"/>
  <c r="AM151" i="15"/>
  <c r="AN151" i="15"/>
  <c r="AO151" i="15"/>
  <c r="K152" i="15"/>
  <c r="A152" i="15" s="1"/>
  <c r="L152" i="15"/>
  <c r="N152" i="15"/>
  <c r="O152" i="15"/>
  <c r="P152" i="15"/>
  <c r="Q152" i="15"/>
  <c r="R152" i="15"/>
  <c r="S152" i="15"/>
  <c r="T152" i="15"/>
  <c r="U152" i="15"/>
  <c r="V152" i="15"/>
  <c r="W152" i="15"/>
  <c r="X152" i="15" s="1"/>
  <c r="Y152" i="15"/>
  <c r="Z152" i="15"/>
  <c r="AA152" i="15"/>
  <c r="AB152" i="15"/>
  <c r="AC152" i="15"/>
  <c r="AD152" i="15"/>
  <c r="AE152" i="15"/>
  <c r="AF152" i="15"/>
  <c r="AG152" i="15"/>
  <c r="AH152" i="15"/>
  <c r="AI152" i="15" s="1"/>
  <c r="AJ152" i="15"/>
  <c r="AK152" i="15"/>
  <c r="AL152" i="15"/>
  <c r="AM152" i="15"/>
  <c r="AN152" i="15"/>
  <c r="AO152" i="15"/>
  <c r="K153" i="15"/>
  <c r="I153" i="15" s="1"/>
  <c r="L153" i="15"/>
  <c r="N153" i="15"/>
  <c r="O153" i="15"/>
  <c r="P153" i="15"/>
  <c r="Q153" i="15"/>
  <c r="R153" i="15"/>
  <c r="S153" i="15"/>
  <c r="T153" i="15"/>
  <c r="U153" i="15"/>
  <c r="V153" i="15"/>
  <c r="W153" i="15"/>
  <c r="X153" i="15" s="1"/>
  <c r="Y153" i="15"/>
  <c r="Z153" i="15"/>
  <c r="AA153" i="15"/>
  <c r="AB153" i="15"/>
  <c r="AC153" i="15"/>
  <c r="AD153" i="15"/>
  <c r="AE153" i="15"/>
  <c r="AF153" i="15"/>
  <c r="AG153" i="15"/>
  <c r="AH153" i="15"/>
  <c r="AI153" i="15" s="1"/>
  <c r="AJ153" i="15"/>
  <c r="AK153" i="15"/>
  <c r="AL153" i="15"/>
  <c r="AM153" i="15"/>
  <c r="AN153" i="15"/>
  <c r="AO153" i="15"/>
  <c r="K154" i="15"/>
  <c r="L154" i="15"/>
  <c r="N154" i="15"/>
  <c r="O154" i="15"/>
  <c r="P154" i="15"/>
  <c r="Q154" i="15"/>
  <c r="R154" i="15"/>
  <c r="S154" i="15"/>
  <c r="T154" i="15"/>
  <c r="U154" i="15"/>
  <c r="V154" i="15"/>
  <c r="W154" i="15"/>
  <c r="X154" i="15" s="1"/>
  <c r="Y154" i="15"/>
  <c r="Z154" i="15"/>
  <c r="AA154" i="15"/>
  <c r="AB154" i="15"/>
  <c r="AC154" i="15"/>
  <c r="AD154" i="15"/>
  <c r="AE154" i="15"/>
  <c r="AF154" i="15"/>
  <c r="AG154" i="15"/>
  <c r="AH154" i="15"/>
  <c r="AI154" i="15" s="1"/>
  <c r="AJ154" i="15"/>
  <c r="AK154" i="15"/>
  <c r="AL154" i="15"/>
  <c r="AM154" i="15"/>
  <c r="AN154" i="15"/>
  <c r="AO154" i="15"/>
  <c r="K155" i="15"/>
  <c r="L155" i="15"/>
  <c r="N155" i="15"/>
  <c r="O155" i="15"/>
  <c r="P155" i="15"/>
  <c r="Q155" i="15"/>
  <c r="R155" i="15"/>
  <c r="S155" i="15"/>
  <c r="T155" i="15"/>
  <c r="U155" i="15"/>
  <c r="V155" i="15"/>
  <c r="W155" i="15"/>
  <c r="X155" i="15" s="1"/>
  <c r="Y155" i="15"/>
  <c r="Z155" i="15"/>
  <c r="AA155" i="15"/>
  <c r="AB155" i="15"/>
  <c r="AC155" i="15"/>
  <c r="AD155" i="15"/>
  <c r="AE155" i="15"/>
  <c r="AF155" i="15"/>
  <c r="AG155" i="15"/>
  <c r="AH155" i="15"/>
  <c r="AI155" i="15" s="1"/>
  <c r="AJ155" i="15"/>
  <c r="AK155" i="15"/>
  <c r="AL155" i="15"/>
  <c r="AM155" i="15"/>
  <c r="AN155" i="15"/>
  <c r="AO155" i="15"/>
  <c r="K156" i="15"/>
  <c r="L156" i="15"/>
  <c r="N156" i="15"/>
  <c r="O156" i="15"/>
  <c r="P156" i="15"/>
  <c r="Q156" i="15"/>
  <c r="R156" i="15"/>
  <c r="S156" i="15"/>
  <c r="T156" i="15"/>
  <c r="U156" i="15"/>
  <c r="V156" i="15"/>
  <c r="W156" i="15"/>
  <c r="X156" i="15" s="1"/>
  <c r="Y156" i="15"/>
  <c r="Z156" i="15"/>
  <c r="AA156" i="15"/>
  <c r="AB156" i="15"/>
  <c r="AC156" i="15"/>
  <c r="AD156" i="15"/>
  <c r="AE156" i="15"/>
  <c r="AF156" i="15"/>
  <c r="AG156" i="15"/>
  <c r="AH156" i="15"/>
  <c r="AI156" i="15" s="1"/>
  <c r="AJ156" i="15"/>
  <c r="AK156" i="15"/>
  <c r="AL156" i="15"/>
  <c r="AM156" i="15"/>
  <c r="AN156" i="15"/>
  <c r="AO156" i="15"/>
  <c r="K157" i="15"/>
  <c r="A157" i="15" s="1"/>
  <c r="L157" i="15"/>
  <c r="N157" i="15"/>
  <c r="O157" i="15"/>
  <c r="P157" i="15"/>
  <c r="Q157" i="15"/>
  <c r="R157" i="15"/>
  <c r="S157" i="15"/>
  <c r="T157" i="15"/>
  <c r="U157" i="15"/>
  <c r="V157" i="15"/>
  <c r="W157" i="15"/>
  <c r="X157" i="15" s="1"/>
  <c r="Y157" i="15"/>
  <c r="Z157" i="15"/>
  <c r="AA157" i="15"/>
  <c r="AB157" i="15"/>
  <c r="AC157" i="15"/>
  <c r="AD157" i="15"/>
  <c r="AE157" i="15"/>
  <c r="AF157" i="15"/>
  <c r="AG157" i="15"/>
  <c r="AH157" i="15"/>
  <c r="AI157" i="15" s="1"/>
  <c r="AJ157" i="15"/>
  <c r="AK157" i="15"/>
  <c r="AL157" i="15"/>
  <c r="AM157" i="15"/>
  <c r="AN157" i="15"/>
  <c r="AO157" i="15"/>
  <c r="K158" i="15"/>
  <c r="L158" i="15"/>
  <c r="N158" i="15"/>
  <c r="O158" i="15"/>
  <c r="P158" i="15"/>
  <c r="Q158" i="15"/>
  <c r="R158" i="15"/>
  <c r="S158" i="15"/>
  <c r="T158" i="15"/>
  <c r="U158" i="15"/>
  <c r="V158" i="15"/>
  <c r="W158" i="15"/>
  <c r="X158" i="15" s="1"/>
  <c r="Y158" i="15"/>
  <c r="Z158" i="15"/>
  <c r="AA158" i="15"/>
  <c r="AB158" i="15"/>
  <c r="AC158" i="15"/>
  <c r="AD158" i="15"/>
  <c r="AE158" i="15"/>
  <c r="AF158" i="15"/>
  <c r="AG158" i="15"/>
  <c r="AH158" i="15"/>
  <c r="AI158" i="15" s="1"/>
  <c r="AJ158" i="15"/>
  <c r="AK158" i="15"/>
  <c r="AL158" i="15"/>
  <c r="AM158" i="15"/>
  <c r="AN158" i="15"/>
  <c r="AO158" i="15"/>
  <c r="K159" i="15"/>
  <c r="H159" i="15" s="1"/>
  <c r="L159" i="15"/>
  <c r="N159" i="15"/>
  <c r="O159" i="15"/>
  <c r="P159" i="15"/>
  <c r="Q159" i="15"/>
  <c r="R159" i="15"/>
  <c r="S159" i="15"/>
  <c r="T159" i="15"/>
  <c r="U159" i="15"/>
  <c r="V159" i="15"/>
  <c r="W159" i="15"/>
  <c r="X159" i="15" s="1"/>
  <c r="Y159" i="15"/>
  <c r="Z159" i="15"/>
  <c r="AA159" i="15"/>
  <c r="AB159" i="15"/>
  <c r="AC159" i="15"/>
  <c r="AD159" i="15"/>
  <c r="AE159" i="15"/>
  <c r="AF159" i="15"/>
  <c r="AG159" i="15"/>
  <c r="AH159" i="15"/>
  <c r="AI159" i="15" s="1"/>
  <c r="AJ159" i="15"/>
  <c r="AK159" i="15"/>
  <c r="AL159" i="15"/>
  <c r="AM159" i="15"/>
  <c r="AN159" i="15"/>
  <c r="AO159" i="15"/>
  <c r="K160" i="15"/>
  <c r="A160" i="15" s="1"/>
  <c r="L160" i="15"/>
  <c r="N160" i="15"/>
  <c r="O160" i="15"/>
  <c r="P160" i="15"/>
  <c r="Q160" i="15"/>
  <c r="R160" i="15"/>
  <c r="S160" i="15"/>
  <c r="T160" i="15"/>
  <c r="U160" i="15"/>
  <c r="V160" i="15"/>
  <c r="W160" i="15"/>
  <c r="X160" i="15" s="1"/>
  <c r="Y160" i="15"/>
  <c r="Z160" i="15"/>
  <c r="AA160" i="15"/>
  <c r="AB160" i="15"/>
  <c r="AC160" i="15"/>
  <c r="AD160" i="15"/>
  <c r="AE160" i="15"/>
  <c r="AF160" i="15"/>
  <c r="AG160" i="15"/>
  <c r="AH160" i="15"/>
  <c r="AI160" i="15" s="1"/>
  <c r="AJ160" i="15"/>
  <c r="AK160" i="15"/>
  <c r="AL160" i="15"/>
  <c r="AM160" i="15"/>
  <c r="AN160" i="15"/>
  <c r="AO160" i="15"/>
  <c r="K161" i="15"/>
  <c r="L161" i="15"/>
  <c r="N161" i="15"/>
  <c r="O161" i="15"/>
  <c r="P161" i="15"/>
  <c r="Q161" i="15"/>
  <c r="R161" i="15"/>
  <c r="S161" i="15"/>
  <c r="T161" i="15"/>
  <c r="U161" i="15"/>
  <c r="V161" i="15"/>
  <c r="W161" i="15"/>
  <c r="X161" i="15" s="1"/>
  <c r="Y161" i="15"/>
  <c r="Z161" i="15"/>
  <c r="AA161" i="15"/>
  <c r="AB161" i="15"/>
  <c r="AC161" i="15"/>
  <c r="AD161" i="15"/>
  <c r="AE161" i="15"/>
  <c r="AF161" i="15"/>
  <c r="AG161" i="15"/>
  <c r="AH161" i="15"/>
  <c r="AI161" i="15" s="1"/>
  <c r="AJ161" i="15"/>
  <c r="AK161" i="15"/>
  <c r="AL161" i="15"/>
  <c r="AM161" i="15"/>
  <c r="AN161" i="15"/>
  <c r="AO161" i="15"/>
  <c r="K162" i="15"/>
  <c r="L162" i="15"/>
  <c r="N162" i="15"/>
  <c r="O162" i="15"/>
  <c r="P162" i="15"/>
  <c r="Q162" i="15"/>
  <c r="R162" i="15"/>
  <c r="S162" i="15"/>
  <c r="T162" i="15"/>
  <c r="U162" i="15"/>
  <c r="V162" i="15"/>
  <c r="W162" i="15"/>
  <c r="X162" i="15" s="1"/>
  <c r="Y162" i="15"/>
  <c r="Z162" i="15"/>
  <c r="AA162" i="15"/>
  <c r="AB162" i="15"/>
  <c r="AC162" i="15"/>
  <c r="AD162" i="15"/>
  <c r="AE162" i="15"/>
  <c r="AF162" i="15"/>
  <c r="AG162" i="15"/>
  <c r="AH162" i="15"/>
  <c r="AI162" i="15" s="1"/>
  <c r="AJ162" i="15"/>
  <c r="AK162" i="15"/>
  <c r="AL162" i="15"/>
  <c r="AM162" i="15"/>
  <c r="AN162" i="15"/>
  <c r="AO162" i="15"/>
  <c r="K163" i="15"/>
  <c r="E163" i="15" s="1"/>
  <c r="L163" i="15"/>
  <c r="N163" i="15"/>
  <c r="O163" i="15"/>
  <c r="P163" i="15"/>
  <c r="Q163" i="15"/>
  <c r="R163" i="15"/>
  <c r="S163" i="15"/>
  <c r="T163" i="15"/>
  <c r="U163" i="15"/>
  <c r="V163" i="15"/>
  <c r="W163" i="15"/>
  <c r="X163" i="15" s="1"/>
  <c r="Y163" i="15"/>
  <c r="Z163" i="15"/>
  <c r="AA163" i="15"/>
  <c r="AB163" i="15"/>
  <c r="AC163" i="15"/>
  <c r="AD163" i="15"/>
  <c r="AE163" i="15"/>
  <c r="AF163" i="15"/>
  <c r="AG163" i="15"/>
  <c r="AH163" i="15"/>
  <c r="AI163" i="15" s="1"/>
  <c r="AJ163" i="15"/>
  <c r="AK163" i="15"/>
  <c r="AL163" i="15"/>
  <c r="AM163" i="15"/>
  <c r="AN163" i="15"/>
  <c r="AO163" i="15"/>
  <c r="K164" i="15"/>
  <c r="A164" i="15" s="1"/>
  <c r="L164" i="15"/>
  <c r="N164" i="15"/>
  <c r="O164" i="15"/>
  <c r="P164" i="15"/>
  <c r="Q164" i="15"/>
  <c r="R164" i="15"/>
  <c r="S164" i="15"/>
  <c r="T164" i="15"/>
  <c r="U164" i="15"/>
  <c r="V164" i="15"/>
  <c r="W164" i="15"/>
  <c r="X164" i="15" s="1"/>
  <c r="Y164" i="15"/>
  <c r="Z164" i="15"/>
  <c r="AA164" i="15"/>
  <c r="AB164" i="15"/>
  <c r="AC164" i="15"/>
  <c r="AD164" i="15"/>
  <c r="AE164" i="15"/>
  <c r="AF164" i="15"/>
  <c r="AG164" i="15"/>
  <c r="AH164" i="15"/>
  <c r="AI164" i="15" s="1"/>
  <c r="AJ164" i="15"/>
  <c r="AK164" i="15"/>
  <c r="AL164" i="15"/>
  <c r="AM164" i="15"/>
  <c r="AN164" i="15"/>
  <c r="AO164" i="15"/>
  <c r="K165" i="15"/>
  <c r="D165" i="15" s="1"/>
  <c r="L165" i="15"/>
  <c r="N165" i="15"/>
  <c r="O165" i="15"/>
  <c r="P165" i="15"/>
  <c r="Q165" i="15"/>
  <c r="R165" i="15"/>
  <c r="S165" i="15"/>
  <c r="T165" i="15"/>
  <c r="U165" i="15"/>
  <c r="V165" i="15"/>
  <c r="W165" i="15"/>
  <c r="X165" i="15" s="1"/>
  <c r="Y165" i="15"/>
  <c r="Z165" i="15"/>
  <c r="AA165" i="15"/>
  <c r="AB165" i="15"/>
  <c r="AC165" i="15"/>
  <c r="AD165" i="15"/>
  <c r="AE165" i="15"/>
  <c r="AF165" i="15"/>
  <c r="AG165" i="15"/>
  <c r="AH165" i="15"/>
  <c r="AI165" i="15" s="1"/>
  <c r="AJ165" i="15"/>
  <c r="AK165" i="15"/>
  <c r="AL165" i="15"/>
  <c r="AM165" i="15"/>
  <c r="AN165" i="15"/>
  <c r="AO165" i="15"/>
  <c r="K166" i="15"/>
  <c r="I166" i="15" s="1"/>
  <c r="L166" i="15"/>
  <c r="N166" i="15"/>
  <c r="O166" i="15"/>
  <c r="P166" i="15"/>
  <c r="Q166" i="15"/>
  <c r="R166" i="15"/>
  <c r="S166" i="15"/>
  <c r="T166" i="15"/>
  <c r="U166" i="15"/>
  <c r="V166" i="15"/>
  <c r="W166" i="15"/>
  <c r="X166" i="15" s="1"/>
  <c r="Y166" i="15"/>
  <c r="Z166" i="15"/>
  <c r="AA166" i="15"/>
  <c r="AB166" i="15"/>
  <c r="AC166" i="15"/>
  <c r="AD166" i="15"/>
  <c r="AE166" i="15"/>
  <c r="AF166" i="15"/>
  <c r="AG166" i="15"/>
  <c r="AH166" i="15"/>
  <c r="AI166" i="15" s="1"/>
  <c r="AJ166" i="15"/>
  <c r="AK166" i="15"/>
  <c r="AL166" i="15"/>
  <c r="AM166" i="15"/>
  <c r="AN166" i="15"/>
  <c r="AO166" i="15"/>
  <c r="K167" i="15"/>
  <c r="M167" i="15" s="1"/>
  <c r="L167" i="15"/>
  <c r="N167" i="15"/>
  <c r="O167" i="15"/>
  <c r="P167" i="15"/>
  <c r="Q167" i="15"/>
  <c r="R167" i="15"/>
  <c r="S167" i="15"/>
  <c r="T167" i="15"/>
  <c r="U167" i="15"/>
  <c r="V167" i="15"/>
  <c r="W167" i="15"/>
  <c r="X167" i="15" s="1"/>
  <c r="Y167" i="15"/>
  <c r="Z167" i="15"/>
  <c r="AA167" i="15"/>
  <c r="AB167" i="15"/>
  <c r="AC167" i="15"/>
  <c r="AD167" i="15"/>
  <c r="AE167" i="15"/>
  <c r="AF167" i="15"/>
  <c r="AG167" i="15"/>
  <c r="AH167" i="15"/>
  <c r="AI167" i="15" s="1"/>
  <c r="AJ167" i="15"/>
  <c r="AK167" i="15"/>
  <c r="AL167" i="15"/>
  <c r="AM167" i="15"/>
  <c r="AN167" i="15"/>
  <c r="AO167" i="15"/>
  <c r="K168" i="15"/>
  <c r="L168" i="15"/>
  <c r="N168" i="15"/>
  <c r="O168" i="15"/>
  <c r="P168" i="15"/>
  <c r="Q168" i="15"/>
  <c r="R168" i="15"/>
  <c r="S168" i="15"/>
  <c r="T168" i="15"/>
  <c r="U168" i="15"/>
  <c r="V168" i="15"/>
  <c r="W168" i="15"/>
  <c r="X168" i="15" s="1"/>
  <c r="Y168" i="15"/>
  <c r="Z168" i="15"/>
  <c r="AA168" i="15"/>
  <c r="AB168" i="15"/>
  <c r="AC168" i="15"/>
  <c r="AD168" i="15"/>
  <c r="AE168" i="15"/>
  <c r="AF168" i="15"/>
  <c r="AG168" i="15"/>
  <c r="AH168" i="15"/>
  <c r="AI168" i="15" s="1"/>
  <c r="AJ168" i="15"/>
  <c r="AK168" i="15"/>
  <c r="AL168" i="15"/>
  <c r="AM168" i="15"/>
  <c r="AN168" i="15"/>
  <c r="AO168" i="15"/>
  <c r="K169" i="15"/>
  <c r="L169" i="15"/>
  <c r="N169" i="15"/>
  <c r="O169" i="15"/>
  <c r="P169" i="15"/>
  <c r="Q169" i="15"/>
  <c r="R169" i="15"/>
  <c r="S169" i="15"/>
  <c r="T169" i="15"/>
  <c r="U169" i="15"/>
  <c r="V169" i="15"/>
  <c r="W169" i="15"/>
  <c r="X169" i="15" s="1"/>
  <c r="Y169" i="15"/>
  <c r="Z169" i="15"/>
  <c r="AA169" i="15"/>
  <c r="AB169" i="15"/>
  <c r="AC169" i="15"/>
  <c r="AD169" i="15"/>
  <c r="AE169" i="15"/>
  <c r="AF169" i="15"/>
  <c r="AG169" i="15"/>
  <c r="AH169" i="15"/>
  <c r="AI169" i="15" s="1"/>
  <c r="AJ169" i="15"/>
  <c r="AK169" i="15"/>
  <c r="AL169" i="15"/>
  <c r="AM169" i="15"/>
  <c r="AN169" i="15"/>
  <c r="AO169" i="15"/>
  <c r="K170" i="15"/>
  <c r="E170" i="15" s="1"/>
  <c r="L170" i="15"/>
  <c r="N170" i="15"/>
  <c r="O170" i="15"/>
  <c r="P170" i="15"/>
  <c r="Q170" i="15"/>
  <c r="R170" i="15"/>
  <c r="S170" i="15"/>
  <c r="T170" i="15"/>
  <c r="U170" i="15"/>
  <c r="V170" i="15"/>
  <c r="W170" i="15"/>
  <c r="X170" i="15" s="1"/>
  <c r="Y170" i="15"/>
  <c r="Z170" i="15"/>
  <c r="AA170" i="15"/>
  <c r="AB170" i="15"/>
  <c r="AC170" i="15"/>
  <c r="AD170" i="15"/>
  <c r="AE170" i="15"/>
  <c r="AF170" i="15"/>
  <c r="AG170" i="15"/>
  <c r="AH170" i="15"/>
  <c r="AI170" i="15" s="1"/>
  <c r="AJ170" i="15"/>
  <c r="AK170" i="15"/>
  <c r="AL170" i="15"/>
  <c r="AM170" i="15"/>
  <c r="AN170" i="15"/>
  <c r="AO170" i="15"/>
  <c r="K171" i="15"/>
  <c r="L171" i="15"/>
  <c r="N171" i="15"/>
  <c r="O171" i="15"/>
  <c r="P171" i="15"/>
  <c r="Q171" i="15"/>
  <c r="R171" i="15"/>
  <c r="S171" i="15"/>
  <c r="T171" i="15"/>
  <c r="U171" i="15"/>
  <c r="V171" i="15"/>
  <c r="W171" i="15"/>
  <c r="X171" i="15" s="1"/>
  <c r="Y171" i="15"/>
  <c r="Z171" i="15"/>
  <c r="AA171" i="15"/>
  <c r="AB171" i="15"/>
  <c r="AC171" i="15"/>
  <c r="AD171" i="15"/>
  <c r="AE171" i="15"/>
  <c r="AF171" i="15"/>
  <c r="AG171" i="15"/>
  <c r="AH171" i="15"/>
  <c r="AI171" i="15" s="1"/>
  <c r="AJ171" i="15"/>
  <c r="AK171" i="15"/>
  <c r="AL171" i="15"/>
  <c r="AM171" i="15"/>
  <c r="AN171" i="15"/>
  <c r="AO171" i="15"/>
  <c r="K172" i="15"/>
  <c r="C172" i="15" s="1"/>
  <c r="L172" i="15"/>
  <c r="N172" i="15"/>
  <c r="O172" i="15"/>
  <c r="P172" i="15"/>
  <c r="Q172" i="15"/>
  <c r="R172" i="15"/>
  <c r="S172" i="15"/>
  <c r="T172" i="15"/>
  <c r="U172" i="15"/>
  <c r="V172" i="15"/>
  <c r="W172" i="15"/>
  <c r="X172" i="15" s="1"/>
  <c r="Y172" i="15"/>
  <c r="Z172" i="15"/>
  <c r="AA172" i="15"/>
  <c r="AB172" i="15"/>
  <c r="AC172" i="15"/>
  <c r="AD172" i="15"/>
  <c r="AE172" i="15"/>
  <c r="AF172" i="15"/>
  <c r="AG172" i="15"/>
  <c r="AH172" i="15"/>
  <c r="AI172" i="15" s="1"/>
  <c r="AJ172" i="15"/>
  <c r="AK172" i="15"/>
  <c r="AL172" i="15"/>
  <c r="AM172" i="15"/>
  <c r="AN172" i="15"/>
  <c r="AO172" i="15"/>
  <c r="K173" i="15"/>
  <c r="I173" i="15" s="1"/>
  <c r="L173" i="15"/>
  <c r="N173" i="15"/>
  <c r="O173" i="15"/>
  <c r="P173" i="15"/>
  <c r="Q173" i="15"/>
  <c r="R173" i="15"/>
  <c r="S173" i="15"/>
  <c r="T173" i="15"/>
  <c r="U173" i="15"/>
  <c r="V173" i="15"/>
  <c r="W173" i="15"/>
  <c r="X173" i="15" s="1"/>
  <c r="Y173" i="15"/>
  <c r="Z173" i="15"/>
  <c r="AA173" i="15"/>
  <c r="AB173" i="15"/>
  <c r="AC173" i="15"/>
  <c r="AD173" i="15"/>
  <c r="AE173" i="15"/>
  <c r="AF173" i="15"/>
  <c r="AG173" i="15"/>
  <c r="AH173" i="15"/>
  <c r="AI173" i="15" s="1"/>
  <c r="AJ173" i="15"/>
  <c r="AK173" i="15"/>
  <c r="AL173" i="15"/>
  <c r="AM173" i="15"/>
  <c r="AN173" i="15"/>
  <c r="AO173" i="15"/>
  <c r="K174" i="15"/>
  <c r="L174" i="15"/>
  <c r="N174" i="15"/>
  <c r="O174" i="15"/>
  <c r="P174" i="15"/>
  <c r="Q174" i="15"/>
  <c r="R174" i="15"/>
  <c r="S174" i="15"/>
  <c r="T174" i="15"/>
  <c r="U174" i="15"/>
  <c r="V174" i="15"/>
  <c r="W174" i="15"/>
  <c r="X174" i="15" s="1"/>
  <c r="Y174" i="15"/>
  <c r="Z174" i="15"/>
  <c r="AA174" i="15"/>
  <c r="AB174" i="15"/>
  <c r="AC174" i="15"/>
  <c r="AD174" i="15"/>
  <c r="AE174" i="15"/>
  <c r="AF174" i="15"/>
  <c r="AG174" i="15"/>
  <c r="AH174" i="15"/>
  <c r="AI174" i="15" s="1"/>
  <c r="AJ174" i="15"/>
  <c r="AK174" i="15"/>
  <c r="AL174" i="15"/>
  <c r="AM174" i="15"/>
  <c r="AN174" i="15"/>
  <c r="AO174" i="15"/>
  <c r="K175" i="15"/>
  <c r="L175" i="15"/>
  <c r="N175" i="15"/>
  <c r="O175" i="15"/>
  <c r="P175" i="15"/>
  <c r="Q175" i="15"/>
  <c r="R175" i="15"/>
  <c r="S175" i="15"/>
  <c r="T175" i="15"/>
  <c r="U175" i="15"/>
  <c r="V175" i="15"/>
  <c r="W175" i="15"/>
  <c r="X175" i="15" s="1"/>
  <c r="Y175" i="15"/>
  <c r="Z175" i="15"/>
  <c r="AA175" i="15"/>
  <c r="AB175" i="15"/>
  <c r="AC175" i="15"/>
  <c r="AD175" i="15"/>
  <c r="AE175" i="15"/>
  <c r="AF175" i="15"/>
  <c r="AG175" i="15"/>
  <c r="AH175" i="15"/>
  <c r="AI175" i="15" s="1"/>
  <c r="AJ175" i="15"/>
  <c r="AK175" i="15"/>
  <c r="AL175" i="15"/>
  <c r="AM175" i="15"/>
  <c r="AN175" i="15"/>
  <c r="AO175" i="15"/>
  <c r="K176" i="15"/>
  <c r="L176" i="15"/>
  <c r="N176" i="15"/>
  <c r="O176" i="15"/>
  <c r="P176" i="15"/>
  <c r="Q176" i="15"/>
  <c r="R176" i="15"/>
  <c r="S176" i="15"/>
  <c r="T176" i="15"/>
  <c r="U176" i="15"/>
  <c r="V176" i="15"/>
  <c r="W176" i="15"/>
  <c r="X176" i="15" s="1"/>
  <c r="Y176" i="15"/>
  <c r="Z176" i="15"/>
  <c r="AA176" i="15"/>
  <c r="AB176" i="15"/>
  <c r="AC176" i="15"/>
  <c r="AD176" i="15"/>
  <c r="AE176" i="15"/>
  <c r="AF176" i="15"/>
  <c r="AG176" i="15"/>
  <c r="AH176" i="15"/>
  <c r="AI176" i="15" s="1"/>
  <c r="AJ176" i="15"/>
  <c r="AK176" i="15"/>
  <c r="AL176" i="15"/>
  <c r="AM176" i="15"/>
  <c r="AN176" i="15"/>
  <c r="AO176" i="15"/>
  <c r="K177" i="15"/>
  <c r="L177" i="15"/>
  <c r="N177" i="15"/>
  <c r="O177" i="15"/>
  <c r="P177" i="15"/>
  <c r="Q177" i="15"/>
  <c r="R177" i="15"/>
  <c r="S177" i="15"/>
  <c r="T177" i="15"/>
  <c r="U177" i="15"/>
  <c r="V177" i="15"/>
  <c r="W177" i="15"/>
  <c r="X177" i="15" s="1"/>
  <c r="Y177" i="15"/>
  <c r="Z177" i="15"/>
  <c r="AA177" i="15"/>
  <c r="AB177" i="15"/>
  <c r="AC177" i="15"/>
  <c r="AD177" i="15"/>
  <c r="AE177" i="15"/>
  <c r="AF177" i="15"/>
  <c r="AG177" i="15"/>
  <c r="AH177" i="15"/>
  <c r="AI177" i="15" s="1"/>
  <c r="AJ177" i="15"/>
  <c r="AK177" i="15"/>
  <c r="AL177" i="15"/>
  <c r="AM177" i="15"/>
  <c r="AN177" i="15"/>
  <c r="AO177" i="15"/>
  <c r="K178" i="15"/>
  <c r="D178" i="15" s="1"/>
  <c r="L178" i="15"/>
  <c r="N178" i="15"/>
  <c r="O178" i="15"/>
  <c r="P178" i="15"/>
  <c r="Q178" i="15"/>
  <c r="R178" i="15"/>
  <c r="S178" i="15"/>
  <c r="T178" i="15"/>
  <c r="U178" i="15"/>
  <c r="V178" i="15"/>
  <c r="W178" i="15"/>
  <c r="X178" i="15" s="1"/>
  <c r="Y178" i="15"/>
  <c r="Z178" i="15"/>
  <c r="AA178" i="15"/>
  <c r="AB178" i="15"/>
  <c r="AC178" i="15"/>
  <c r="AD178" i="15"/>
  <c r="AE178" i="15"/>
  <c r="AF178" i="15"/>
  <c r="AG178" i="15"/>
  <c r="AH178" i="15"/>
  <c r="AI178" i="15" s="1"/>
  <c r="AJ178" i="15"/>
  <c r="AK178" i="15"/>
  <c r="AL178" i="15"/>
  <c r="AM178" i="15"/>
  <c r="AN178" i="15"/>
  <c r="AO178" i="15"/>
  <c r="K179" i="15"/>
  <c r="L179" i="15"/>
  <c r="N179" i="15"/>
  <c r="O179" i="15"/>
  <c r="P179" i="15"/>
  <c r="Q179" i="15"/>
  <c r="R179" i="15"/>
  <c r="S179" i="15"/>
  <c r="T179" i="15"/>
  <c r="U179" i="15"/>
  <c r="V179" i="15"/>
  <c r="W179" i="15"/>
  <c r="X179" i="15" s="1"/>
  <c r="Y179" i="15"/>
  <c r="Z179" i="15"/>
  <c r="AA179" i="15"/>
  <c r="AB179" i="15"/>
  <c r="AC179" i="15"/>
  <c r="AD179" i="15"/>
  <c r="AE179" i="15"/>
  <c r="AF179" i="15"/>
  <c r="AG179" i="15"/>
  <c r="AH179" i="15"/>
  <c r="AI179" i="15" s="1"/>
  <c r="AJ179" i="15"/>
  <c r="AK179" i="15"/>
  <c r="AL179" i="15"/>
  <c r="AM179" i="15"/>
  <c r="AN179" i="15"/>
  <c r="AO179" i="15"/>
  <c r="K180" i="15"/>
  <c r="G180" i="15" s="1"/>
  <c r="L180" i="15"/>
  <c r="N180" i="15"/>
  <c r="O180" i="15"/>
  <c r="P180" i="15"/>
  <c r="Q180" i="15"/>
  <c r="R180" i="15"/>
  <c r="S180" i="15"/>
  <c r="T180" i="15"/>
  <c r="U180" i="15"/>
  <c r="V180" i="15"/>
  <c r="W180" i="15"/>
  <c r="X180" i="15" s="1"/>
  <c r="Y180" i="15"/>
  <c r="Z180" i="15"/>
  <c r="AA180" i="15"/>
  <c r="AB180" i="15"/>
  <c r="AC180" i="15"/>
  <c r="AD180" i="15"/>
  <c r="AE180" i="15"/>
  <c r="AF180" i="15"/>
  <c r="AG180" i="15"/>
  <c r="AH180" i="15"/>
  <c r="AI180" i="15" s="1"/>
  <c r="AJ180" i="15"/>
  <c r="AK180" i="15"/>
  <c r="AL180" i="15"/>
  <c r="AM180" i="15"/>
  <c r="AN180" i="15"/>
  <c r="AO180" i="15"/>
  <c r="K181" i="15"/>
  <c r="L181" i="15"/>
  <c r="N181" i="15"/>
  <c r="O181" i="15"/>
  <c r="P181" i="15"/>
  <c r="Q181" i="15"/>
  <c r="R181" i="15"/>
  <c r="S181" i="15"/>
  <c r="T181" i="15"/>
  <c r="U181" i="15"/>
  <c r="V181" i="15"/>
  <c r="W181" i="15"/>
  <c r="X181" i="15" s="1"/>
  <c r="Y181" i="15"/>
  <c r="Z181" i="15"/>
  <c r="AA181" i="15"/>
  <c r="AB181" i="15"/>
  <c r="AC181" i="15"/>
  <c r="AD181" i="15"/>
  <c r="AE181" i="15"/>
  <c r="AF181" i="15"/>
  <c r="AG181" i="15"/>
  <c r="AH181" i="15"/>
  <c r="AI181" i="15" s="1"/>
  <c r="AJ181" i="15"/>
  <c r="AK181" i="15"/>
  <c r="AL181" i="15"/>
  <c r="AM181" i="15"/>
  <c r="AN181" i="15"/>
  <c r="AO181" i="15"/>
  <c r="K182" i="15"/>
  <c r="L182" i="15"/>
  <c r="N182" i="15"/>
  <c r="O182" i="15"/>
  <c r="P182" i="15"/>
  <c r="Q182" i="15"/>
  <c r="R182" i="15"/>
  <c r="S182" i="15"/>
  <c r="T182" i="15"/>
  <c r="U182" i="15"/>
  <c r="V182" i="15"/>
  <c r="W182" i="15"/>
  <c r="X182" i="15" s="1"/>
  <c r="Y182" i="15"/>
  <c r="Z182" i="15"/>
  <c r="AA182" i="15"/>
  <c r="AB182" i="15"/>
  <c r="AC182" i="15"/>
  <c r="AD182" i="15"/>
  <c r="AE182" i="15"/>
  <c r="AF182" i="15"/>
  <c r="AG182" i="15"/>
  <c r="AH182" i="15"/>
  <c r="AI182" i="15" s="1"/>
  <c r="AJ182" i="15"/>
  <c r="AK182" i="15"/>
  <c r="AL182" i="15"/>
  <c r="AM182" i="15"/>
  <c r="AN182" i="15"/>
  <c r="AO182" i="15"/>
  <c r="K183" i="15"/>
  <c r="J183" i="15" s="1"/>
  <c r="L183" i="15"/>
  <c r="N183" i="15"/>
  <c r="O183" i="15"/>
  <c r="P183" i="15"/>
  <c r="Q183" i="15"/>
  <c r="R183" i="15"/>
  <c r="S183" i="15"/>
  <c r="T183" i="15"/>
  <c r="U183" i="15"/>
  <c r="V183" i="15"/>
  <c r="W183" i="15"/>
  <c r="X183" i="15" s="1"/>
  <c r="Y183" i="15"/>
  <c r="Z183" i="15"/>
  <c r="AA183" i="15"/>
  <c r="AB183" i="15"/>
  <c r="AC183" i="15"/>
  <c r="AD183" i="15"/>
  <c r="AE183" i="15"/>
  <c r="AF183" i="15"/>
  <c r="AG183" i="15"/>
  <c r="AH183" i="15"/>
  <c r="AI183" i="15" s="1"/>
  <c r="AJ183" i="15"/>
  <c r="AK183" i="15"/>
  <c r="AL183" i="15"/>
  <c r="AM183" i="15"/>
  <c r="AN183" i="15"/>
  <c r="AO183" i="15"/>
  <c r="K184" i="15"/>
  <c r="L184" i="15"/>
  <c r="N184" i="15"/>
  <c r="O184" i="15"/>
  <c r="P184" i="15"/>
  <c r="Q184" i="15"/>
  <c r="R184" i="15"/>
  <c r="S184" i="15"/>
  <c r="T184" i="15"/>
  <c r="U184" i="15"/>
  <c r="V184" i="15"/>
  <c r="W184" i="15"/>
  <c r="X184" i="15" s="1"/>
  <c r="Y184" i="15"/>
  <c r="Z184" i="15"/>
  <c r="AA184" i="15"/>
  <c r="AB184" i="15"/>
  <c r="AC184" i="15"/>
  <c r="AD184" i="15"/>
  <c r="AE184" i="15"/>
  <c r="AF184" i="15"/>
  <c r="AG184" i="15"/>
  <c r="AH184" i="15"/>
  <c r="AI184" i="15" s="1"/>
  <c r="AJ184" i="15"/>
  <c r="AK184" i="15"/>
  <c r="AL184" i="15"/>
  <c r="AM184" i="15"/>
  <c r="AN184" i="15"/>
  <c r="AO184" i="15"/>
  <c r="K185" i="15"/>
  <c r="H185" i="15" s="1"/>
  <c r="L185" i="15"/>
  <c r="N185" i="15"/>
  <c r="O185" i="15"/>
  <c r="P185" i="15"/>
  <c r="Q185" i="15"/>
  <c r="R185" i="15"/>
  <c r="S185" i="15"/>
  <c r="T185" i="15"/>
  <c r="U185" i="15"/>
  <c r="V185" i="15"/>
  <c r="W185" i="15"/>
  <c r="X185" i="15" s="1"/>
  <c r="Y185" i="15"/>
  <c r="Z185" i="15"/>
  <c r="AA185" i="15"/>
  <c r="AB185" i="15"/>
  <c r="AC185" i="15"/>
  <c r="AD185" i="15"/>
  <c r="AE185" i="15"/>
  <c r="AF185" i="15"/>
  <c r="AG185" i="15"/>
  <c r="AH185" i="15"/>
  <c r="AI185" i="15" s="1"/>
  <c r="AJ185" i="15"/>
  <c r="AK185" i="15"/>
  <c r="AL185" i="15"/>
  <c r="AM185" i="15"/>
  <c r="AN185" i="15"/>
  <c r="AO185" i="15"/>
  <c r="K186" i="15"/>
  <c r="L186" i="15"/>
  <c r="N186" i="15"/>
  <c r="O186" i="15"/>
  <c r="P186" i="15"/>
  <c r="Q186" i="15"/>
  <c r="R186" i="15"/>
  <c r="S186" i="15"/>
  <c r="T186" i="15"/>
  <c r="U186" i="15"/>
  <c r="V186" i="15"/>
  <c r="W186" i="15"/>
  <c r="X186" i="15" s="1"/>
  <c r="Y186" i="15"/>
  <c r="Z186" i="15"/>
  <c r="AA186" i="15"/>
  <c r="AB186" i="15"/>
  <c r="AC186" i="15"/>
  <c r="AD186" i="15"/>
  <c r="AE186" i="15"/>
  <c r="AF186" i="15"/>
  <c r="AG186" i="15"/>
  <c r="AH186" i="15"/>
  <c r="AI186" i="15" s="1"/>
  <c r="AJ186" i="15"/>
  <c r="AK186" i="15"/>
  <c r="AL186" i="15"/>
  <c r="AM186" i="15"/>
  <c r="AN186" i="15"/>
  <c r="AO186" i="15"/>
  <c r="K187" i="15"/>
  <c r="L187" i="15"/>
  <c r="N187" i="15"/>
  <c r="O187" i="15"/>
  <c r="P187" i="15"/>
  <c r="Q187" i="15"/>
  <c r="R187" i="15"/>
  <c r="S187" i="15"/>
  <c r="T187" i="15"/>
  <c r="U187" i="15"/>
  <c r="V187" i="15"/>
  <c r="W187" i="15"/>
  <c r="X187" i="15" s="1"/>
  <c r="Y187" i="15"/>
  <c r="Z187" i="15"/>
  <c r="AA187" i="15"/>
  <c r="AB187" i="15"/>
  <c r="AC187" i="15"/>
  <c r="AD187" i="15"/>
  <c r="AE187" i="15"/>
  <c r="AF187" i="15"/>
  <c r="AG187" i="15"/>
  <c r="AH187" i="15"/>
  <c r="AI187" i="15" s="1"/>
  <c r="AJ187" i="15"/>
  <c r="AK187" i="15"/>
  <c r="AL187" i="15"/>
  <c r="AM187" i="15"/>
  <c r="AN187" i="15"/>
  <c r="AO187" i="15"/>
  <c r="K188" i="15"/>
  <c r="L188" i="15"/>
  <c r="N188" i="15"/>
  <c r="O188" i="15"/>
  <c r="P188" i="15"/>
  <c r="Q188" i="15"/>
  <c r="R188" i="15"/>
  <c r="S188" i="15"/>
  <c r="T188" i="15"/>
  <c r="U188" i="15"/>
  <c r="V188" i="15"/>
  <c r="W188" i="15"/>
  <c r="X188" i="15" s="1"/>
  <c r="Y188" i="15"/>
  <c r="Z188" i="15"/>
  <c r="AA188" i="15"/>
  <c r="AB188" i="15"/>
  <c r="AC188" i="15"/>
  <c r="AD188" i="15"/>
  <c r="AE188" i="15"/>
  <c r="AF188" i="15"/>
  <c r="AG188" i="15"/>
  <c r="AH188" i="15"/>
  <c r="AI188" i="15" s="1"/>
  <c r="AJ188" i="15"/>
  <c r="AK188" i="15"/>
  <c r="AL188" i="15"/>
  <c r="AM188" i="15"/>
  <c r="AN188" i="15"/>
  <c r="AO188" i="15"/>
  <c r="K189" i="15"/>
  <c r="L189" i="15"/>
  <c r="N189" i="15"/>
  <c r="O189" i="15"/>
  <c r="P189" i="15"/>
  <c r="Q189" i="15"/>
  <c r="R189" i="15"/>
  <c r="S189" i="15"/>
  <c r="T189" i="15"/>
  <c r="U189" i="15"/>
  <c r="V189" i="15"/>
  <c r="W189" i="15"/>
  <c r="X189" i="15" s="1"/>
  <c r="Y189" i="15"/>
  <c r="Z189" i="15"/>
  <c r="AA189" i="15"/>
  <c r="AB189" i="15"/>
  <c r="AC189" i="15"/>
  <c r="AD189" i="15"/>
  <c r="AE189" i="15"/>
  <c r="AF189" i="15"/>
  <c r="AG189" i="15"/>
  <c r="AH189" i="15"/>
  <c r="AI189" i="15" s="1"/>
  <c r="AJ189" i="15"/>
  <c r="AK189" i="15"/>
  <c r="AL189" i="15"/>
  <c r="AM189" i="15"/>
  <c r="AN189" i="15"/>
  <c r="AO189" i="15"/>
  <c r="K190" i="15"/>
  <c r="L190" i="15"/>
  <c r="N190" i="15"/>
  <c r="O190" i="15"/>
  <c r="P190" i="15"/>
  <c r="Q190" i="15"/>
  <c r="R190" i="15"/>
  <c r="S190" i="15"/>
  <c r="T190" i="15"/>
  <c r="U190" i="15"/>
  <c r="V190" i="15"/>
  <c r="W190" i="15"/>
  <c r="X190" i="15" s="1"/>
  <c r="Y190" i="15"/>
  <c r="Z190" i="15"/>
  <c r="AA190" i="15"/>
  <c r="AB190" i="15"/>
  <c r="AC190" i="15"/>
  <c r="AD190" i="15"/>
  <c r="AE190" i="15"/>
  <c r="AF190" i="15"/>
  <c r="AG190" i="15"/>
  <c r="AH190" i="15"/>
  <c r="AI190" i="15" s="1"/>
  <c r="AJ190" i="15"/>
  <c r="AK190" i="15"/>
  <c r="AL190" i="15"/>
  <c r="AM190" i="15"/>
  <c r="AN190" i="15"/>
  <c r="AO190" i="15"/>
  <c r="K191" i="15"/>
  <c r="B191" i="15" s="1"/>
  <c r="L191" i="15"/>
  <c r="N191" i="15"/>
  <c r="O191" i="15"/>
  <c r="P191" i="15"/>
  <c r="Q191" i="15"/>
  <c r="R191" i="15"/>
  <c r="S191" i="15"/>
  <c r="T191" i="15"/>
  <c r="U191" i="15"/>
  <c r="V191" i="15"/>
  <c r="W191" i="15"/>
  <c r="X191" i="15" s="1"/>
  <c r="Y191" i="15"/>
  <c r="Z191" i="15"/>
  <c r="AA191" i="15"/>
  <c r="AB191" i="15"/>
  <c r="AC191" i="15"/>
  <c r="AD191" i="15"/>
  <c r="AE191" i="15"/>
  <c r="AF191" i="15"/>
  <c r="AG191" i="15"/>
  <c r="AH191" i="15"/>
  <c r="AI191" i="15" s="1"/>
  <c r="AJ191" i="15"/>
  <c r="AK191" i="15"/>
  <c r="AL191" i="15"/>
  <c r="AM191" i="15"/>
  <c r="AN191" i="15"/>
  <c r="AO191" i="15"/>
  <c r="K192" i="15"/>
  <c r="J192" i="15" s="1"/>
  <c r="L192" i="15"/>
  <c r="N192" i="15"/>
  <c r="O192" i="15"/>
  <c r="P192" i="15"/>
  <c r="Q192" i="15"/>
  <c r="R192" i="15"/>
  <c r="S192" i="15"/>
  <c r="T192" i="15"/>
  <c r="U192" i="15"/>
  <c r="V192" i="15"/>
  <c r="W192" i="15"/>
  <c r="X192" i="15" s="1"/>
  <c r="Y192" i="15"/>
  <c r="Z192" i="15"/>
  <c r="AA192" i="15"/>
  <c r="AB192" i="15"/>
  <c r="AC192" i="15"/>
  <c r="AD192" i="15"/>
  <c r="AE192" i="15"/>
  <c r="AF192" i="15"/>
  <c r="AG192" i="15"/>
  <c r="AH192" i="15"/>
  <c r="AI192" i="15" s="1"/>
  <c r="AJ192" i="15"/>
  <c r="AK192" i="15"/>
  <c r="AL192" i="15"/>
  <c r="AM192" i="15"/>
  <c r="AN192" i="15"/>
  <c r="AO192" i="15"/>
  <c r="K193" i="15"/>
  <c r="H193" i="15" s="1"/>
  <c r="L193" i="15"/>
  <c r="N193" i="15"/>
  <c r="O193" i="15"/>
  <c r="P193" i="15"/>
  <c r="Q193" i="15"/>
  <c r="R193" i="15"/>
  <c r="S193" i="15"/>
  <c r="T193" i="15"/>
  <c r="U193" i="15"/>
  <c r="V193" i="15"/>
  <c r="W193" i="15"/>
  <c r="X193" i="15" s="1"/>
  <c r="Y193" i="15"/>
  <c r="Z193" i="15"/>
  <c r="AA193" i="15"/>
  <c r="AB193" i="15"/>
  <c r="AC193" i="15"/>
  <c r="AD193" i="15"/>
  <c r="AE193" i="15"/>
  <c r="AF193" i="15"/>
  <c r="AG193" i="15"/>
  <c r="AH193" i="15"/>
  <c r="AI193" i="15" s="1"/>
  <c r="AJ193" i="15"/>
  <c r="AK193" i="15"/>
  <c r="AL193" i="15"/>
  <c r="AM193" i="15"/>
  <c r="AN193" i="15"/>
  <c r="AO193" i="15"/>
  <c r="K194" i="15"/>
  <c r="E194" i="15" s="1"/>
  <c r="L194" i="15"/>
  <c r="N194" i="15"/>
  <c r="O194" i="15"/>
  <c r="P194" i="15"/>
  <c r="Q194" i="15"/>
  <c r="R194" i="15"/>
  <c r="S194" i="15"/>
  <c r="T194" i="15"/>
  <c r="U194" i="15"/>
  <c r="V194" i="15"/>
  <c r="W194" i="15"/>
  <c r="X194" i="15" s="1"/>
  <c r="Y194" i="15"/>
  <c r="Z194" i="15"/>
  <c r="AA194" i="15"/>
  <c r="AB194" i="15"/>
  <c r="AC194" i="15"/>
  <c r="AD194" i="15"/>
  <c r="AE194" i="15"/>
  <c r="AF194" i="15"/>
  <c r="AG194" i="15"/>
  <c r="AH194" i="15"/>
  <c r="AI194" i="15" s="1"/>
  <c r="AJ194" i="15"/>
  <c r="AK194" i="15"/>
  <c r="AL194" i="15"/>
  <c r="AM194" i="15"/>
  <c r="AN194" i="15"/>
  <c r="AO194" i="15"/>
  <c r="K195" i="15"/>
  <c r="G195" i="15" s="1"/>
  <c r="L195" i="15"/>
  <c r="N195" i="15"/>
  <c r="O195" i="15"/>
  <c r="P195" i="15"/>
  <c r="Q195" i="15"/>
  <c r="R195" i="15"/>
  <c r="S195" i="15"/>
  <c r="T195" i="15"/>
  <c r="U195" i="15"/>
  <c r="V195" i="15"/>
  <c r="W195" i="15"/>
  <c r="X195" i="15" s="1"/>
  <c r="Y195" i="15"/>
  <c r="Z195" i="15"/>
  <c r="AA195" i="15"/>
  <c r="AB195" i="15"/>
  <c r="AC195" i="15"/>
  <c r="AD195" i="15"/>
  <c r="AE195" i="15"/>
  <c r="AF195" i="15"/>
  <c r="AG195" i="15"/>
  <c r="AH195" i="15"/>
  <c r="AI195" i="15" s="1"/>
  <c r="AJ195" i="15"/>
  <c r="AK195" i="15"/>
  <c r="AL195" i="15"/>
  <c r="AM195" i="15"/>
  <c r="AN195" i="15"/>
  <c r="AO195" i="15"/>
  <c r="K196" i="15"/>
  <c r="L196" i="15"/>
  <c r="N196" i="15"/>
  <c r="O196" i="15"/>
  <c r="P196" i="15"/>
  <c r="Q196" i="15"/>
  <c r="R196" i="15"/>
  <c r="S196" i="15"/>
  <c r="T196" i="15"/>
  <c r="U196" i="15"/>
  <c r="V196" i="15"/>
  <c r="W196" i="15"/>
  <c r="X196" i="15" s="1"/>
  <c r="Y196" i="15"/>
  <c r="Z196" i="15"/>
  <c r="AA196" i="15"/>
  <c r="AB196" i="15"/>
  <c r="AC196" i="15"/>
  <c r="AD196" i="15"/>
  <c r="AE196" i="15"/>
  <c r="AF196" i="15"/>
  <c r="AG196" i="15"/>
  <c r="AH196" i="15"/>
  <c r="AI196" i="15" s="1"/>
  <c r="AJ196" i="15"/>
  <c r="AK196" i="15"/>
  <c r="AL196" i="15"/>
  <c r="AM196" i="15"/>
  <c r="AN196" i="15"/>
  <c r="AO196" i="15"/>
  <c r="K197" i="15"/>
  <c r="M197" i="15" s="1"/>
  <c r="L197" i="15"/>
  <c r="N197" i="15"/>
  <c r="O197" i="15"/>
  <c r="P197" i="15"/>
  <c r="Q197" i="15"/>
  <c r="R197" i="15"/>
  <c r="S197" i="15"/>
  <c r="T197" i="15"/>
  <c r="U197" i="15"/>
  <c r="V197" i="15"/>
  <c r="W197" i="15"/>
  <c r="X197" i="15" s="1"/>
  <c r="Y197" i="15"/>
  <c r="Z197" i="15"/>
  <c r="AA197" i="15"/>
  <c r="AB197" i="15"/>
  <c r="AC197" i="15"/>
  <c r="AD197" i="15"/>
  <c r="AE197" i="15"/>
  <c r="AF197" i="15"/>
  <c r="AG197" i="15"/>
  <c r="AH197" i="15"/>
  <c r="AI197" i="15" s="1"/>
  <c r="AJ197" i="15"/>
  <c r="AK197" i="15"/>
  <c r="AL197" i="15"/>
  <c r="AM197" i="15"/>
  <c r="AN197" i="15"/>
  <c r="AO197" i="15"/>
  <c r="K198" i="15"/>
  <c r="L198" i="15"/>
  <c r="N198" i="15"/>
  <c r="O198" i="15"/>
  <c r="P198" i="15"/>
  <c r="Q198" i="15"/>
  <c r="R198" i="15"/>
  <c r="S198" i="15"/>
  <c r="T198" i="15"/>
  <c r="U198" i="15"/>
  <c r="V198" i="15"/>
  <c r="W198" i="15"/>
  <c r="X198" i="15" s="1"/>
  <c r="Y198" i="15"/>
  <c r="Z198" i="15"/>
  <c r="AA198" i="15"/>
  <c r="AB198" i="15"/>
  <c r="AC198" i="15"/>
  <c r="AD198" i="15"/>
  <c r="AE198" i="15"/>
  <c r="AF198" i="15"/>
  <c r="AG198" i="15"/>
  <c r="AH198" i="15"/>
  <c r="AI198" i="15" s="1"/>
  <c r="AJ198" i="15"/>
  <c r="AK198" i="15"/>
  <c r="AL198" i="15"/>
  <c r="AM198" i="15"/>
  <c r="AN198" i="15"/>
  <c r="AO198" i="15"/>
  <c r="K199" i="15"/>
  <c r="E199" i="15" s="1"/>
  <c r="L199" i="15"/>
  <c r="N199" i="15"/>
  <c r="O199" i="15"/>
  <c r="P199" i="15"/>
  <c r="Q199" i="15"/>
  <c r="R199" i="15"/>
  <c r="S199" i="15"/>
  <c r="T199" i="15"/>
  <c r="U199" i="15"/>
  <c r="V199" i="15"/>
  <c r="W199" i="15"/>
  <c r="X199" i="15" s="1"/>
  <c r="Y199" i="15"/>
  <c r="Z199" i="15"/>
  <c r="AA199" i="15"/>
  <c r="AB199" i="15"/>
  <c r="AC199" i="15"/>
  <c r="AD199" i="15"/>
  <c r="AE199" i="15"/>
  <c r="AF199" i="15"/>
  <c r="AG199" i="15"/>
  <c r="AH199" i="15"/>
  <c r="AI199" i="15" s="1"/>
  <c r="AJ199" i="15"/>
  <c r="AK199" i="15"/>
  <c r="AL199" i="15"/>
  <c r="AM199" i="15"/>
  <c r="AN199" i="15"/>
  <c r="AO199" i="15"/>
  <c r="K200" i="15"/>
  <c r="L200" i="15"/>
  <c r="N200" i="15"/>
  <c r="O200" i="15"/>
  <c r="P200" i="15"/>
  <c r="Q200" i="15"/>
  <c r="R200" i="15"/>
  <c r="S200" i="15"/>
  <c r="T200" i="15"/>
  <c r="U200" i="15"/>
  <c r="V200" i="15"/>
  <c r="W200" i="15"/>
  <c r="X200" i="15" s="1"/>
  <c r="Y200" i="15"/>
  <c r="Z200" i="15"/>
  <c r="AA200" i="15"/>
  <c r="AB200" i="15"/>
  <c r="AC200" i="15"/>
  <c r="AD200" i="15"/>
  <c r="AE200" i="15"/>
  <c r="AF200" i="15"/>
  <c r="AG200" i="15"/>
  <c r="AH200" i="15"/>
  <c r="AI200" i="15" s="1"/>
  <c r="AJ200" i="15"/>
  <c r="AK200" i="15"/>
  <c r="AL200" i="15"/>
  <c r="AM200" i="15"/>
  <c r="AN200" i="15"/>
  <c r="AO200" i="15"/>
  <c r="K201" i="15"/>
  <c r="J201" i="15" s="1"/>
  <c r="L201" i="15"/>
  <c r="N201" i="15"/>
  <c r="O201" i="15"/>
  <c r="P201" i="15"/>
  <c r="Q201" i="15"/>
  <c r="R201" i="15"/>
  <c r="S201" i="15"/>
  <c r="T201" i="15"/>
  <c r="U201" i="15"/>
  <c r="V201" i="15"/>
  <c r="W201" i="15"/>
  <c r="X201" i="15" s="1"/>
  <c r="Y201" i="15"/>
  <c r="Z201" i="15"/>
  <c r="AA201" i="15"/>
  <c r="AB201" i="15"/>
  <c r="AC201" i="15"/>
  <c r="AD201" i="15"/>
  <c r="AE201" i="15"/>
  <c r="AF201" i="15"/>
  <c r="AG201" i="15"/>
  <c r="AH201" i="15"/>
  <c r="AI201" i="15" s="1"/>
  <c r="AJ201" i="15"/>
  <c r="AK201" i="15"/>
  <c r="AL201" i="15"/>
  <c r="AM201" i="15"/>
  <c r="AN201" i="15"/>
  <c r="AO201" i="15"/>
  <c r="K202" i="15"/>
  <c r="H202" i="15" s="1"/>
  <c r="L202" i="15"/>
  <c r="N202" i="15"/>
  <c r="O202" i="15"/>
  <c r="P202" i="15"/>
  <c r="Q202" i="15"/>
  <c r="R202" i="15"/>
  <c r="S202" i="15"/>
  <c r="T202" i="15"/>
  <c r="U202" i="15"/>
  <c r="V202" i="15"/>
  <c r="W202" i="15"/>
  <c r="X202" i="15" s="1"/>
  <c r="Y202" i="15"/>
  <c r="Z202" i="15"/>
  <c r="AA202" i="15"/>
  <c r="AB202" i="15"/>
  <c r="AC202" i="15"/>
  <c r="AD202" i="15"/>
  <c r="AE202" i="15"/>
  <c r="AF202" i="15"/>
  <c r="AG202" i="15"/>
  <c r="AH202" i="15"/>
  <c r="AI202" i="15" s="1"/>
  <c r="AJ202" i="15"/>
  <c r="AK202" i="15"/>
  <c r="AL202" i="15"/>
  <c r="AM202" i="15"/>
  <c r="AN202" i="15"/>
  <c r="AO202" i="15"/>
  <c r="K203" i="15"/>
  <c r="L203" i="15"/>
  <c r="N203" i="15"/>
  <c r="O203" i="15"/>
  <c r="P203" i="15"/>
  <c r="Q203" i="15"/>
  <c r="R203" i="15"/>
  <c r="S203" i="15"/>
  <c r="T203" i="15"/>
  <c r="U203" i="15"/>
  <c r="V203" i="15"/>
  <c r="W203" i="15"/>
  <c r="X203" i="15" s="1"/>
  <c r="Y203" i="15"/>
  <c r="Z203" i="15"/>
  <c r="AA203" i="15"/>
  <c r="AB203" i="15"/>
  <c r="AC203" i="15"/>
  <c r="AD203" i="15"/>
  <c r="AE203" i="15"/>
  <c r="AF203" i="15"/>
  <c r="AG203" i="15"/>
  <c r="AH203" i="15"/>
  <c r="AI203" i="15" s="1"/>
  <c r="AJ203" i="15"/>
  <c r="AK203" i="15"/>
  <c r="AL203" i="15"/>
  <c r="AM203" i="15"/>
  <c r="AN203" i="15"/>
  <c r="AO203" i="15"/>
  <c r="K204" i="15"/>
  <c r="L204" i="15"/>
  <c r="N204" i="15"/>
  <c r="O204" i="15"/>
  <c r="P204" i="15"/>
  <c r="Q204" i="15"/>
  <c r="R204" i="15"/>
  <c r="S204" i="15"/>
  <c r="T204" i="15"/>
  <c r="U204" i="15"/>
  <c r="V204" i="15"/>
  <c r="W204" i="15"/>
  <c r="X204" i="15" s="1"/>
  <c r="Y204" i="15"/>
  <c r="Z204" i="15"/>
  <c r="AA204" i="15"/>
  <c r="AB204" i="15"/>
  <c r="AC204" i="15"/>
  <c r="AD204" i="15"/>
  <c r="AE204" i="15"/>
  <c r="AF204" i="15"/>
  <c r="AG204" i="15"/>
  <c r="AH204" i="15"/>
  <c r="AI204" i="15" s="1"/>
  <c r="AJ204" i="15"/>
  <c r="AK204" i="15"/>
  <c r="AL204" i="15"/>
  <c r="AM204" i="15"/>
  <c r="AN204" i="15"/>
  <c r="AO204" i="15"/>
  <c r="K205" i="15"/>
  <c r="L205" i="15"/>
  <c r="N205" i="15"/>
  <c r="O205" i="15"/>
  <c r="P205" i="15"/>
  <c r="Q205" i="15"/>
  <c r="R205" i="15"/>
  <c r="S205" i="15"/>
  <c r="T205" i="15"/>
  <c r="U205" i="15"/>
  <c r="V205" i="15"/>
  <c r="W205" i="15"/>
  <c r="X205" i="15" s="1"/>
  <c r="Y205" i="15"/>
  <c r="Z205" i="15"/>
  <c r="AA205" i="15"/>
  <c r="AB205" i="15"/>
  <c r="AC205" i="15"/>
  <c r="AD205" i="15"/>
  <c r="AE205" i="15"/>
  <c r="AF205" i="15"/>
  <c r="AG205" i="15"/>
  <c r="AH205" i="15"/>
  <c r="AI205" i="15" s="1"/>
  <c r="AJ205" i="15"/>
  <c r="AK205" i="15"/>
  <c r="AL205" i="15"/>
  <c r="AM205" i="15"/>
  <c r="AN205" i="15"/>
  <c r="AO205" i="15"/>
  <c r="K206" i="15"/>
  <c r="M206" i="15" s="1"/>
  <c r="L206" i="15"/>
  <c r="N206" i="15"/>
  <c r="O206" i="15"/>
  <c r="P206" i="15"/>
  <c r="Q206" i="15"/>
  <c r="R206" i="15"/>
  <c r="S206" i="15"/>
  <c r="T206" i="15"/>
  <c r="U206" i="15"/>
  <c r="V206" i="15"/>
  <c r="W206" i="15"/>
  <c r="X206" i="15" s="1"/>
  <c r="Y206" i="15"/>
  <c r="Z206" i="15"/>
  <c r="AA206" i="15"/>
  <c r="AB206" i="15"/>
  <c r="AC206" i="15"/>
  <c r="AD206" i="15"/>
  <c r="AE206" i="15"/>
  <c r="AF206" i="15"/>
  <c r="AG206" i="15"/>
  <c r="AH206" i="15"/>
  <c r="AI206" i="15" s="1"/>
  <c r="AJ206" i="15"/>
  <c r="AK206" i="15"/>
  <c r="AL206" i="15"/>
  <c r="AM206" i="15"/>
  <c r="AN206" i="15"/>
  <c r="AO206" i="15"/>
  <c r="K207" i="15"/>
  <c r="A207" i="15" s="1"/>
  <c r="L207" i="15"/>
  <c r="N207" i="15"/>
  <c r="O207" i="15"/>
  <c r="P207" i="15"/>
  <c r="Q207" i="15"/>
  <c r="R207" i="15"/>
  <c r="S207" i="15"/>
  <c r="T207" i="15"/>
  <c r="U207" i="15"/>
  <c r="V207" i="15"/>
  <c r="W207" i="15"/>
  <c r="X207" i="15" s="1"/>
  <c r="Y207" i="15"/>
  <c r="Z207" i="15"/>
  <c r="AA207" i="15"/>
  <c r="AB207" i="15"/>
  <c r="AC207" i="15"/>
  <c r="AD207" i="15"/>
  <c r="AE207" i="15"/>
  <c r="AF207" i="15"/>
  <c r="AG207" i="15"/>
  <c r="AH207" i="15"/>
  <c r="AI207" i="15" s="1"/>
  <c r="AJ207" i="15"/>
  <c r="AK207" i="15"/>
  <c r="AL207" i="15"/>
  <c r="AM207" i="15"/>
  <c r="AN207" i="15"/>
  <c r="AO207" i="15"/>
  <c r="K208" i="15"/>
  <c r="D208" i="15" s="1"/>
  <c r="L208" i="15"/>
  <c r="N208" i="15"/>
  <c r="O208" i="15"/>
  <c r="P208" i="15"/>
  <c r="Q208" i="15"/>
  <c r="R208" i="15"/>
  <c r="S208" i="15"/>
  <c r="T208" i="15"/>
  <c r="U208" i="15"/>
  <c r="V208" i="15"/>
  <c r="W208" i="15"/>
  <c r="X208" i="15" s="1"/>
  <c r="Y208" i="15"/>
  <c r="Z208" i="15"/>
  <c r="AA208" i="15"/>
  <c r="AB208" i="15"/>
  <c r="AC208" i="15"/>
  <c r="AD208" i="15"/>
  <c r="AE208" i="15"/>
  <c r="AF208" i="15"/>
  <c r="AG208" i="15"/>
  <c r="AH208" i="15"/>
  <c r="AI208" i="15" s="1"/>
  <c r="AJ208" i="15"/>
  <c r="AK208" i="15"/>
  <c r="AL208" i="15"/>
  <c r="AM208" i="15"/>
  <c r="AN208" i="15"/>
  <c r="AO208" i="15"/>
  <c r="K209" i="15"/>
  <c r="L209" i="15"/>
  <c r="N209" i="15"/>
  <c r="O209" i="15"/>
  <c r="P209" i="15"/>
  <c r="Q209" i="15"/>
  <c r="R209" i="15"/>
  <c r="S209" i="15"/>
  <c r="T209" i="15"/>
  <c r="U209" i="15"/>
  <c r="V209" i="15"/>
  <c r="W209" i="15"/>
  <c r="X209" i="15" s="1"/>
  <c r="Y209" i="15"/>
  <c r="Z209" i="15"/>
  <c r="AA209" i="15"/>
  <c r="AB209" i="15"/>
  <c r="AC209" i="15"/>
  <c r="AD209" i="15"/>
  <c r="AE209" i="15"/>
  <c r="AF209" i="15"/>
  <c r="AG209" i="15"/>
  <c r="AH209" i="15"/>
  <c r="AI209" i="15" s="1"/>
  <c r="AJ209" i="15"/>
  <c r="AK209" i="15"/>
  <c r="AL209" i="15"/>
  <c r="AM209" i="15"/>
  <c r="AN209" i="15"/>
  <c r="AO209" i="15"/>
  <c r="K210" i="15"/>
  <c r="I210" i="15" s="1"/>
  <c r="L210" i="15"/>
  <c r="N210" i="15"/>
  <c r="O210" i="15"/>
  <c r="P210" i="15"/>
  <c r="Q210" i="15"/>
  <c r="R210" i="15"/>
  <c r="S210" i="15"/>
  <c r="T210" i="15"/>
  <c r="U210" i="15"/>
  <c r="V210" i="15"/>
  <c r="W210" i="15"/>
  <c r="X210" i="15" s="1"/>
  <c r="Y210" i="15"/>
  <c r="Z210" i="15"/>
  <c r="AA210" i="15"/>
  <c r="AB210" i="15"/>
  <c r="AC210" i="15"/>
  <c r="AD210" i="15"/>
  <c r="AE210" i="15"/>
  <c r="AF210" i="15"/>
  <c r="AG210" i="15"/>
  <c r="AH210" i="15"/>
  <c r="AI210" i="15" s="1"/>
  <c r="AJ210" i="15"/>
  <c r="AK210" i="15"/>
  <c r="AL210" i="15"/>
  <c r="AM210" i="15"/>
  <c r="AN210" i="15"/>
  <c r="AO210" i="15"/>
  <c r="K211" i="15"/>
  <c r="L211" i="15"/>
  <c r="N211" i="15"/>
  <c r="O211" i="15"/>
  <c r="P211" i="15"/>
  <c r="Q211" i="15"/>
  <c r="R211" i="15"/>
  <c r="S211" i="15"/>
  <c r="T211" i="15"/>
  <c r="U211" i="15"/>
  <c r="V211" i="15"/>
  <c r="W211" i="15"/>
  <c r="X211" i="15" s="1"/>
  <c r="Y211" i="15"/>
  <c r="Z211" i="15"/>
  <c r="AA211" i="15"/>
  <c r="AB211" i="15"/>
  <c r="AC211" i="15"/>
  <c r="AD211" i="15"/>
  <c r="AE211" i="15"/>
  <c r="AF211" i="15"/>
  <c r="AG211" i="15"/>
  <c r="AH211" i="15"/>
  <c r="AI211" i="15" s="1"/>
  <c r="AJ211" i="15"/>
  <c r="AK211" i="15"/>
  <c r="AL211" i="15"/>
  <c r="AM211" i="15"/>
  <c r="AN211" i="15"/>
  <c r="AO211" i="15"/>
  <c r="K212" i="15"/>
  <c r="L212" i="15"/>
  <c r="N212" i="15"/>
  <c r="O212" i="15"/>
  <c r="P212" i="15"/>
  <c r="Q212" i="15"/>
  <c r="R212" i="15"/>
  <c r="S212" i="15"/>
  <c r="T212" i="15"/>
  <c r="U212" i="15"/>
  <c r="V212" i="15"/>
  <c r="W212" i="15"/>
  <c r="X212" i="15" s="1"/>
  <c r="Y212" i="15"/>
  <c r="Z212" i="15"/>
  <c r="AA212" i="15"/>
  <c r="AB212" i="15"/>
  <c r="AC212" i="15"/>
  <c r="AD212" i="15"/>
  <c r="AE212" i="15"/>
  <c r="AF212" i="15"/>
  <c r="AG212" i="15"/>
  <c r="AH212" i="15"/>
  <c r="AI212" i="15" s="1"/>
  <c r="AJ212" i="15"/>
  <c r="AK212" i="15"/>
  <c r="AL212" i="15"/>
  <c r="AM212" i="15"/>
  <c r="AN212" i="15"/>
  <c r="AO212" i="15"/>
  <c r="K213" i="15"/>
  <c r="F213" i="15" s="1"/>
  <c r="L213" i="15"/>
  <c r="N213" i="15"/>
  <c r="O213" i="15"/>
  <c r="P213" i="15"/>
  <c r="Q213" i="15"/>
  <c r="R213" i="15"/>
  <c r="S213" i="15"/>
  <c r="T213" i="15"/>
  <c r="U213" i="15"/>
  <c r="V213" i="15"/>
  <c r="W213" i="15"/>
  <c r="X213" i="15" s="1"/>
  <c r="Y213" i="15"/>
  <c r="Z213" i="15"/>
  <c r="AA213" i="15"/>
  <c r="AB213" i="15"/>
  <c r="AC213" i="15"/>
  <c r="AD213" i="15"/>
  <c r="AE213" i="15"/>
  <c r="AF213" i="15"/>
  <c r="AG213" i="15"/>
  <c r="AH213" i="15"/>
  <c r="AI213" i="15" s="1"/>
  <c r="AJ213" i="15"/>
  <c r="AK213" i="15"/>
  <c r="AL213" i="15"/>
  <c r="AM213" i="15"/>
  <c r="AN213" i="15"/>
  <c r="AO213" i="15"/>
  <c r="K214" i="15"/>
  <c r="H214" i="15" s="1"/>
  <c r="L214" i="15"/>
  <c r="N214" i="15"/>
  <c r="O214" i="15"/>
  <c r="P214" i="15"/>
  <c r="Q214" i="15"/>
  <c r="R214" i="15"/>
  <c r="S214" i="15"/>
  <c r="T214" i="15"/>
  <c r="U214" i="15"/>
  <c r="V214" i="15"/>
  <c r="W214" i="15"/>
  <c r="X214" i="15" s="1"/>
  <c r="Y214" i="15"/>
  <c r="Z214" i="15"/>
  <c r="AA214" i="15"/>
  <c r="AB214" i="15"/>
  <c r="AC214" i="15"/>
  <c r="AD214" i="15"/>
  <c r="AE214" i="15"/>
  <c r="AF214" i="15"/>
  <c r="AG214" i="15"/>
  <c r="AH214" i="15"/>
  <c r="AI214" i="15" s="1"/>
  <c r="AJ214" i="15"/>
  <c r="AK214" i="15"/>
  <c r="AL214" i="15"/>
  <c r="AM214" i="15"/>
  <c r="AN214" i="15"/>
  <c r="AO214" i="15"/>
  <c r="K215" i="15"/>
  <c r="A215" i="15" s="1"/>
  <c r="L215" i="15"/>
  <c r="N215" i="15"/>
  <c r="O215" i="15"/>
  <c r="P215" i="15"/>
  <c r="Q215" i="15"/>
  <c r="R215" i="15"/>
  <c r="S215" i="15"/>
  <c r="T215" i="15"/>
  <c r="U215" i="15"/>
  <c r="V215" i="15"/>
  <c r="W215" i="15"/>
  <c r="X215" i="15" s="1"/>
  <c r="Y215" i="15"/>
  <c r="Z215" i="15"/>
  <c r="AA215" i="15"/>
  <c r="AB215" i="15"/>
  <c r="AC215" i="15"/>
  <c r="AD215" i="15"/>
  <c r="AE215" i="15"/>
  <c r="AF215" i="15"/>
  <c r="AG215" i="15"/>
  <c r="AH215" i="15"/>
  <c r="AI215" i="15" s="1"/>
  <c r="AJ215" i="15"/>
  <c r="AK215" i="15"/>
  <c r="AL215" i="15"/>
  <c r="AM215" i="15"/>
  <c r="AN215" i="15"/>
  <c r="AO215" i="15"/>
  <c r="K216" i="15"/>
  <c r="L216" i="15"/>
  <c r="N216" i="15"/>
  <c r="O216" i="15"/>
  <c r="P216" i="15"/>
  <c r="Q216" i="15"/>
  <c r="R216" i="15"/>
  <c r="S216" i="15"/>
  <c r="T216" i="15"/>
  <c r="U216" i="15"/>
  <c r="V216" i="15"/>
  <c r="W216" i="15"/>
  <c r="X216" i="15" s="1"/>
  <c r="Y216" i="15"/>
  <c r="Z216" i="15"/>
  <c r="AA216" i="15"/>
  <c r="AB216" i="15"/>
  <c r="AC216" i="15"/>
  <c r="AD216" i="15"/>
  <c r="AE216" i="15"/>
  <c r="AF216" i="15"/>
  <c r="AG216" i="15"/>
  <c r="AH216" i="15"/>
  <c r="AI216" i="15" s="1"/>
  <c r="AJ216" i="15"/>
  <c r="AK216" i="15"/>
  <c r="AL216" i="15"/>
  <c r="AM216" i="15"/>
  <c r="AN216" i="15"/>
  <c r="AO216" i="15"/>
  <c r="K217" i="15"/>
  <c r="L217" i="15"/>
  <c r="N217" i="15"/>
  <c r="O217" i="15"/>
  <c r="P217" i="15"/>
  <c r="Q217" i="15"/>
  <c r="R217" i="15"/>
  <c r="S217" i="15"/>
  <c r="T217" i="15"/>
  <c r="U217" i="15"/>
  <c r="V217" i="15"/>
  <c r="W217" i="15"/>
  <c r="X217" i="15" s="1"/>
  <c r="Y217" i="15"/>
  <c r="Z217" i="15"/>
  <c r="AA217" i="15"/>
  <c r="AB217" i="15"/>
  <c r="AC217" i="15"/>
  <c r="AD217" i="15"/>
  <c r="AE217" i="15"/>
  <c r="AF217" i="15"/>
  <c r="AG217" i="15"/>
  <c r="AH217" i="15"/>
  <c r="AI217" i="15" s="1"/>
  <c r="AJ217" i="15"/>
  <c r="AK217" i="15"/>
  <c r="AL217" i="15"/>
  <c r="AM217" i="15"/>
  <c r="AN217" i="15"/>
  <c r="AO217" i="15"/>
  <c r="K218" i="15"/>
  <c r="L218" i="15"/>
  <c r="N218" i="15"/>
  <c r="O218" i="15"/>
  <c r="P218" i="15"/>
  <c r="Q218" i="15"/>
  <c r="R218" i="15"/>
  <c r="S218" i="15"/>
  <c r="T218" i="15"/>
  <c r="U218" i="15"/>
  <c r="V218" i="15"/>
  <c r="W218" i="15"/>
  <c r="X218" i="15" s="1"/>
  <c r="Y218" i="15"/>
  <c r="Z218" i="15"/>
  <c r="AA218" i="15"/>
  <c r="AB218" i="15"/>
  <c r="AC218" i="15"/>
  <c r="AD218" i="15"/>
  <c r="AE218" i="15"/>
  <c r="AF218" i="15"/>
  <c r="AG218" i="15"/>
  <c r="AH218" i="15"/>
  <c r="AI218" i="15" s="1"/>
  <c r="AJ218" i="15"/>
  <c r="AK218" i="15"/>
  <c r="AL218" i="15"/>
  <c r="AM218" i="15"/>
  <c r="AN218" i="15"/>
  <c r="AO218" i="15"/>
  <c r="K219" i="15"/>
  <c r="B219" i="15" s="1"/>
  <c r="L219" i="15"/>
  <c r="N219" i="15"/>
  <c r="O219" i="15"/>
  <c r="P219" i="15"/>
  <c r="Q219" i="15"/>
  <c r="R219" i="15"/>
  <c r="S219" i="15"/>
  <c r="T219" i="15"/>
  <c r="U219" i="15"/>
  <c r="V219" i="15"/>
  <c r="W219" i="15"/>
  <c r="X219" i="15" s="1"/>
  <c r="Y219" i="15"/>
  <c r="Z219" i="15"/>
  <c r="AA219" i="15"/>
  <c r="AB219" i="15"/>
  <c r="AC219" i="15"/>
  <c r="AD219" i="15"/>
  <c r="AE219" i="15"/>
  <c r="AF219" i="15"/>
  <c r="AG219" i="15"/>
  <c r="AH219" i="15"/>
  <c r="AI219" i="15" s="1"/>
  <c r="AJ219" i="15"/>
  <c r="AK219" i="15"/>
  <c r="AL219" i="15"/>
  <c r="AM219" i="15"/>
  <c r="AN219" i="15"/>
  <c r="AO219" i="15"/>
  <c r="K220" i="15"/>
  <c r="H220" i="15" s="1"/>
  <c r="L220" i="15"/>
  <c r="N220" i="15"/>
  <c r="O220" i="15"/>
  <c r="P220" i="15"/>
  <c r="Q220" i="15"/>
  <c r="R220" i="15"/>
  <c r="S220" i="15"/>
  <c r="T220" i="15"/>
  <c r="U220" i="15"/>
  <c r="V220" i="15"/>
  <c r="W220" i="15"/>
  <c r="X220" i="15" s="1"/>
  <c r="Y220" i="15"/>
  <c r="Z220" i="15"/>
  <c r="AA220" i="15"/>
  <c r="AB220" i="15"/>
  <c r="AC220" i="15"/>
  <c r="AD220" i="15"/>
  <c r="AE220" i="15"/>
  <c r="AF220" i="15"/>
  <c r="AG220" i="15"/>
  <c r="AH220" i="15"/>
  <c r="AI220" i="15" s="1"/>
  <c r="AJ220" i="15"/>
  <c r="AK220" i="15"/>
  <c r="AL220" i="15"/>
  <c r="AM220" i="15"/>
  <c r="AN220" i="15"/>
  <c r="AO220" i="15"/>
  <c r="K221" i="15"/>
  <c r="L221" i="15"/>
  <c r="N221" i="15"/>
  <c r="O221" i="15"/>
  <c r="P221" i="15"/>
  <c r="Q221" i="15"/>
  <c r="R221" i="15"/>
  <c r="S221" i="15"/>
  <c r="T221" i="15"/>
  <c r="U221" i="15"/>
  <c r="V221" i="15"/>
  <c r="W221" i="15"/>
  <c r="X221" i="15" s="1"/>
  <c r="Y221" i="15"/>
  <c r="Z221" i="15"/>
  <c r="AA221" i="15"/>
  <c r="AB221" i="15"/>
  <c r="AC221" i="15"/>
  <c r="AD221" i="15"/>
  <c r="AE221" i="15"/>
  <c r="AF221" i="15"/>
  <c r="AG221" i="15"/>
  <c r="AH221" i="15"/>
  <c r="AI221" i="15" s="1"/>
  <c r="AJ221" i="15"/>
  <c r="AK221" i="15"/>
  <c r="AL221" i="15"/>
  <c r="AM221" i="15"/>
  <c r="AN221" i="15"/>
  <c r="AO221" i="15"/>
  <c r="K222" i="15"/>
  <c r="L222" i="15"/>
  <c r="N222" i="15"/>
  <c r="O222" i="15"/>
  <c r="P222" i="15"/>
  <c r="Q222" i="15"/>
  <c r="R222" i="15"/>
  <c r="S222" i="15"/>
  <c r="T222" i="15"/>
  <c r="U222" i="15"/>
  <c r="V222" i="15"/>
  <c r="W222" i="15"/>
  <c r="X222" i="15" s="1"/>
  <c r="Y222" i="15"/>
  <c r="Z222" i="15"/>
  <c r="AA222" i="15"/>
  <c r="AB222" i="15"/>
  <c r="AC222" i="15"/>
  <c r="AD222" i="15"/>
  <c r="AE222" i="15"/>
  <c r="AF222" i="15"/>
  <c r="AG222" i="15"/>
  <c r="AH222" i="15"/>
  <c r="AI222" i="15" s="1"/>
  <c r="AJ222" i="15"/>
  <c r="AK222" i="15"/>
  <c r="AL222" i="15"/>
  <c r="AM222" i="15"/>
  <c r="AN222" i="15"/>
  <c r="AO222" i="15"/>
  <c r="K223" i="15"/>
  <c r="A223" i="15" s="1"/>
  <c r="L223" i="15"/>
  <c r="N223" i="15"/>
  <c r="O223" i="15"/>
  <c r="P223" i="15"/>
  <c r="Q223" i="15"/>
  <c r="R223" i="15"/>
  <c r="S223" i="15"/>
  <c r="T223" i="15"/>
  <c r="U223" i="15"/>
  <c r="V223" i="15"/>
  <c r="W223" i="15"/>
  <c r="X223" i="15" s="1"/>
  <c r="Y223" i="15"/>
  <c r="Z223" i="15"/>
  <c r="AA223" i="15"/>
  <c r="AB223" i="15"/>
  <c r="AC223" i="15"/>
  <c r="AD223" i="15"/>
  <c r="AE223" i="15"/>
  <c r="AF223" i="15"/>
  <c r="AG223" i="15"/>
  <c r="AH223" i="15"/>
  <c r="AI223" i="15" s="1"/>
  <c r="AJ223" i="15"/>
  <c r="AK223" i="15"/>
  <c r="AL223" i="15"/>
  <c r="AM223" i="15"/>
  <c r="AN223" i="15"/>
  <c r="AO223" i="15"/>
  <c r="K224" i="15"/>
  <c r="E224" i="15" s="1"/>
  <c r="L224" i="15"/>
  <c r="N224" i="15"/>
  <c r="O224" i="15"/>
  <c r="P224" i="15"/>
  <c r="Q224" i="15"/>
  <c r="R224" i="15"/>
  <c r="S224" i="15"/>
  <c r="T224" i="15"/>
  <c r="U224" i="15"/>
  <c r="V224" i="15"/>
  <c r="W224" i="15"/>
  <c r="X224" i="15" s="1"/>
  <c r="Y224" i="15"/>
  <c r="Z224" i="15"/>
  <c r="AA224" i="15"/>
  <c r="AB224" i="15"/>
  <c r="AC224" i="15"/>
  <c r="AD224" i="15"/>
  <c r="AE224" i="15"/>
  <c r="AF224" i="15"/>
  <c r="AG224" i="15"/>
  <c r="AH224" i="15"/>
  <c r="AI224" i="15" s="1"/>
  <c r="AJ224" i="15"/>
  <c r="AK224" i="15"/>
  <c r="AL224" i="15"/>
  <c r="AM224" i="15"/>
  <c r="AN224" i="15"/>
  <c r="AO224" i="15"/>
  <c r="K225" i="15"/>
  <c r="B225" i="15" s="1"/>
  <c r="L225" i="15"/>
  <c r="N225" i="15"/>
  <c r="O225" i="15"/>
  <c r="P225" i="15"/>
  <c r="Q225" i="15"/>
  <c r="R225" i="15"/>
  <c r="S225" i="15"/>
  <c r="T225" i="15"/>
  <c r="U225" i="15"/>
  <c r="V225" i="15"/>
  <c r="W225" i="15"/>
  <c r="X225" i="15" s="1"/>
  <c r="Y225" i="15"/>
  <c r="Z225" i="15"/>
  <c r="AA225" i="15"/>
  <c r="AB225" i="15"/>
  <c r="AC225" i="15"/>
  <c r="AD225" i="15"/>
  <c r="AE225" i="15"/>
  <c r="AF225" i="15"/>
  <c r="AG225" i="15"/>
  <c r="AH225" i="15"/>
  <c r="AI225" i="15" s="1"/>
  <c r="AJ225" i="15"/>
  <c r="AK225" i="15"/>
  <c r="AL225" i="15"/>
  <c r="AM225" i="15"/>
  <c r="AN225" i="15"/>
  <c r="AO225" i="15"/>
  <c r="K226" i="15"/>
  <c r="L226" i="15"/>
  <c r="N226" i="15"/>
  <c r="O226" i="15"/>
  <c r="P226" i="15"/>
  <c r="Q226" i="15"/>
  <c r="R226" i="15"/>
  <c r="S226" i="15"/>
  <c r="T226" i="15"/>
  <c r="U226" i="15"/>
  <c r="V226" i="15"/>
  <c r="W226" i="15"/>
  <c r="X226" i="15" s="1"/>
  <c r="Y226" i="15"/>
  <c r="Z226" i="15"/>
  <c r="AA226" i="15"/>
  <c r="AB226" i="15"/>
  <c r="AC226" i="15"/>
  <c r="AD226" i="15"/>
  <c r="AE226" i="15"/>
  <c r="AF226" i="15"/>
  <c r="AG226" i="15"/>
  <c r="AH226" i="15"/>
  <c r="AI226" i="15" s="1"/>
  <c r="AJ226" i="15"/>
  <c r="AK226" i="15"/>
  <c r="AL226" i="15"/>
  <c r="AM226" i="15"/>
  <c r="AN226" i="15"/>
  <c r="AO226" i="15"/>
  <c r="K227" i="15"/>
  <c r="H227" i="15" s="1"/>
  <c r="L227" i="15"/>
  <c r="N227" i="15"/>
  <c r="O227" i="15"/>
  <c r="P227" i="15"/>
  <c r="Q227" i="15"/>
  <c r="R227" i="15"/>
  <c r="S227" i="15"/>
  <c r="T227" i="15"/>
  <c r="U227" i="15"/>
  <c r="V227" i="15"/>
  <c r="W227" i="15"/>
  <c r="X227" i="15" s="1"/>
  <c r="Y227" i="15"/>
  <c r="Z227" i="15"/>
  <c r="AA227" i="15"/>
  <c r="AB227" i="15"/>
  <c r="AC227" i="15"/>
  <c r="AD227" i="15"/>
  <c r="AE227" i="15"/>
  <c r="AF227" i="15"/>
  <c r="AG227" i="15"/>
  <c r="AH227" i="15"/>
  <c r="AI227" i="15" s="1"/>
  <c r="AJ227" i="15"/>
  <c r="AK227" i="15"/>
  <c r="AL227" i="15"/>
  <c r="AM227" i="15"/>
  <c r="AN227" i="15"/>
  <c r="AO227" i="15"/>
  <c r="K228" i="15"/>
  <c r="L228" i="15"/>
  <c r="N228" i="15"/>
  <c r="O228" i="15"/>
  <c r="P228" i="15"/>
  <c r="Q228" i="15"/>
  <c r="R228" i="15"/>
  <c r="S228" i="15"/>
  <c r="T228" i="15"/>
  <c r="U228" i="15"/>
  <c r="V228" i="15"/>
  <c r="W228" i="15"/>
  <c r="X228" i="15" s="1"/>
  <c r="Y228" i="15"/>
  <c r="Z228" i="15"/>
  <c r="AA228" i="15"/>
  <c r="AB228" i="15"/>
  <c r="AC228" i="15"/>
  <c r="AD228" i="15"/>
  <c r="AE228" i="15"/>
  <c r="AF228" i="15"/>
  <c r="AG228" i="15"/>
  <c r="AH228" i="15"/>
  <c r="AI228" i="15" s="1"/>
  <c r="AJ228" i="15"/>
  <c r="AK228" i="15"/>
  <c r="AL228" i="15"/>
  <c r="AM228" i="15"/>
  <c r="AN228" i="15"/>
  <c r="AO228" i="15"/>
  <c r="K229" i="15"/>
  <c r="L229" i="15"/>
  <c r="N229" i="15"/>
  <c r="O229" i="15"/>
  <c r="P229" i="15"/>
  <c r="Q229" i="15"/>
  <c r="R229" i="15"/>
  <c r="S229" i="15"/>
  <c r="T229" i="15"/>
  <c r="U229" i="15"/>
  <c r="V229" i="15"/>
  <c r="W229" i="15"/>
  <c r="X229" i="15" s="1"/>
  <c r="Y229" i="15"/>
  <c r="Z229" i="15"/>
  <c r="AA229" i="15"/>
  <c r="AB229" i="15"/>
  <c r="AC229" i="15"/>
  <c r="AD229" i="15"/>
  <c r="AE229" i="15"/>
  <c r="AF229" i="15"/>
  <c r="AG229" i="15"/>
  <c r="AH229" i="15"/>
  <c r="AI229" i="15" s="1"/>
  <c r="AJ229" i="15"/>
  <c r="AK229" i="15"/>
  <c r="AL229" i="15"/>
  <c r="AM229" i="15"/>
  <c r="AN229" i="15"/>
  <c r="AO229" i="15"/>
  <c r="K230" i="15"/>
  <c r="C230" i="15" s="1"/>
  <c r="L230" i="15"/>
  <c r="N230" i="15"/>
  <c r="O230" i="15"/>
  <c r="P230" i="15"/>
  <c r="Q230" i="15"/>
  <c r="R230" i="15"/>
  <c r="S230" i="15"/>
  <c r="T230" i="15"/>
  <c r="U230" i="15"/>
  <c r="V230" i="15"/>
  <c r="W230" i="15"/>
  <c r="X230" i="15" s="1"/>
  <c r="Y230" i="15"/>
  <c r="Z230" i="15"/>
  <c r="AA230" i="15"/>
  <c r="AB230" i="15"/>
  <c r="AC230" i="15"/>
  <c r="AD230" i="15"/>
  <c r="AE230" i="15"/>
  <c r="AF230" i="15"/>
  <c r="AG230" i="15"/>
  <c r="AH230" i="15"/>
  <c r="AI230" i="15" s="1"/>
  <c r="AJ230" i="15"/>
  <c r="AK230" i="15"/>
  <c r="AL230" i="15"/>
  <c r="AM230" i="15"/>
  <c r="AN230" i="15"/>
  <c r="AO230" i="15"/>
  <c r="K231" i="15"/>
  <c r="D231" i="15" s="1"/>
  <c r="L231" i="15"/>
  <c r="N231" i="15"/>
  <c r="O231" i="15"/>
  <c r="P231" i="15"/>
  <c r="Q231" i="15"/>
  <c r="R231" i="15"/>
  <c r="S231" i="15"/>
  <c r="T231" i="15"/>
  <c r="U231" i="15"/>
  <c r="V231" i="15"/>
  <c r="W231" i="15"/>
  <c r="X231" i="15" s="1"/>
  <c r="Y231" i="15"/>
  <c r="Z231" i="15"/>
  <c r="AA231" i="15"/>
  <c r="AB231" i="15"/>
  <c r="AC231" i="15"/>
  <c r="AD231" i="15"/>
  <c r="AE231" i="15"/>
  <c r="AF231" i="15"/>
  <c r="AG231" i="15"/>
  <c r="AH231" i="15"/>
  <c r="AI231" i="15" s="1"/>
  <c r="AJ231" i="15"/>
  <c r="AK231" i="15"/>
  <c r="AL231" i="15"/>
  <c r="AM231" i="15"/>
  <c r="AN231" i="15"/>
  <c r="AO231" i="15"/>
  <c r="K232" i="15"/>
  <c r="L232" i="15"/>
  <c r="N232" i="15"/>
  <c r="O232" i="15"/>
  <c r="P232" i="15"/>
  <c r="Q232" i="15"/>
  <c r="R232" i="15"/>
  <c r="S232" i="15"/>
  <c r="T232" i="15"/>
  <c r="U232" i="15"/>
  <c r="V232" i="15"/>
  <c r="W232" i="15"/>
  <c r="X232" i="15" s="1"/>
  <c r="Y232" i="15"/>
  <c r="Z232" i="15"/>
  <c r="AA232" i="15"/>
  <c r="AB232" i="15"/>
  <c r="AC232" i="15"/>
  <c r="AD232" i="15"/>
  <c r="AE232" i="15"/>
  <c r="AF232" i="15"/>
  <c r="AG232" i="15"/>
  <c r="AH232" i="15"/>
  <c r="AI232" i="15" s="1"/>
  <c r="AJ232" i="15"/>
  <c r="AK232" i="15"/>
  <c r="AL232" i="15"/>
  <c r="AM232" i="15"/>
  <c r="AN232" i="15"/>
  <c r="AO232" i="15"/>
  <c r="K233" i="15"/>
  <c r="AQ233" i="15" s="1"/>
  <c r="L233" i="15"/>
  <c r="N233" i="15"/>
  <c r="O233" i="15"/>
  <c r="P233" i="15"/>
  <c r="Q233" i="15"/>
  <c r="R233" i="15"/>
  <c r="S233" i="15"/>
  <c r="T233" i="15"/>
  <c r="U233" i="15"/>
  <c r="V233" i="15"/>
  <c r="W233" i="15"/>
  <c r="X233" i="15" s="1"/>
  <c r="Y233" i="15"/>
  <c r="Z233" i="15"/>
  <c r="AA233" i="15"/>
  <c r="AB233" i="15"/>
  <c r="AC233" i="15"/>
  <c r="AD233" i="15"/>
  <c r="AE233" i="15"/>
  <c r="AF233" i="15"/>
  <c r="AG233" i="15"/>
  <c r="AH233" i="15"/>
  <c r="AI233" i="15" s="1"/>
  <c r="AJ233" i="15"/>
  <c r="AK233" i="15"/>
  <c r="AL233" i="15"/>
  <c r="AM233" i="15"/>
  <c r="AN233" i="15"/>
  <c r="AO233" i="15"/>
  <c r="K234" i="15"/>
  <c r="H234" i="15" s="1"/>
  <c r="L234" i="15"/>
  <c r="N234" i="15"/>
  <c r="O234" i="15"/>
  <c r="P234" i="15"/>
  <c r="Q234" i="15"/>
  <c r="R234" i="15"/>
  <c r="S234" i="15"/>
  <c r="T234" i="15"/>
  <c r="U234" i="15"/>
  <c r="V234" i="15"/>
  <c r="W234" i="15"/>
  <c r="X234" i="15" s="1"/>
  <c r="Y234" i="15"/>
  <c r="Z234" i="15"/>
  <c r="AA234" i="15"/>
  <c r="AB234" i="15"/>
  <c r="AC234" i="15"/>
  <c r="AD234" i="15"/>
  <c r="AE234" i="15"/>
  <c r="AF234" i="15"/>
  <c r="AG234" i="15"/>
  <c r="AH234" i="15"/>
  <c r="AI234" i="15" s="1"/>
  <c r="AJ234" i="15"/>
  <c r="AK234" i="15"/>
  <c r="AL234" i="15"/>
  <c r="AM234" i="15"/>
  <c r="AN234" i="15"/>
  <c r="AO234" i="15"/>
  <c r="K235" i="15"/>
  <c r="A235" i="15" s="1"/>
  <c r="L235" i="15"/>
  <c r="N235" i="15"/>
  <c r="O235" i="15"/>
  <c r="P235" i="15"/>
  <c r="Q235" i="15"/>
  <c r="R235" i="15"/>
  <c r="S235" i="15"/>
  <c r="T235" i="15"/>
  <c r="U235" i="15"/>
  <c r="V235" i="15"/>
  <c r="W235" i="15"/>
  <c r="X235" i="15" s="1"/>
  <c r="Y235" i="15"/>
  <c r="Z235" i="15"/>
  <c r="AA235" i="15"/>
  <c r="AB235" i="15"/>
  <c r="AC235" i="15"/>
  <c r="AD235" i="15"/>
  <c r="AE235" i="15"/>
  <c r="AF235" i="15"/>
  <c r="AG235" i="15"/>
  <c r="AH235" i="15"/>
  <c r="AI235" i="15" s="1"/>
  <c r="AJ235" i="15"/>
  <c r="AK235" i="15"/>
  <c r="AL235" i="15"/>
  <c r="AM235" i="15"/>
  <c r="AN235" i="15"/>
  <c r="AO235" i="15"/>
  <c r="K236" i="15"/>
  <c r="L236" i="15"/>
  <c r="N236" i="15"/>
  <c r="O236" i="15"/>
  <c r="P236" i="15"/>
  <c r="Q236" i="15"/>
  <c r="R236" i="15"/>
  <c r="S236" i="15"/>
  <c r="T236" i="15"/>
  <c r="U236" i="15"/>
  <c r="V236" i="15"/>
  <c r="W236" i="15"/>
  <c r="X236" i="15" s="1"/>
  <c r="Y236" i="15"/>
  <c r="Z236" i="15"/>
  <c r="AA236" i="15"/>
  <c r="AB236" i="15"/>
  <c r="AC236" i="15"/>
  <c r="AD236" i="15"/>
  <c r="AE236" i="15"/>
  <c r="AF236" i="15"/>
  <c r="AG236" i="15"/>
  <c r="AH236" i="15"/>
  <c r="AI236" i="15" s="1"/>
  <c r="AJ236" i="15"/>
  <c r="AK236" i="15"/>
  <c r="AL236" i="15"/>
  <c r="AM236" i="15"/>
  <c r="AN236" i="15"/>
  <c r="AO236" i="15"/>
  <c r="K237" i="15"/>
  <c r="B237" i="15" s="1"/>
  <c r="L237" i="15"/>
  <c r="N237" i="15"/>
  <c r="O237" i="15"/>
  <c r="P237" i="15"/>
  <c r="Q237" i="15"/>
  <c r="R237" i="15"/>
  <c r="S237" i="15"/>
  <c r="T237" i="15"/>
  <c r="U237" i="15"/>
  <c r="V237" i="15"/>
  <c r="W237" i="15"/>
  <c r="X237" i="15" s="1"/>
  <c r="Y237" i="15"/>
  <c r="Z237" i="15"/>
  <c r="AA237" i="15"/>
  <c r="AB237" i="15"/>
  <c r="AC237" i="15"/>
  <c r="AD237" i="15"/>
  <c r="AE237" i="15"/>
  <c r="AF237" i="15"/>
  <c r="AG237" i="15"/>
  <c r="AH237" i="15"/>
  <c r="AI237" i="15" s="1"/>
  <c r="AJ237" i="15"/>
  <c r="AK237" i="15"/>
  <c r="AL237" i="15"/>
  <c r="AM237" i="15"/>
  <c r="AN237" i="15"/>
  <c r="AO237" i="15"/>
  <c r="K238" i="15"/>
  <c r="L238" i="15"/>
  <c r="N238" i="15"/>
  <c r="O238" i="15"/>
  <c r="P238" i="15"/>
  <c r="Q238" i="15"/>
  <c r="R238" i="15"/>
  <c r="S238" i="15"/>
  <c r="T238" i="15"/>
  <c r="U238" i="15"/>
  <c r="V238" i="15"/>
  <c r="W238" i="15"/>
  <c r="X238" i="15" s="1"/>
  <c r="Y238" i="15"/>
  <c r="Z238" i="15"/>
  <c r="AA238" i="15"/>
  <c r="AB238" i="15"/>
  <c r="AC238" i="15"/>
  <c r="AD238" i="15"/>
  <c r="AE238" i="15"/>
  <c r="AF238" i="15"/>
  <c r="AG238" i="15"/>
  <c r="AH238" i="15"/>
  <c r="AI238" i="15" s="1"/>
  <c r="AJ238" i="15"/>
  <c r="AK238" i="15"/>
  <c r="AL238" i="15"/>
  <c r="AM238" i="15"/>
  <c r="AN238" i="15"/>
  <c r="AO238" i="15"/>
  <c r="K239" i="15"/>
  <c r="H239" i="15" s="1"/>
  <c r="L239" i="15"/>
  <c r="N239" i="15"/>
  <c r="O239" i="15"/>
  <c r="P239" i="15"/>
  <c r="Q239" i="15"/>
  <c r="R239" i="15"/>
  <c r="S239" i="15"/>
  <c r="T239" i="15"/>
  <c r="U239" i="15"/>
  <c r="V239" i="15"/>
  <c r="W239" i="15"/>
  <c r="X239" i="15" s="1"/>
  <c r="Y239" i="15"/>
  <c r="Z239" i="15"/>
  <c r="AA239" i="15"/>
  <c r="AB239" i="15"/>
  <c r="AC239" i="15"/>
  <c r="AD239" i="15"/>
  <c r="AE239" i="15"/>
  <c r="AF239" i="15"/>
  <c r="AG239" i="15"/>
  <c r="AH239" i="15"/>
  <c r="AI239" i="15" s="1"/>
  <c r="AJ239" i="15"/>
  <c r="AK239" i="15"/>
  <c r="AL239" i="15"/>
  <c r="AM239" i="15"/>
  <c r="AN239" i="15"/>
  <c r="AO239" i="15"/>
  <c r="K240" i="15"/>
  <c r="AP240" i="15" s="1"/>
  <c r="L240" i="15"/>
  <c r="N240" i="15"/>
  <c r="O240" i="15"/>
  <c r="P240" i="15"/>
  <c r="Q240" i="15"/>
  <c r="R240" i="15"/>
  <c r="S240" i="15"/>
  <c r="T240" i="15"/>
  <c r="U240" i="15"/>
  <c r="V240" i="15"/>
  <c r="W240" i="15"/>
  <c r="X240" i="15" s="1"/>
  <c r="Y240" i="15"/>
  <c r="Z240" i="15"/>
  <c r="AA240" i="15"/>
  <c r="AB240" i="15"/>
  <c r="AC240" i="15"/>
  <c r="AD240" i="15"/>
  <c r="AE240" i="15"/>
  <c r="AF240" i="15"/>
  <c r="AG240" i="15"/>
  <c r="AH240" i="15"/>
  <c r="AI240" i="15" s="1"/>
  <c r="AJ240" i="15"/>
  <c r="AK240" i="15"/>
  <c r="AL240" i="15"/>
  <c r="AM240" i="15"/>
  <c r="AN240" i="15"/>
  <c r="AO240" i="15"/>
  <c r="K241" i="15"/>
  <c r="C241" i="15" s="1"/>
  <c r="L241" i="15"/>
  <c r="N241" i="15"/>
  <c r="O241" i="15"/>
  <c r="P241" i="15"/>
  <c r="Q241" i="15"/>
  <c r="R241" i="15"/>
  <c r="S241" i="15"/>
  <c r="T241" i="15"/>
  <c r="U241" i="15"/>
  <c r="V241" i="15"/>
  <c r="W241" i="15"/>
  <c r="X241" i="15" s="1"/>
  <c r="Y241" i="15"/>
  <c r="Z241" i="15"/>
  <c r="AA241" i="15"/>
  <c r="AB241" i="15"/>
  <c r="AC241" i="15"/>
  <c r="AD241" i="15"/>
  <c r="AE241" i="15"/>
  <c r="AF241" i="15"/>
  <c r="AG241" i="15"/>
  <c r="AH241" i="15"/>
  <c r="AI241" i="15" s="1"/>
  <c r="AJ241" i="15"/>
  <c r="AK241" i="15"/>
  <c r="AL241" i="15"/>
  <c r="AM241" i="15"/>
  <c r="AN241" i="15"/>
  <c r="AO241" i="15"/>
  <c r="K242" i="15"/>
  <c r="C242" i="15" s="1"/>
  <c r="L242" i="15"/>
  <c r="N242" i="15"/>
  <c r="O242" i="15"/>
  <c r="P242" i="15"/>
  <c r="Q242" i="15"/>
  <c r="R242" i="15"/>
  <c r="S242" i="15"/>
  <c r="T242" i="15"/>
  <c r="U242" i="15"/>
  <c r="V242" i="15"/>
  <c r="W242" i="15"/>
  <c r="X242" i="15" s="1"/>
  <c r="Y242" i="15"/>
  <c r="Z242" i="15"/>
  <c r="AA242" i="15"/>
  <c r="AB242" i="15"/>
  <c r="AC242" i="15"/>
  <c r="AD242" i="15"/>
  <c r="AE242" i="15"/>
  <c r="AF242" i="15"/>
  <c r="AG242" i="15"/>
  <c r="AH242" i="15"/>
  <c r="AI242" i="15" s="1"/>
  <c r="AJ242" i="15"/>
  <c r="AK242" i="15"/>
  <c r="AL242" i="15"/>
  <c r="AM242" i="15"/>
  <c r="AN242" i="15"/>
  <c r="AO242" i="15"/>
  <c r="K243" i="15"/>
  <c r="L243" i="15"/>
  <c r="N243" i="15"/>
  <c r="O243" i="15"/>
  <c r="P243" i="15"/>
  <c r="Q243" i="15"/>
  <c r="R243" i="15"/>
  <c r="S243" i="15"/>
  <c r="T243" i="15"/>
  <c r="U243" i="15"/>
  <c r="V243" i="15"/>
  <c r="W243" i="15"/>
  <c r="X243" i="15" s="1"/>
  <c r="Y243" i="15"/>
  <c r="Z243" i="15"/>
  <c r="AA243" i="15"/>
  <c r="AB243" i="15"/>
  <c r="AC243" i="15"/>
  <c r="AD243" i="15"/>
  <c r="AE243" i="15"/>
  <c r="AF243" i="15"/>
  <c r="AG243" i="15"/>
  <c r="AH243" i="15"/>
  <c r="AI243" i="15" s="1"/>
  <c r="AJ243" i="15"/>
  <c r="AK243" i="15"/>
  <c r="AL243" i="15"/>
  <c r="AM243" i="15"/>
  <c r="AN243" i="15"/>
  <c r="AO243" i="15"/>
  <c r="K244" i="15"/>
  <c r="I244" i="15" s="1"/>
  <c r="L244" i="15"/>
  <c r="N244" i="15"/>
  <c r="O244" i="15"/>
  <c r="P244" i="15"/>
  <c r="Q244" i="15"/>
  <c r="R244" i="15"/>
  <c r="S244" i="15"/>
  <c r="T244" i="15"/>
  <c r="U244" i="15"/>
  <c r="V244" i="15"/>
  <c r="W244" i="15"/>
  <c r="X244" i="15" s="1"/>
  <c r="Y244" i="15"/>
  <c r="Z244" i="15"/>
  <c r="AA244" i="15"/>
  <c r="AB244" i="15"/>
  <c r="AC244" i="15"/>
  <c r="AD244" i="15"/>
  <c r="AE244" i="15"/>
  <c r="AF244" i="15"/>
  <c r="AG244" i="15"/>
  <c r="AH244" i="15"/>
  <c r="AI244" i="15" s="1"/>
  <c r="AJ244" i="15"/>
  <c r="AK244" i="15"/>
  <c r="AL244" i="15"/>
  <c r="AM244" i="15"/>
  <c r="AN244" i="15"/>
  <c r="AO244" i="15"/>
  <c r="K245" i="15"/>
  <c r="G245" i="15" s="1"/>
  <c r="L245" i="15"/>
  <c r="N245" i="15"/>
  <c r="O245" i="15"/>
  <c r="P245" i="15"/>
  <c r="Q245" i="15"/>
  <c r="R245" i="15"/>
  <c r="S245" i="15"/>
  <c r="T245" i="15"/>
  <c r="U245" i="15"/>
  <c r="V245" i="15"/>
  <c r="W245" i="15"/>
  <c r="X245" i="15" s="1"/>
  <c r="Y245" i="15"/>
  <c r="Z245" i="15"/>
  <c r="AA245" i="15"/>
  <c r="AB245" i="15"/>
  <c r="AC245" i="15"/>
  <c r="AD245" i="15"/>
  <c r="AE245" i="15"/>
  <c r="AF245" i="15"/>
  <c r="AG245" i="15"/>
  <c r="AH245" i="15"/>
  <c r="AI245" i="15" s="1"/>
  <c r="AJ245" i="15"/>
  <c r="AK245" i="15"/>
  <c r="AL245" i="15"/>
  <c r="AM245" i="15"/>
  <c r="AN245" i="15"/>
  <c r="AO245" i="15"/>
  <c r="K246" i="15"/>
  <c r="H246" i="15" s="1"/>
  <c r="L246" i="15"/>
  <c r="N246" i="15"/>
  <c r="O246" i="15"/>
  <c r="P246" i="15"/>
  <c r="Q246" i="15"/>
  <c r="R246" i="15"/>
  <c r="S246" i="15"/>
  <c r="T246" i="15"/>
  <c r="U246" i="15"/>
  <c r="V246" i="15"/>
  <c r="W246" i="15"/>
  <c r="X246" i="15" s="1"/>
  <c r="Y246" i="15"/>
  <c r="Z246" i="15"/>
  <c r="AA246" i="15"/>
  <c r="AB246" i="15"/>
  <c r="AC246" i="15"/>
  <c r="AD246" i="15"/>
  <c r="AE246" i="15"/>
  <c r="AF246" i="15"/>
  <c r="AG246" i="15"/>
  <c r="AH246" i="15"/>
  <c r="AI246" i="15" s="1"/>
  <c r="AJ246" i="15"/>
  <c r="AK246" i="15"/>
  <c r="AL246" i="15"/>
  <c r="AM246" i="15"/>
  <c r="AN246" i="15"/>
  <c r="AO246" i="15"/>
  <c r="K247" i="15"/>
  <c r="AQ247" i="15" s="1"/>
  <c r="L247" i="15"/>
  <c r="N247" i="15"/>
  <c r="O247" i="15"/>
  <c r="P247" i="15"/>
  <c r="Q247" i="15"/>
  <c r="R247" i="15"/>
  <c r="S247" i="15"/>
  <c r="T247" i="15"/>
  <c r="U247" i="15"/>
  <c r="V247" i="15"/>
  <c r="W247" i="15"/>
  <c r="X247" i="15" s="1"/>
  <c r="Y247" i="15"/>
  <c r="Z247" i="15"/>
  <c r="AA247" i="15"/>
  <c r="AB247" i="15"/>
  <c r="AC247" i="15"/>
  <c r="AD247" i="15"/>
  <c r="AE247" i="15"/>
  <c r="AF247" i="15"/>
  <c r="AG247" i="15"/>
  <c r="AH247" i="15"/>
  <c r="AI247" i="15" s="1"/>
  <c r="AJ247" i="15"/>
  <c r="AK247" i="15"/>
  <c r="AL247" i="15"/>
  <c r="AM247" i="15"/>
  <c r="AN247" i="15"/>
  <c r="AO247" i="15"/>
  <c r="K248" i="15"/>
  <c r="L248" i="15"/>
  <c r="N248" i="15"/>
  <c r="O248" i="15"/>
  <c r="P248" i="15"/>
  <c r="Q248" i="15"/>
  <c r="R248" i="15"/>
  <c r="S248" i="15"/>
  <c r="T248" i="15"/>
  <c r="U248" i="15"/>
  <c r="V248" i="15"/>
  <c r="W248" i="15"/>
  <c r="X248" i="15" s="1"/>
  <c r="Y248" i="15"/>
  <c r="Z248" i="15"/>
  <c r="AA248" i="15"/>
  <c r="AB248" i="15"/>
  <c r="AC248" i="15"/>
  <c r="AD248" i="15"/>
  <c r="AE248" i="15"/>
  <c r="AF248" i="15"/>
  <c r="AG248" i="15"/>
  <c r="AH248" i="15"/>
  <c r="AI248" i="15" s="1"/>
  <c r="AJ248" i="15"/>
  <c r="AK248" i="15"/>
  <c r="AL248" i="15"/>
  <c r="AM248" i="15"/>
  <c r="AN248" i="15"/>
  <c r="AO248" i="15"/>
  <c r="K249" i="15"/>
  <c r="C249" i="15" s="1"/>
  <c r="L249" i="15"/>
  <c r="N249" i="15"/>
  <c r="O249" i="15"/>
  <c r="P249" i="15"/>
  <c r="Q249" i="15"/>
  <c r="R249" i="15"/>
  <c r="S249" i="15"/>
  <c r="T249" i="15"/>
  <c r="U249" i="15"/>
  <c r="V249" i="15"/>
  <c r="W249" i="15"/>
  <c r="X249" i="15" s="1"/>
  <c r="Y249" i="15"/>
  <c r="Z249" i="15"/>
  <c r="AA249" i="15"/>
  <c r="AB249" i="15"/>
  <c r="AC249" i="15"/>
  <c r="AD249" i="15"/>
  <c r="AE249" i="15"/>
  <c r="AF249" i="15"/>
  <c r="AG249" i="15"/>
  <c r="AH249" i="15"/>
  <c r="AI249" i="15" s="1"/>
  <c r="AJ249" i="15"/>
  <c r="AK249" i="15"/>
  <c r="AL249" i="15"/>
  <c r="AM249" i="15"/>
  <c r="AN249" i="15"/>
  <c r="AO249" i="15"/>
  <c r="K250" i="15"/>
  <c r="J250" i="15" s="1"/>
  <c r="L250" i="15"/>
  <c r="N250" i="15"/>
  <c r="O250" i="15"/>
  <c r="P250" i="15"/>
  <c r="Q250" i="15"/>
  <c r="R250" i="15"/>
  <c r="S250" i="15"/>
  <c r="T250" i="15"/>
  <c r="U250" i="15"/>
  <c r="V250" i="15"/>
  <c r="W250" i="15"/>
  <c r="X250" i="15" s="1"/>
  <c r="Y250" i="15"/>
  <c r="Z250" i="15"/>
  <c r="AA250" i="15"/>
  <c r="AB250" i="15"/>
  <c r="AC250" i="15"/>
  <c r="AD250" i="15"/>
  <c r="AE250" i="15"/>
  <c r="AF250" i="15"/>
  <c r="AG250" i="15"/>
  <c r="AH250" i="15"/>
  <c r="AI250" i="15" s="1"/>
  <c r="AJ250" i="15"/>
  <c r="AK250" i="15"/>
  <c r="AL250" i="15"/>
  <c r="AM250" i="15"/>
  <c r="AN250" i="15"/>
  <c r="AO250" i="15"/>
  <c r="K251" i="15"/>
  <c r="J251" i="15" s="1"/>
  <c r="L251" i="15"/>
  <c r="N251" i="15"/>
  <c r="O251" i="15"/>
  <c r="P251" i="15"/>
  <c r="Q251" i="15"/>
  <c r="R251" i="15"/>
  <c r="S251" i="15"/>
  <c r="T251" i="15"/>
  <c r="U251" i="15"/>
  <c r="V251" i="15"/>
  <c r="W251" i="15"/>
  <c r="X251" i="15" s="1"/>
  <c r="Y251" i="15"/>
  <c r="Z251" i="15"/>
  <c r="AA251" i="15"/>
  <c r="AB251" i="15"/>
  <c r="AC251" i="15"/>
  <c r="AD251" i="15"/>
  <c r="AE251" i="15"/>
  <c r="AF251" i="15"/>
  <c r="AG251" i="15"/>
  <c r="AH251" i="15"/>
  <c r="AI251" i="15" s="1"/>
  <c r="AJ251" i="15"/>
  <c r="AK251" i="15"/>
  <c r="AL251" i="15"/>
  <c r="AM251" i="15"/>
  <c r="AN251" i="15"/>
  <c r="AO251" i="15"/>
  <c r="K252" i="15"/>
  <c r="L252" i="15"/>
  <c r="N252" i="15"/>
  <c r="O252" i="15"/>
  <c r="P252" i="15"/>
  <c r="Q252" i="15"/>
  <c r="R252" i="15"/>
  <c r="S252" i="15"/>
  <c r="T252" i="15"/>
  <c r="U252" i="15"/>
  <c r="V252" i="15"/>
  <c r="W252" i="15"/>
  <c r="X252" i="15" s="1"/>
  <c r="Y252" i="15"/>
  <c r="Z252" i="15"/>
  <c r="AA252" i="15"/>
  <c r="AB252" i="15"/>
  <c r="AC252" i="15"/>
  <c r="AD252" i="15"/>
  <c r="AE252" i="15"/>
  <c r="AF252" i="15"/>
  <c r="AG252" i="15"/>
  <c r="AH252" i="15"/>
  <c r="AI252" i="15" s="1"/>
  <c r="AJ252" i="15"/>
  <c r="AK252" i="15"/>
  <c r="AL252" i="15"/>
  <c r="AM252" i="15"/>
  <c r="AN252" i="15"/>
  <c r="AO252" i="15"/>
  <c r="K253" i="15"/>
  <c r="L253" i="15"/>
  <c r="N253" i="15"/>
  <c r="O253" i="15"/>
  <c r="P253" i="15"/>
  <c r="Q253" i="15"/>
  <c r="R253" i="15"/>
  <c r="S253" i="15"/>
  <c r="T253" i="15"/>
  <c r="U253" i="15"/>
  <c r="V253" i="15"/>
  <c r="W253" i="15"/>
  <c r="X253" i="15" s="1"/>
  <c r="Y253" i="15"/>
  <c r="Z253" i="15"/>
  <c r="AA253" i="15"/>
  <c r="AB253" i="15"/>
  <c r="AC253" i="15"/>
  <c r="AD253" i="15"/>
  <c r="AE253" i="15"/>
  <c r="AF253" i="15"/>
  <c r="AG253" i="15"/>
  <c r="AH253" i="15"/>
  <c r="AI253" i="15" s="1"/>
  <c r="AJ253" i="15"/>
  <c r="AK253" i="15"/>
  <c r="AL253" i="15"/>
  <c r="AM253" i="15"/>
  <c r="AN253" i="15"/>
  <c r="AO253" i="15"/>
  <c r="K254" i="15"/>
  <c r="L254" i="15"/>
  <c r="N254" i="15"/>
  <c r="O254" i="15"/>
  <c r="P254" i="15"/>
  <c r="Q254" i="15"/>
  <c r="R254" i="15"/>
  <c r="S254" i="15"/>
  <c r="T254" i="15"/>
  <c r="U254" i="15"/>
  <c r="V254" i="15"/>
  <c r="W254" i="15"/>
  <c r="X254" i="15" s="1"/>
  <c r="Y254" i="15"/>
  <c r="Z254" i="15"/>
  <c r="AA254" i="15"/>
  <c r="AB254" i="15"/>
  <c r="AC254" i="15"/>
  <c r="AD254" i="15"/>
  <c r="AE254" i="15"/>
  <c r="AF254" i="15"/>
  <c r="AG254" i="15"/>
  <c r="AH254" i="15"/>
  <c r="AI254" i="15" s="1"/>
  <c r="AJ254" i="15"/>
  <c r="AK254" i="15"/>
  <c r="AL254" i="15"/>
  <c r="AM254" i="15"/>
  <c r="AN254" i="15"/>
  <c r="AO254" i="15"/>
  <c r="K255" i="15"/>
  <c r="L255" i="15"/>
  <c r="N255" i="15"/>
  <c r="O255" i="15"/>
  <c r="P255" i="15"/>
  <c r="Q255" i="15"/>
  <c r="R255" i="15"/>
  <c r="S255" i="15"/>
  <c r="T255" i="15"/>
  <c r="U255" i="15"/>
  <c r="V255" i="15"/>
  <c r="W255" i="15"/>
  <c r="X255" i="15" s="1"/>
  <c r="Y255" i="15"/>
  <c r="Z255" i="15"/>
  <c r="AA255" i="15"/>
  <c r="AB255" i="15"/>
  <c r="AC255" i="15"/>
  <c r="AD255" i="15"/>
  <c r="AE255" i="15"/>
  <c r="AF255" i="15"/>
  <c r="AG255" i="15"/>
  <c r="AH255" i="15"/>
  <c r="AI255" i="15" s="1"/>
  <c r="AJ255" i="15"/>
  <c r="AK255" i="15"/>
  <c r="AL255" i="15"/>
  <c r="AM255" i="15"/>
  <c r="AN255" i="15"/>
  <c r="AO255" i="15"/>
  <c r="K256" i="15"/>
  <c r="L256" i="15"/>
  <c r="N256" i="15"/>
  <c r="O256" i="15"/>
  <c r="P256" i="15"/>
  <c r="Q256" i="15"/>
  <c r="R256" i="15"/>
  <c r="S256" i="15"/>
  <c r="T256" i="15"/>
  <c r="U256" i="15"/>
  <c r="V256" i="15"/>
  <c r="W256" i="15"/>
  <c r="X256" i="15" s="1"/>
  <c r="Y256" i="15"/>
  <c r="Z256" i="15"/>
  <c r="AA256" i="15"/>
  <c r="AB256" i="15"/>
  <c r="AC256" i="15"/>
  <c r="AD256" i="15"/>
  <c r="AE256" i="15"/>
  <c r="AF256" i="15"/>
  <c r="AG256" i="15"/>
  <c r="AH256" i="15"/>
  <c r="AI256" i="15" s="1"/>
  <c r="AJ256" i="15"/>
  <c r="AK256" i="15"/>
  <c r="AL256" i="15"/>
  <c r="AM256" i="15"/>
  <c r="AN256" i="15"/>
  <c r="AO256" i="15"/>
  <c r="K257" i="15"/>
  <c r="L257" i="15"/>
  <c r="N257" i="15"/>
  <c r="O257" i="15"/>
  <c r="P257" i="15"/>
  <c r="Q257" i="15"/>
  <c r="R257" i="15"/>
  <c r="S257" i="15"/>
  <c r="T257" i="15"/>
  <c r="U257" i="15"/>
  <c r="V257" i="15"/>
  <c r="W257" i="15"/>
  <c r="X257" i="15" s="1"/>
  <c r="Y257" i="15"/>
  <c r="Z257" i="15"/>
  <c r="AA257" i="15"/>
  <c r="AB257" i="15"/>
  <c r="AC257" i="15"/>
  <c r="AD257" i="15"/>
  <c r="AE257" i="15"/>
  <c r="AF257" i="15"/>
  <c r="AG257" i="15"/>
  <c r="AH257" i="15"/>
  <c r="AI257" i="15" s="1"/>
  <c r="AJ257" i="15"/>
  <c r="AK257" i="15"/>
  <c r="AL257" i="15"/>
  <c r="AM257" i="15"/>
  <c r="AN257" i="15"/>
  <c r="AO257" i="15"/>
  <c r="K258" i="15"/>
  <c r="H258" i="15" s="1"/>
  <c r="L258" i="15"/>
  <c r="N258" i="15"/>
  <c r="O258" i="15"/>
  <c r="P258" i="15"/>
  <c r="Q258" i="15"/>
  <c r="R258" i="15"/>
  <c r="S258" i="15"/>
  <c r="T258" i="15"/>
  <c r="U258" i="15"/>
  <c r="V258" i="15"/>
  <c r="W258" i="15"/>
  <c r="X258" i="15" s="1"/>
  <c r="Y258" i="15"/>
  <c r="Z258" i="15"/>
  <c r="AA258" i="15"/>
  <c r="AB258" i="15"/>
  <c r="AC258" i="15"/>
  <c r="AD258" i="15"/>
  <c r="AE258" i="15"/>
  <c r="AF258" i="15"/>
  <c r="AG258" i="15"/>
  <c r="AH258" i="15"/>
  <c r="AI258" i="15" s="1"/>
  <c r="AJ258" i="15"/>
  <c r="AK258" i="15"/>
  <c r="AL258" i="15"/>
  <c r="AM258" i="15"/>
  <c r="AN258" i="15"/>
  <c r="AO258" i="15"/>
  <c r="K259" i="15"/>
  <c r="L259" i="15"/>
  <c r="N259" i="15"/>
  <c r="O259" i="15"/>
  <c r="P259" i="15"/>
  <c r="Q259" i="15"/>
  <c r="R259" i="15"/>
  <c r="S259" i="15"/>
  <c r="T259" i="15"/>
  <c r="U259" i="15"/>
  <c r="V259" i="15"/>
  <c r="W259" i="15"/>
  <c r="X259" i="15" s="1"/>
  <c r="Y259" i="15"/>
  <c r="Z259" i="15"/>
  <c r="AA259" i="15"/>
  <c r="AB259" i="15"/>
  <c r="AC259" i="15"/>
  <c r="AD259" i="15"/>
  <c r="AE259" i="15"/>
  <c r="AF259" i="15"/>
  <c r="AG259" i="15"/>
  <c r="AH259" i="15"/>
  <c r="AI259" i="15" s="1"/>
  <c r="AJ259" i="15"/>
  <c r="AK259" i="15"/>
  <c r="AL259" i="15"/>
  <c r="AM259" i="15"/>
  <c r="AN259" i="15"/>
  <c r="AO259" i="15"/>
  <c r="K260" i="15"/>
  <c r="L260" i="15"/>
  <c r="N260" i="15"/>
  <c r="O260" i="15"/>
  <c r="P260" i="15"/>
  <c r="Q260" i="15"/>
  <c r="R260" i="15"/>
  <c r="S260" i="15"/>
  <c r="T260" i="15"/>
  <c r="U260" i="15"/>
  <c r="V260" i="15"/>
  <c r="W260" i="15"/>
  <c r="X260" i="15" s="1"/>
  <c r="Y260" i="15"/>
  <c r="Z260" i="15"/>
  <c r="AA260" i="15"/>
  <c r="AB260" i="15"/>
  <c r="AC260" i="15"/>
  <c r="AD260" i="15"/>
  <c r="AE260" i="15"/>
  <c r="AF260" i="15"/>
  <c r="AG260" i="15"/>
  <c r="AH260" i="15"/>
  <c r="AI260" i="15" s="1"/>
  <c r="AJ260" i="15"/>
  <c r="AK260" i="15"/>
  <c r="AL260" i="15"/>
  <c r="AM260" i="15"/>
  <c r="AN260" i="15"/>
  <c r="AO260" i="15"/>
  <c r="K261" i="15"/>
  <c r="B261" i="15" s="1"/>
  <c r="L261" i="15"/>
  <c r="N261" i="15"/>
  <c r="O261" i="15"/>
  <c r="P261" i="15"/>
  <c r="Q261" i="15"/>
  <c r="R261" i="15"/>
  <c r="S261" i="15"/>
  <c r="T261" i="15"/>
  <c r="U261" i="15"/>
  <c r="V261" i="15"/>
  <c r="W261" i="15"/>
  <c r="X261" i="15" s="1"/>
  <c r="Y261" i="15"/>
  <c r="Z261" i="15"/>
  <c r="AA261" i="15"/>
  <c r="AB261" i="15"/>
  <c r="AC261" i="15"/>
  <c r="AD261" i="15"/>
  <c r="AE261" i="15"/>
  <c r="AF261" i="15"/>
  <c r="AG261" i="15"/>
  <c r="AH261" i="15"/>
  <c r="AI261" i="15" s="1"/>
  <c r="AJ261" i="15"/>
  <c r="AK261" i="15"/>
  <c r="AL261" i="15"/>
  <c r="AM261" i="15"/>
  <c r="AN261" i="15"/>
  <c r="AO261" i="15"/>
  <c r="K262" i="15"/>
  <c r="A262" i="15" s="1"/>
  <c r="L262" i="15"/>
  <c r="N262" i="15"/>
  <c r="O262" i="15"/>
  <c r="P262" i="15"/>
  <c r="Q262" i="15"/>
  <c r="R262" i="15"/>
  <c r="S262" i="15"/>
  <c r="T262" i="15"/>
  <c r="U262" i="15"/>
  <c r="V262" i="15"/>
  <c r="W262" i="15"/>
  <c r="X262" i="15" s="1"/>
  <c r="Y262" i="15"/>
  <c r="Z262" i="15"/>
  <c r="AA262" i="15"/>
  <c r="AB262" i="15"/>
  <c r="AC262" i="15"/>
  <c r="AD262" i="15"/>
  <c r="AE262" i="15"/>
  <c r="AF262" i="15"/>
  <c r="AG262" i="15"/>
  <c r="AH262" i="15"/>
  <c r="AI262" i="15" s="1"/>
  <c r="AJ262" i="15"/>
  <c r="AK262" i="15"/>
  <c r="AL262" i="15"/>
  <c r="AM262" i="15"/>
  <c r="AN262" i="15"/>
  <c r="AO262" i="15"/>
  <c r="K263" i="15"/>
  <c r="L263" i="15"/>
  <c r="N263" i="15"/>
  <c r="O263" i="15"/>
  <c r="P263" i="15"/>
  <c r="Q263" i="15"/>
  <c r="R263" i="15"/>
  <c r="S263" i="15"/>
  <c r="T263" i="15"/>
  <c r="U263" i="15"/>
  <c r="V263" i="15"/>
  <c r="W263" i="15"/>
  <c r="X263" i="15" s="1"/>
  <c r="Y263" i="15"/>
  <c r="Z263" i="15"/>
  <c r="AA263" i="15"/>
  <c r="AB263" i="15"/>
  <c r="AC263" i="15"/>
  <c r="AD263" i="15"/>
  <c r="AE263" i="15"/>
  <c r="AF263" i="15"/>
  <c r="AG263" i="15"/>
  <c r="AH263" i="15"/>
  <c r="AI263" i="15" s="1"/>
  <c r="AJ263" i="15"/>
  <c r="AK263" i="15"/>
  <c r="AL263" i="15"/>
  <c r="AM263" i="15"/>
  <c r="AN263" i="15"/>
  <c r="AO263" i="15"/>
  <c r="K264" i="15"/>
  <c r="L264" i="15"/>
  <c r="N264" i="15"/>
  <c r="O264" i="15"/>
  <c r="P264" i="15"/>
  <c r="Q264" i="15"/>
  <c r="R264" i="15"/>
  <c r="S264" i="15"/>
  <c r="T264" i="15"/>
  <c r="U264" i="15"/>
  <c r="V264" i="15"/>
  <c r="W264" i="15"/>
  <c r="X264" i="15" s="1"/>
  <c r="Y264" i="15"/>
  <c r="Z264" i="15"/>
  <c r="AA264" i="15"/>
  <c r="AB264" i="15"/>
  <c r="AC264" i="15"/>
  <c r="AD264" i="15"/>
  <c r="AE264" i="15"/>
  <c r="AF264" i="15"/>
  <c r="AG264" i="15"/>
  <c r="AH264" i="15"/>
  <c r="AI264" i="15" s="1"/>
  <c r="AJ264" i="15"/>
  <c r="AK264" i="15"/>
  <c r="AL264" i="15"/>
  <c r="AM264" i="15"/>
  <c r="AN264" i="15"/>
  <c r="AO264" i="15"/>
  <c r="K265" i="15"/>
  <c r="C265" i="15" s="1"/>
  <c r="L265" i="15"/>
  <c r="N265" i="15"/>
  <c r="O265" i="15"/>
  <c r="P265" i="15"/>
  <c r="Q265" i="15"/>
  <c r="R265" i="15"/>
  <c r="S265" i="15"/>
  <c r="T265" i="15"/>
  <c r="U265" i="15"/>
  <c r="V265" i="15"/>
  <c r="W265" i="15"/>
  <c r="X265" i="15" s="1"/>
  <c r="Y265" i="15"/>
  <c r="Z265" i="15"/>
  <c r="AA265" i="15"/>
  <c r="AB265" i="15"/>
  <c r="AC265" i="15"/>
  <c r="AD265" i="15"/>
  <c r="AE265" i="15"/>
  <c r="AF265" i="15"/>
  <c r="AG265" i="15"/>
  <c r="AH265" i="15"/>
  <c r="AI265" i="15" s="1"/>
  <c r="AJ265" i="15"/>
  <c r="AK265" i="15"/>
  <c r="AL265" i="15"/>
  <c r="AM265" i="15"/>
  <c r="AN265" i="15"/>
  <c r="AO265" i="15"/>
  <c r="K266" i="15"/>
  <c r="L266" i="15"/>
  <c r="N266" i="15"/>
  <c r="O266" i="15"/>
  <c r="P266" i="15"/>
  <c r="Q266" i="15"/>
  <c r="R266" i="15"/>
  <c r="S266" i="15"/>
  <c r="T266" i="15"/>
  <c r="U266" i="15"/>
  <c r="V266" i="15"/>
  <c r="W266" i="15"/>
  <c r="X266" i="15" s="1"/>
  <c r="Y266" i="15"/>
  <c r="Z266" i="15"/>
  <c r="AA266" i="15"/>
  <c r="AB266" i="15"/>
  <c r="AC266" i="15"/>
  <c r="AD266" i="15"/>
  <c r="AE266" i="15"/>
  <c r="AF266" i="15"/>
  <c r="AG266" i="15"/>
  <c r="AH266" i="15"/>
  <c r="AI266" i="15" s="1"/>
  <c r="AJ266" i="15"/>
  <c r="AK266" i="15"/>
  <c r="AL266" i="15"/>
  <c r="AM266" i="15"/>
  <c r="AN266" i="15"/>
  <c r="AO266" i="15"/>
  <c r="K267" i="15"/>
  <c r="L267" i="15"/>
  <c r="N267" i="15"/>
  <c r="O267" i="15"/>
  <c r="P267" i="15"/>
  <c r="Q267" i="15"/>
  <c r="R267" i="15"/>
  <c r="S267" i="15"/>
  <c r="T267" i="15"/>
  <c r="U267" i="15"/>
  <c r="V267" i="15"/>
  <c r="W267" i="15"/>
  <c r="X267" i="15" s="1"/>
  <c r="Y267" i="15"/>
  <c r="Z267" i="15"/>
  <c r="AA267" i="15"/>
  <c r="AB267" i="15"/>
  <c r="AC267" i="15"/>
  <c r="AD267" i="15"/>
  <c r="AE267" i="15"/>
  <c r="AF267" i="15"/>
  <c r="AG267" i="15"/>
  <c r="AH267" i="15"/>
  <c r="AI267" i="15" s="1"/>
  <c r="AJ267" i="15"/>
  <c r="AK267" i="15"/>
  <c r="AL267" i="15"/>
  <c r="AM267" i="15"/>
  <c r="AN267" i="15"/>
  <c r="AO267" i="15"/>
  <c r="K268" i="15"/>
  <c r="F268" i="15" s="1"/>
  <c r="L268" i="15"/>
  <c r="N268" i="15"/>
  <c r="O268" i="15"/>
  <c r="P268" i="15"/>
  <c r="Q268" i="15"/>
  <c r="R268" i="15"/>
  <c r="S268" i="15"/>
  <c r="T268" i="15"/>
  <c r="U268" i="15"/>
  <c r="V268" i="15"/>
  <c r="W268" i="15"/>
  <c r="X268" i="15" s="1"/>
  <c r="Y268" i="15"/>
  <c r="Z268" i="15"/>
  <c r="AA268" i="15"/>
  <c r="AB268" i="15"/>
  <c r="AC268" i="15"/>
  <c r="AD268" i="15"/>
  <c r="AE268" i="15"/>
  <c r="AF268" i="15"/>
  <c r="AG268" i="15"/>
  <c r="AH268" i="15"/>
  <c r="AI268" i="15" s="1"/>
  <c r="AJ268" i="15"/>
  <c r="AK268" i="15"/>
  <c r="AL268" i="15"/>
  <c r="AM268" i="15"/>
  <c r="AN268" i="15"/>
  <c r="AO268" i="15"/>
  <c r="K269" i="15"/>
  <c r="H269" i="15" s="1"/>
  <c r="L269" i="15"/>
  <c r="N269" i="15"/>
  <c r="O269" i="15"/>
  <c r="P269" i="15"/>
  <c r="Q269" i="15"/>
  <c r="R269" i="15"/>
  <c r="S269" i="15"/>
  <c r="T269" i="15"/>
  <c r="U269" i="15"/>
  <c r="V269" i="15"/>
  <c r="W269" i="15"/>
  <c r="X269" i="15" s="1"/>
  <c r="Y269" i="15"/>
  <c r="Z269" i="15"/>
  <c r="AA269" i="15"/>
  <c r="AB269" i="15"/>
  <c r="AC269" i="15"/>
  <c r="AD269" i="15"/>
  <c r="AE269" i="15"/>
  <c r="AF269" i="15"/>
  <c r="AG269" i="15"/>
  <c r="AH269" i="15"/>
  <c r="AI269" i="15" s="1"/>
  <c r="AJ269" i="15"/>
  <c r="AK269" i="15"/>
  <c r="AL269" i="15"/>
  <c r="AM269" i="15"/>
  <c r="AN269" i="15"/>
  <c r="AO269" i="15"/>
  <c r="K270" i="15"/>
  <c r="D270" i="15" s="1"/>
  <c r="L270" i="15"/>
  <c r="N270" i="15"/>
  <c r="O270" i="15"/>
  <c r="P270" i="15"/>
  <c r="Q270" i="15"/>
  <c r="R270" i="15"/>
  <c r="S270" i="15"/>
  <c r="T270" i="15"/>
  <c r="U270" i="15"/>
  <c r="V270" i="15"/>
  <c r="W270" i="15"/>
  <c r="X270" i="15" s="1"/>
  <c r="Y270" i="15"/>
  <c r="Z270" i="15"/>
  <c r="AA270" i="15"/>
  <c r="AB270" i="15"/>
  <c r="AC270" i="15"/>
  <c r="AD270" i="15"/>
  <c r="AE270" i="15"/>
  <c r="AF270" i="15"/>
  <c r="AG270" i="15"/>
  <c r="AH270" i="15"/>
  <c r="AI270" i="15"/>
  <c r="AJ270" i="15"/>
  <c r="AK270" i="15"/>
  <c r="AL270" i="15"/>
  <c r="AM270" i="15"/>
  <c r="AN270" i="15"/>
  <c r="AO270" i="15"/>
  <c r="K271" i="15"/>
  <c r="H271" i="15" s="1"/>
  <c r="L271" i="15"/>
  <c r="N271" i="15"/>
  <c r="O271" i="15"/>
  <c r="P271" i="15"/>
  <c r="Q271" i="15"/>
  <c r="R271" i="15"/>
  <c r="S271" i="15"/>
  <c r="T271" i="15"/>
  <c r="U271" i="15"/>
  <c r="V271" i="15"/>
  <c r="W271" i="15"/>
  <c r="X271" i="15" s="1"/>
  <c r="Y271" i="15"/>
  <c r="Z271" i="15"/>
  <c r="AA271" i="15"/>
  <c r="AB271" i="15"/>
  <c r="AC271" i="15"/>
  <c r="AD271" i="15"/>
  <c r="AE271" i="15"/>
  <c r="AF271" i="15"/>
  <c r="AG271" i="15"/>
  <c r="AH271" i="15"/>
  <c r="AI271" i="15" s="1"/>
  <c r="AJ271" i="15"/>
  <c r="AK271" i="15"/>
  <c r="AL271" i="15"/>
  <c r="AM271" i="15"/>
  <c r="AN271" i="15"/>
  <c r="AO271" i="15"/>
  <c r="K272" i="15"/>
  <c r="L272" i="15"/>
  <c r="N272" i="15"/>
  <c r="O272" i="15"/>
  <c r="P272" i="15"/>
  <c r="Q272" i="15"/>
  <c r="R272" i="15"/>
  <c r="S272" i="15"/>
  <c r="T272" i="15"/>
  <c r="U272" i="15"/>
  <c r="V272" i="15"/>
  <c r="W272" i="15"/>
  <c r="X272" i="15" s="1"/>
  <c r="Y272" i="15"/>
  <c r="Z272" i="15"/>
  <c r="AA272" i="15"/>
  <c r="AB272" i="15"/>
  <c r="AC272" i="15"/>
  <c r="AD272" i="15"/>
  <c r="AE272" i="15"/>
  <c r="AF272" i="15"/>
  <c r="AG272" i="15"/>
  <c r="AH272" i="15"/>
  <c r="AI272" i="15" s="1"/>
  <c r="AJ272" i="15"/>
  <c r="AK272" i="15"/>
  <c r="AL272" i="15"/>
  <c r="AM272" i="15"/>
  <c r="AN272" i="15"/>
  <c r="AO272" i="15"/>
  <c r="K273" i="15"/>
  <c r="G273" i="15" s="1"/>
  <c r="L273" i="15"/>
  <c r="N273" i="15"/>
  <c r="O273" i="15"/>
  <c r="P273" i="15"/>
  <c r="Q273" i="15"/>
  <c r="R273" i="15"/>
  <c r="S273" i="15"/>
  <c r="T273" i="15"/>
  <c r="U273" i="15"/>
  <c r="V273" i="15"/>
  <c r="W273" i="15"/>
  <c r="X273" i="15" s="1"/>
  <c r="Y273" i="15"/>
  <c r="Z273" i="15"/>
  <c r="AA273" i="15"/>
  <c r="AB273" i="15"/>
  <c r="AC273" i="15"/>
  <c r="AD273" i="15"/>
  <c r="AE273" i="15"/>
  <c r="AF273" i="15"/>
  <c r="AG273" i="15"/>
  <c r="AH273" i="15"/>
  <c r="AI273" i="15" s="1"/>
  <c r="AJ273" i="15"/>
  <c r="AK273" i="15"/>
  <c r="AL273" i="15"/>
  <c r="AM273" i="15"/>
  <c r="AN273" i="15"/>
  <c r="AO273" i="15"/>
  <c r="K274" i="15"/>
  <c r="J274" i="15" s="1"/>
  <c r="L274" i="15"/>
  <c r="N274" i="15"/>
  <c r="O274" i="15"/>
  <c r="P274" i="15"/>
  <c r="Q274" i="15"/>
  <c r="R274" i="15"/>
  <c r="S274" i="15"/>
  <c r="T274" i="15"/>
  <c r="U274" i="15"/>
  <c r="V274" i="15"/>
  <c r="W274" i="15"/>
  <c r="X274" i="15" s="1"/>
  <c r="Y274" i="15"/>
  <c r="Z274" i="15"/>
  <c r="AA274" i="15"/>
  <c r="AB274" i="15"/>
  <c r="AC274" i="15"/>
  <c r="AD274" i="15"/>
  <c r="AE274" i="15"/>
  <c r="AF274" i="15"/>
  <c r="AG274" i="15"/>
  <c r="AH274" i="15"/>
  <c r="AI274" i="15" s="1"/>
  <c r="AJ274" i="15"/>
  <c r="AK274" i="15"/>
  <c r="AL274" i="15"/>
  <c r="AM274" i="15"/>
  <c r="AN274" i="15"/>
  <c r="AO274" i="15"/>
  <c r="K275" i="15"/>
  <c r="E275" i="15" s="1"/>
  <c r="L275" i="15"/>
  <c r="N275" i="15"/>
  <c r="O275" i="15"/>
  <c r="P275" i="15"/>
  <c r="Q275" i="15"/>
  <c r="R275" i="15"/>
  <c r="S275" i="15"/>
  <c r="T275" i="15"/>
  <c r="U275" i="15"/>
  <c r="V275" i="15"/>
  <c r="W275" i="15"/>
  <c r="X275" i="15" s="1"/>
  <c r="Y275" i="15"/>
  <c r="Z275" i="15"/>
  <c r="AA275" i="15"/>
  <c r="AB275" i="15"/>
  <c r="AC275" i="15"/>
  <c r="AD275" i="15"/>
  <c r="AE275" i="15"/>
  <c r="AF275" i="15"/>
  <c r="AG275" i="15"/>
  <c r="AH275" i="15"/>
  <c r="AI275" i="15" s="1"/>
  <c r="AJ275" i="15"/>
  <c r="AK275" i="15"/>
  <c r="AL275" i="15"/>
  <c r="AM275" i="15"/>
  <c r="AN275" i="15"/>
  <c r="AO275" i="15"/>
  <c r="K276" i="15"/>
  <c r="B276" i="15" s="1"/>
  <c r="L276" i="15"/>
  <c r="N276" i="15"/>
  <c r="O276" i="15"/>
  <c r="P276" i="15"/>
  <c r="Q276" i="15"/>
  <c r="R276" i="15"/>
  <c r="S276" i="15"/>
  <c r="T276" i="15"/>
  <c r="U276" i="15"/>
  <c r="V276" i="15"/>
  <c r="W276" i="15"/>
  <c r="X276" i="15" s="1"/>
  <c r="Y276" i="15"/>
  <c r="Z276" i="15"/>
  <c r="AA276" i="15"/>
  <c r="AB276" i="15"/>
  <c r="AC276" i="15"/>
  <c r="AD276" i="15"/>
  <c r="AE276" i="15"/>
  <c r="AF276" i="15"/>
  <c r="AG276" i="15"/>
  <c r="AH276" i="15"/>
  <c r="AI276" i="15" s="1"/>
  <c r="AJ276" i="15"/>
  <c r="AK276" i="15"/>
  <c r="AL276" i="15"/>
  <c r="AM276" i="15"/>
  <c r="AN276" i="15"/>
  <c r="AO276" i="15"/>
  <c r="K277" i="15"/>
  <c r="L277" i="15"/>
  <c r="N277" i="15"/>
  <c r="O277" i="15"/>
  <c r="P277" i="15"/>
  <c r="Q277" i="15"/>
  <c r="R277" i="15"/>
  <c r="S277" i="15"/>
  <c r="T277" i="15"/>
  <c r="U277" i="15"/>
  <c r="V277" i="15"/>
  <c r="W277" i="15"/>
  <c r="X277" i="15" s="1"/>
  <c r="Y277" i="15"/>
  <c r="Z277" i="15"/>
  <c r="AA277" i="15"/>
  <c r="AB277" i="15"/>
  <c r="AC277" i="15"/>
  <c r="AD277" i="15"/>
  <c r="AE277" i="15"/>
  <c r="AF277" i="15"/>
  <c r="AG277" i="15"/>
  <c r="AH277" i="15"/>
  <c r="AI277" i="15" s="1"/>
  <c r="AJ277" i="15"/>
  <c r="AK277" i="15"/>
  <c r="AL277" i="15"/>
  <c r="AM277" i="15"/>
  <c r="AN277" i="15"/>
  <c r="AO277" i="15"/>
  <c r="K278" i="15"/>
  <c r="H278" i="15" s="1"/>
  <c r="L278" i="15"/>
  <c r="N278" i="15"/>
  <c r="O278" i="15"/>
  <c r="P278" i="15"/>
  <c r="Q278" i="15"/>
  <c r="R278" i="15"/>
  <c r="S278" i="15"/>
  <c r="T278" i="15"/>
  <c r="U278" i="15"/>
  <c r="V278" i="15"/>
  <c r="W278" i="15"/>
  <c r="X278" i="15" s="1"/>
  <c r="Y278" i="15"/>
  <c r="Z278" i="15"/>
  <c r="AA278" i="15"/>
  <c r="AB278" i="15"/>
  <c r="AC278" i="15"/>
  <c r="AD278" i="15"/>
  <c r="AE278" i="15"/>
  <c r="AF278" i="15"/>
  <c r="AG278" i="15"/>
  <c r="AH278" i="15"/>
  <c r="AI278" i="15" s="1"/>
  <c r="AJ278" i="15"/>
  <c r="AK278" i="15"/>
  <c r="AL278" i="15"/>
  <c r="AM278" i="15"/>
  <c r="AN278" i="15"/>
  <c r="AO278" i="15"/>
  <c r="K279" i="15"/>
  <c r="L279" i="15"/>
  <c r="N279" i="15"/>
  <c r="O279" i="15"/>
  <c r="P279" i="15"/>
  <c r="Q279" i="15"/>
  <c r="R279" i="15"/>
  <c r="S279" i="15"/>
  <c r="T279" i="15"/>
  <c r="U279" i="15"/>
  <c r="V279" i="15"/>
  <c r="W279" i="15"/>
  <c r="X279" i="15" s="1"/>
  <c r="Y279" i="15"/>
  <c r="Z279" i="15"/>
  <c r="AA279" i="15"/>
  <c r="AB279" i="15"/>
  <c r="AC279" i="15"/>
  <c r="AD279" i="15"/>
  <c r="AE279" i="15"/>
  <c r="AF279" i="15"/>
  <c r="AG279" i="15"/>
  <c r="AH279" i="15"/>
  <c r="AI279" i="15" s="1"/>
  <c r="AJ279" i="15"/>
  <c r="AK279" i="15"/>
  <c r="AL279" i="15"/>
  <c r="AM279" i="15"/>
  <c r="AN279" i="15"/>
  <c r="AO279" i="15"/>
  <c r="K280" i="15"/>
  <c r="L280" i="15"/>
  <c r="N280" i="15"/>
  <c r="O280" i="15"/>
  <c r="P280" i="15"/>
  <c r="Q280" i="15"/>
  <c r="R280" i="15"/>
  <c r="S280" i="15"/>
  <c r="T280" i="15"/>
  <c r="U280" i="15"/>
  <c r="V280" i="15"/>
  <c r="W280" i="15"/>
  <c r="X280" i="15" s="1"/>
  <c r="Y280" i="15"/>
  <c r="Z280" i="15"/>
  <c r="AA280" i="15"/>
  <c r="AB280" i="15"/>
  <c r="AC280" i="15"/>
  <c r="AD280" i="15"/>
  <c r="AE280" i="15"/>
  <c r="AF280" i="15"/>
  <c r="AG280" i="15"/>
  <c r="AH280" i="15"/>
  <c r="AI280" i="15" s="1"/>
  <c r="AJ280" i="15"/>
  <c r="AK280" i="15"/>
  <c r="AL280" i="15"/>
  <c r="AM280" i="15"/>
  <c r="AN280" i="15"/>
  <c r="AO280" i="15"/>
  <c r="K281" i="15"/>
  <c r="L281" i="15"/>
  <c r="N281" i="15"/>
  <c r="O281" i="15"/>
  <c r="P281" i="15"/>
  <c r="Q281" i="15"/>
  <c r="R281" i="15"/>
  <c r="S281" i="15"/>
  <c r="T281" i="15"/>
  <c r="U281" i="15"/>
  <c r="V281" i="15"/>
  <c r="W281" i="15"/>
  <c r="X281" i="15" s="1"/>
  <c r="Y281" i="15"/>
  <c r="Z281" i="15"/>
  <c r="AA281" i="15"/>
  <c r="AB281" i="15"/>
  <c r="AC281" i="15"/>
  <c r="AD281" i="15"/>
  <c r="AE281" i="15"/>
  <c r="AF281" i="15"/>
  <c r="AG281" i="15"/>
  <c r="AH281" i="15"/>
  <c r="AI281" i="15" s="1"/>
  <c r="AJ281" i="15"/>
  <c r="AK281" i="15"/>
  <c r="AL281" i="15"/>
  <c r="AM281" i="15"/>
  <c r="AN281" i="15"/>
  <c r="AO281" i="15"/>
  <c r="K282" i="15"/>
  <c r="D282" i="15" s="1"/>
  <c r="L282" i="15"/>
  <c r="N282" i="15"/>
  <c r="O282" i="15"/>
  <c r="P282" i="15"/>
  <c r="Q282" i="15"/>
  <c r="R282" i="15"/>
  <c r="S282" i="15"/>
  <c r="T282" i="15"/>
  <c r="U282" i="15"/>
  <c r="V282" i="15"/>
  <c r="W282" i="15"/>
  <c r="X282" i="15" s="1"/>
  <c r="Y282" i="15"/>
  <c r="Z282" i="15"/>
  <c r="AA282" i="15"/>
  <c r="AB282" i="15"/>
  <c r="AC282" i="15"/>
  <c r="AD282" i="15"/>
  <c r="AE282" i="15"/>
  <c r="AF282" i="15"/>
  <c r="AG282" i="15"/>
  <c r="AH282" i="15"/>
  <c r="AI282" i="15" s="1"/>
  <c r="AJ282" i="15"/>
  <c r="AK282" i="15"/>
  <c r="AL282" i="15"/>
  <c r="AM282" i="15"/>
  <c r="AN282" i="15"/>
  <c r="AO282" i="15"/>
  <c r="K283" i="15"/>
  <c r="I283" i="15" s="1"/>
  <c r="L283" i="15"/>
  <c r="N283" i="15"/>
  <c r="O283" i="15"/>
  <c r="P283" i="15"/>
  <c r="Q283" i="15"/>
  <c r="R283" i="15"/>
  <c r="S283" i="15"/>
  <c r="T283" i="15"/>
  <c r="U283" i="15"/>
  <c r="V283" i="15"/>
  <c r="W283" i="15"/>
  <c r="X283" i="15" s="1"/>
  <c r="Y283" i="15"/>
  <c r="Z283" i="15"/>
  <c r="AA283" i="15"/>
  <c r="AB283" i="15"/>
  <c r="AC283" i="15"/>
  <c r="AD283" i="15"/>
  <c r="AE283" i="15"/>
  <c r="AF283" i="15"/>
  <c r="AG283" i="15"/>
  <c r="AH283" i="15"/>
  <c r="AI283" i="15" s="1"/>
  <c r="AJ283" i="15"/>
  <c r="AK283" i="15"/>
  <c r="AL283" i="15"/>
  <c r="AM283" i="15"/>
  <c r="AN283" i="15"/>
  <c r="AO283" i="15"/>
  <c r="K284" i="15"/>
  <c r="L284" i="15"/>
  <c r="N284" i="15"/>
  <c r="O284" i="15"/>
  <c r="P284" i="15"/>
  <c r="Q284" i="15"/>
  <c r="R284" i="15"/>
  <c r="S284" i="15"/>
  <c r="T284" i="15"/>
  <c r="U284" i="15"/>
  <c r="V284" i="15"/>
  <c r="W284" i="15"/>
  <c r="X284" i="15" s="1"/>
  <c r="Y284" i="15"/>
  <c r="Z284" i="15"/>
  <c r="AA284" i="15"/>
  <c r="AB284" i="15"/>
  <c r="AC284" i="15"/>
  <c r="AD284" i="15"/>
  <c r="AE284" i="15"/>
  <c r="AF284" i="15"/>
  <c r="AG284" i="15"/>
  <c r="AH284" i="15"/>
  <c r="AI284" i="15" s="1"/>
  <c r="AJ284" i="15"/>
  <c r="AK284" i="15"/>
  <c r="AL284" i="15"/>
  <c r="AM284" i="15"/>
  <c r="AN284" i="15"/>
  <c r="AO284" i="15"/>
  <c r="K285" i="15"/>
  <c r="L285" i="15"/>
  <c r="N285" i="15"/>
  <c r="O285" i="15"/>
  <c r="P285" i="15"/>
  <c r="Q285" i="15"/>
  <c r="R285" i="15"/>
  <c r="S285" i="15"/>
  <c r="T285" i="15"/>
  <c r="U285" i="15"/>
  <c r="V285" i="15"/>
  <c r="W285" i="15"/>
  <c r="X285" i="15" s="1"/>
  <c r="Y285" i="15"/>
  <c r="Z285" i="15"/>
  <c r="AA285" i="15"/>
  <c r="AB285" i="15"/>
  <c r="AC285" i="15"/>
  <c r="AD285" i="15"/>
  <c r="AE285" i="15"/>
  <c r="AF285" i="15"/>
  <c r="AG285" i="15"/>
  <c r="AH285" i="15"/>
  <c r="AI285" i="15" s="1"/>
  <c r="AJ285" i="15"/>
  <c r="AK285" i="15"/>
  <c r="AL285" i="15"/>
  <c r="AM285" i="15"/>
  <c r="AN285" i="15"/>
  <c r="AO285" i="15"/>
  <c r="K286" i="15"/>
  <c r="L286" i="15"/>
  <c r="N286" i="15"/>
  <c r="O286" i="15"/>
  <c r="P286" i="15"/>
  <c r="Q286" i="15"/>
  <c r="R286" i="15"/>
  <c r="S286" i="15"/>
  <c r="T286" i="15"/>
  <c r="U286" i="15"/>
  <c r="V286" i="15"/>
  <c r="W286" i="15"/>
  <c r="X286" i="15" s="1"/>
  <c r="Y286" i="15"/>
  <c r="Z286" i="15"/>
  <c r="AA286" i="15"/>
  <c r="AB286" i="15"/>
  <c r="AC286" i="15"/>
  <c r="AD286" i="15"/>
  <c r="AE286" i="15"/>
  <c r="AF286" i="15"/>
  <c r="AG286" i="15"/>
  <c r="AH286" i="15"/>
  <c r="AI286" i="15" s="1"/>
  <c r="AJ286" i="15"/>
  <c r="AK286" i="15"/>
  <c r="AL286" i="15"/>
  <c r="AM286" i="15"/>
  <c r="AN286" i="15"/>
  <c r="AO286" i="15"/>
  <c r="K287" i="15"/>
  <c r="E287" i="15" s="1"/>
  <c r="L287" i="15"/>
  <c r="N287" i="15"/>
  <c r="O287" i="15"/>
  <c r="P287" i="15"/>
  <c r="Q287" i="15"/>
  <c r="R287" i="15"/>
  <c r="S287" i="15"/>
  <c r="T287" i="15"/>
  <c r="U287" i="15"/>
  <c r="V287" i="15"/>
  <c r="W287" i="15"/>
  <c r="X287" i="15" s="1"/>
  <c r="Y287" i="15"/>
  <c r="Z287" i="15"/>
  <c r="AA287" i="15"/>
  <c r="AB287" i="15"/>
  <c r="AC287" i="15"/>
  <c r="AD287" i="15"/>
  <c r="AE287" i="15"/>
  <c r="AF287" i="15"/>
  <c r="AG287" i="15"/>
  <c r="AH287" i="15"/>
  <c r="AI287" i="15" s="1"/>
  <c r="AJ287" i="15"/>
  <c r="AK287" i="15"/>
  <c r="AL287" i="15"/>
  <c r="AM287" i="15"/>
  <c r="AN287" i="15"/>
  <c r="AO287" i="15"/>
  <c r="K288" i="15"/>
  <c r="L288" i="15"/>
  <c r="N288" i="15"/>
  <c r="O288" i="15"/>
  <c r="P288" i="15"/>
  <c r="Q288" i="15"/>
  <c r="R288" i="15"/>
  <c r="S288" i="15"/>
  <c r="T288" i="15"/>
  <c r="U288" i="15"/>
  <c r="V288" i="15"/>
  <c r="W288" i="15"/>
  <c r="X288" i="15" s="1"/>
  <c r="Y288" i="15"/>
  <c r="Z288" i="15"/>
  <c r="AA288" i="15"/>
  <c r="AB288" i="15"/>
  <c r="AC288" i="15"/>
  <c r="AD288" i="15"/>
  <c r="AE288" i="15"/>
  <c r="AF288" i="15"/>
  <c r="AG288" i="15"/>
  <c r="AH288" i="15"/>
  <c r="AI288" i="15" s="1"/>
  <c r="AJ288" i="15"/>
  <c r="AK288" i="15"/>
  <c r="AL288" i="15"/>
  <c r="AM288" i="15"/>
  <c r="AN288" i="15"/>
  <c r="AO288" i="15"/>
  <c r="K289" i="15"/>
  <c r="C289" i="15" s="1"/>
  <c r="L289" i="15"/>
  <c r="N289" i="15"/>
  <c r="O289" i="15"/>
  <c r="P289" i="15"/>
  <c r="Q289" i="15"/>
  <c r="R289" i="15"/>
  <c r="S289" i="15"/>
  <c r="T289" i="15"/>
  <c r="U289" i="15"/>
  <c r="V289" i="15"/>
  <c r="W289" i="15"/>
  <c r="X289" i="15" s="1"/>
  <c r="Y289" i="15"/>
  <c r="Z289" i="15"/>
  <c r="AA289" i="15"/>
  <c r="AB289" i="15"/>
  <c r="AC289" i="15"/>
  <c r="AD289" i="15"/>
  <c r="AE289" i="15"/>
  <c r="AF289" i="15"/>
  <c r="AG289" i="15"/>
  <c r="AH289" i="15"/>
  <c r="AI289" i="15" s="1"/>
  <c r="AJ289" i="15"/>
  <c r="AK289" i="15"/>
  <c r="AL289" i="15"/>
  <c r="AM289" i="15"/>
  <c r="AN289" i="15"/>
  <c r="AO289" i="15"/>
  <c r="K290" i="15"/>
  <c r="L290" i="15"/>
  <c r="N290" i="15"/>
  <c r="O290" i="15"/>
  <c r="P290" i="15"/>
  <c r="Q290" i="15"/>
  <c r="R290" i="15"/>
  <c r="S290" i="15"/>
  <c r="T290" i="15"/>
  <c r="U290" i="15"/>
  <c r="V290" i="15"/>
  <c r="W290" i="15"/>
  <c r="X290" i="15" s="1"/>
  <c r="Y290" i="15"/>
  <c r="Z290" i="15"/>
  <c r="AA290" i="15"/>
  <c r="AB290" i="15"/>
  <c r="AC290" i="15"/>
  <c r="AD290" i="15"/>
  <c r="AE290" i="15"/>
  <c r="AF290" i="15"/>
  <c r="AG290" i="15"/>
  <c r="AH290" i="15"/>
  <c r="AI290" i="15" s="1"/>
  <c r="AJ290" i="15"/>
  <c r="AK290" i="15"/>
  <c r="AL290" i="15"/>
  <c r="AM290" i="15"/>
  <c r="AN290" i="15"/>
  <c r="AO290" i="15"/>
  <c r="K291" i="15"/>
  <c r="L291" i="15"/>
  <c r="N291" i="15"/>
  <c r="O291" i="15"/>
  <c r="P291" i="15"/>
  <c r="Q291" i="15"/>
  <c r="R291" i="15"/>
  <c r="S291" i="15"/>
  <c r="T291" i="15"/>
  <c r="U291" i="15"/>
  <c r="V291" i="15"/>
  <c r="W291" i="15"/>
  <c r="X291" i="15" s="1"/>
  <c r="Y291" i="15"/>
  <c r="Z291" i="15"/>
  <c r="AA291" i="15"/>
  <c r="AB291" i="15"/>
  <c r="AC291" i="15"/>
  <c r="AD291" i="15"/>
  <c r="AE291" i="15"/>
  <c r="AF291" i="15"/>
  <c r="AG291" i="15"/>
  <c r="AH291" i="15"/>
  <c r="AI291" i="15" s="1"/>
  <c r="AJ291" i="15"/>
  <c r="AK291" i="15"/>
  <c r="AL291" i="15"/>
  <c r="AM291" i="15"/>
  <c r="AN291" i="15"/>
  <c r="AO291" i="15"/>
  <c r="K292" i="15"/>
  <c r="F292" i="15" s="1"/>
  <c r="L292" i="15"/>
  <c r="N292" i="15"/>
  <c r="O292" i="15"/>
  <c r="P292" i="15"/>
  <c r="Q292" i="15"/>
  <c r="R292" i="15"/>
  <c r="S292" i="15"/>
  <c r="T292" i="15"/>
  <c r="U292" i="15"/>
  <c r="V292" i="15"/>
  <c r="W292" i="15"/>
  <c r="X292" i="15" s="1"/>
  <c r="Y292" i="15"/>
  <c r="Z292" i="15"/>
  <c r="AA292" i="15"/>
  <c r="AB292" i="15"/>
  <c r="AC292" i="15"/>
  <c r="AD292" i="15"/>
  <c r="AE292" i="15"/>
  <c r="AF292" i="15"/>
  <c r="AG292" i="15"/>
  <c r="AH292" i="15"/>
  <c r="AI292" i="15" s="1"/>
  <c r="AJ292" i="15"/>
  <c r="AK292" i="15"/>
  <c r="AL292" i="15"/>
  <c r="AM292" i="15"/>
  <c r="AN292" i="15"/>
  <c r="AO292" i="15"/>
  <c r="K293" i="15"/>
  <c r="A293" i="15" s="1"/>
  <c r="L293" i="15"/>
  <c r="N293" i="15"/>
  <c r="O293" i="15"/>
  <c r="P293" i="15"/>
  <c r="Q293" i="15"/>
  <c r="R293" i="15"/>
  <c r="S293" i="15"/>
  <c r="T293" i="15"/>
  <c r="U293" i="15"/>
  <c r="V293" i="15"/>
  <c r="W293" i="15"/>
  <c r="X293" i="15" s="1"/>
  <c r="Y293" i="15"/>
  <c r="Z293" i="15"/>
  <c r="AA293" i="15"/>
  <c r="AB293" i="15"/>
  <c r="AC293" i="15"/>
  <c r="AD293" i="15"/>
  <c r="AE293" i="15"/>
  <c r="AF293" i="15"/>
  <c r="AG293" i="15"/>
  <c r="AH293" i="15"/>
  <c r="AI293" i="15" s="1"/>
  <c r="AJ293" i="15"/>
  <c r="AK293" i="15"/>
  <c r="AL293" i="15"/>
  <c r="AM293" i="15"/>
  <c r="AN293" i="15"/>
  <c r="AO293" i="15"/>
  <c r="K294" i="15"/>
  <c r="D294" i="15" s="1"/>
  <c r="L294" i="15"/>
  <c r="N294" i="15"/>
  <c r="O294" i="15"/>
  <c r="P294" i="15"/>
  <c r="Q294" i="15"/>
  <c r="R294" i="15"/>
  <c r="S294" i="15"/>
  <c r="T294" i="15"/>
  <c r="U294" i="15"/>
  <c r="V294" i="15"/>
  <c r="W294" i="15"/>
  <c r="X294" i="15" s="1"/>
  <c r="Y294" i="15"/>
  <c r="Z294" i="15"/>
  <c r="AA294" i="15"/>
  <c r="AB294" i="15"/>
  <c r="AC294" i="15"/>
  <c r="AD294" i="15"/>
  <c r="AE294" i="15"/>
  <c r="AF294" i="15"/>
  <c r="AG294" i="15"/>
  <c r="AH294" i="15"/>
  <c r="AI294" i="15" s="1"/>
  <c r="AJ294" i="15"/>
  <c r="AK294" i="15"/>
  <c r="AL294" i="15"/>
  <c r="AM294" i="15"/>
  <c r="AN294" i="15"/>
  <c r="AO294" i="15"/>
  <c r="K295" i="15"/>
  <c r="L295" i="15"/>
  <c r="N295" i="15"/>
  <c r="O295" i="15"/>
  <c r="P295" i="15"/>
  <c r="Q295" i="15"/>
  <c r="R295" i="15"/>
  <c r="S295" i="15"/>
  <c r="T295" i="15"/>
  <c r="U295" i="15"/>
  <c r="V295" i="15"/>
  <c r="W295" i="15"/>
  <c r="X295" i="15" s="1"/>
  <c r="Y295" i="15"/>
  <c r="Z295" i="15"/>
  <c r="AA295" i="15"/>
  <c r="AB295" i="15"/>
  <c r="AC295" i="15"/>
  <c r="AD295" i="15"/>
  <c r="AE295" i="15"/>
  <c r="AF295" i="15"/>
  <c r="AG295" i="15"/>
  <c r="AH295" i="15"/>
  <c r="AI295" i="15" s="1"/>
  <c r="AJ295" i="15"/>
  <c r="AK295" i="15"/>
  <c r="AL295" i="15"/>
  <c r="AM295" i="15"/>
  <c r="AN295" i="15"/>
  <c r="AO295" i="15"/>
  <c r="K296" i="15"/>
  <c r="L296" i="15"/>
  <c r="N296" i="15"/>
  <c r="O296" i="15"/>
  <c r="P296" i="15"/>
  <c r="Q296" i="15"/>
  <c r="R296" i="15"/>
  <c r="S296" i="15"/>
  <c r="T296" i="15"/>
  <c r="U296" i="15"/>
  <c r="V296" i="15"/>
  <c r="W296" i="15"/>
  <c r="X296" i="15" s="1"/>
  <c r="Y296" i="15"/>
  <c r="Z296" i="15"/>
  <c r="AA296" i="15"/>
  <c r="AB296" i="15"/>
  <c r="AC296" i="15"/>
  <c r="AD296" i="15"/>
  <c r="AE296" i="15"/>
  <c r="AF296" i="15"/>
  <c r="AG296" i="15"/>
  <c r="AH296" i="15"/>
  <c r="AI296" i="15" s="1"/>
  <c r="AJ296" i="15"/>
  <c r="AK296" i="15"/>
  <c r="AL296" i="15"/>
  <c r="AM296" i="15"/>
  <c r="AN296" i="15"/>
  <c r="AO296" i="15"/>
  <c r="K297" i="15"/>
  <c r="G297" i="15" s="1"/>
  <c r="L297" i="15"/>
  <c r="N297" i="15"/>
  <c r="O297" i="15"/>
  <c r="P297" i="15"/>
  <c r="Q297" i="15"/>
  <c r="R297" i="15"/>
  <c r="S297" i="15"/>
  <c r="T297" i="15"/>
  <c r="U297" i="15"/>
  <c r="V297" i="15"/>
  <c r="W297" i="15"/>
  <c r="X297" i="15" s="1"/>
  <c r="Y297" i="15"/>
  <c r="Z297" i="15"/>
  <c r="AA297" i="15"/>
  <c r="AB297" i="15"/>
  <c r="AC297" i="15"/>
  <c r="AD297" i="15"/>
  <c r="AE297" i="15"/>
  <c r="AF297" i="15"/>
  <c r="AG297" i="15"/>
  <c r="AH297" i="15"/>
  <c r="AI297" i="15" s="1"/>
  <c r="AJ297" i="15"/>
  <c r="AK297" i="15"/>
  <c r="AL297" i="15"/>
  <c r="AM297" i="15"/>
  <c r="AN297" i="15"/>
  <c r="AO297" i="15"/>
  <c r="K298" i="15"/>
  <c r="L298" i="15"/>
  <c r="N298" i="15"/>
  <c r="O298" i="15"/>
  <c r="P298" i="15"/>
  <c r="Q298" i="15"/>
  <c r="R298" i="15"/>
  <c r="S298" i="15"/>
  <c r="T298" i="15"/>
  <c r="U298" i="15"/>
  <c r="V298" i="15"/>
  <c r="W298" i="15"/>
  <c r="X298" i="15" s="1"/>
  <c r="Y298" i="15"/>
  <c r="Z298" i="15"/>
  <c r="AA298" i="15"/>
  <c r="AB298" i="15"/>
  <c r="AC298" i="15"/>
  <c r="AD298" i="15"/>
  <c r="AE298" i="15"/>
  <c r="AF298" i="15"/>
  <c r="AG298" i="15"/>
  <c r="AH298" i="15"/>
  <c r="AI298" i="15" s="1"/>
  <c r="AJ298" i="15"/>
  <c r="AK298" i="15"/>
  <c r="AL298" i="15"/>
  <c r="AM298" i="15"/>
  <c r="AN298" i="15"/>
  <c r="AO298" i="15"/>
  <c r="K299" i="15"/>
  <c r="E299" i="15" s="1"/>
  <c r="L299" i="15"/>
  <c r="N299" i="15"/>
  <c r="O299" i="15"/>
  <c r="P299" i="15"/>
  <c r="Q299" i="15"/>
  <c r="R299" i="15"/>
  <c r="S299" i="15"/>
  <c r="T299" i="15"/>
  <c r="U299" i="15"/>
  <c r="V299" i="15"/>
  <c r="W299" i="15"/>
  <c r="X299" i="15" s="1"/>
  <c r="Y299" i="15"/>
  <c r="Z299" i="15"/>
  <c r="AA299" i="15"/>
  <c r="AB299" i="15"/>
  <c r="AC299" i="15"/>
  <c r="AD299" i="15"/>
  <c r="AE299" i="15"/>
  <c r="AF299" i="15"/>
  <c r="AG299" i="15"/>
  <c r="AH299" i="15"/>
  <c r="AI299" i="15" s="1"/>
  <c r="AJ299" i="15"/>
  <c r="AK299" i="15"/>
  <c r="AL299" i="15"/>
  <c r="AM299" i="15"/>
  <c r="AN299" i="15"/>
  <c r="AO299" i="15"/>
  <c r="K300" i="15"/>
  <c r="C300" i="15" s="1"/>
  <c r="L300" i="15"/>
  <c r="N300" i="15"/>
  <c r="O300" i="15"/>
  <c r="P300" i="15"/>
  <c r="Q300" i="15"/>
  <c r="R300" i="15"/>
  <c r="S300" i="15"/>
  <c r="T300" i="15"/>
  <c r="U300" i="15"/>
  <c r="V300" i="15"/>
  <c r="W300" i="15"/>
  <c r="X300" i="15" s="1"/>
  <c r="Y300" i="15"/>
  <c r="Z300" i="15"/>
  <c r="AA300" i="15"/>
  <c r="AB300" i="15"/>
  <c r="AC300" i="15"/>
  <c r="AD300" i="15"/>
  <c r="AE300" i="15"/>
  <c r="AF300" i="15"/>
  <c r="AG300" i="15"/>
  <c r="AH300" i="15"/>
  <c r="AI300" i="15" s="1"/>
  <c r="AJ300" i="15"/>
  <c r="AK300" i="15"/>
  <c r="AL300" i="15"/>
  <c r="AM300" i="15"/>
  <c r="AN300" i="15"/>
  <c r="AO300" i="15"/>
  <c r="K301" i="15"/>
  <c r="C301" i="15" s="1"/>
  <c r="L301" i="15"/>
  <c r="N301" i="15"/>
  <c r="O301" i="15"/>
  <c r="P301" i="15"/>
  <c r="Q301" i="15"/>
  <c r="R301" i="15"/>
  <c r="S301" i="15"/>
  <c r="T301" i="15"/>
  <c r="U301" i="15"/>
  <c r="V301" i="15"/>
  <c r="W301" i="15"/>
  <c r="X301" i="15" s="1"/>
  <c r="Y301" i="15"/>
  <c r="Z301" i="15"/>
  <c r="AA301" i="15"/>
  <c r="AB301" i="15"/>
  <c r="AC301" i="15"/>
  <c r="AD301" i="15"/>
  <c r="AE301" i="15"/>
  <c r="AF301" i="15"/>
  <c r="AG301" i="15"/>
  <c r="AH301" i="15"/>
  <c r="AI301" i="15" s="1"/>
  <c r="AJ301" i="15"/>
  <c r="AK301" i="15"/>
  <c r="AL301" i="15"/>
  <c r="AM301" i="15"/>
  <c r="AN301" i="15"/>
  <c r="AO301" i="15"/>
  <c r="K302" i="15"/>
  <c r="H302" i="15" s="1"/>
  <c r="L302" i="15"/>
  <c r="N302" i="15"/>
  <c r="O302" i="15"/>
  <c r="P302" i="15"/>
  <c r="Q302" i="15"/>
  <c r="R302" i="15"/>
  <c r="S302" i="15"/>
  <c r="T302" i="15"/>
  <c r="U302" i="15"/>
  <c r="V302" i="15"/>
  <c r="W302" i="15"/>
  <c r="X302" i="15" s="1"/>
  <c r="Y302" i="15"/>
  <c r="Z302" i="15"/>
  <c r="AA302" i="15"/>
  <c r="AB302" i="15"/>
  <c r="AC302" i="15"/>
  <c r="AD302" i="15"/>
  <c r="AE302" i="15"/>
  <c r="AF302" i="15"/>
  <c r="AG302" i="15"/>
  <c r="AH302" i="15"/>
  <c r="AI302" i="15" s="1"/>
  <c r="AJ302" i="15"/>
  <c r="AK302" i="15"/>
  <c r="AL302" i="15"/>
  <c r="AM302" i="15"/>
  <c r="AN302" i="15"/>
  <c r="AO302" i="15"/>
  <c r="K303" i="15"/>
  <c r="AP303" i="15" s="1"/>
  <c r="L303" i="15"/>
  <c r="N303" i="15"/>
  <c r="O303" i="15"/>
  <c r="P303" i="15"/>
  <c r="Q303" i="15"/>
  <c r="R303" i="15"/>
  <c r="S303" i="15"/>
  <c r="T303" i="15"/>
  <c r="U303" i="15"/>
  <c r="V303" i="15"/>
  <c r="W303" i="15"/>
  <c r="X303" i="15" s="1"/>
  <c r="Y303" i="15"/>
  <c r="Z303" i="15"/>
  <c r="AA303" i="15"/>
  <c r="AB303" i="15"/>
  <c r="AC303" i="15"/>
  <c r="AD303" i="15"/>
  <c r="AE303" i="15"/>
  <c r="AF303" i="15"/>
  <c r="AG303" i="15"/>
  <c r="AH303" i="15"/>
  <c r="AI303" i="15" s="1"/>
  <c r="AJ303" i="15"/>
  <c r="AK303" i="15"/>
  <c r="AL303" i="15"/>
  <c r="AM303" i="15"/>
  <c r="AN303" i="15"/>
  <c r="AO303" i="15"/>
  <c r="K304" i="15"/>
  <c r="M304" i="15" s="1"/>
  <c r="L304" i="15"/>
  <c r="N304" i="15"/>
  <c r="O304" i="15"/>
  <c r="P304" i="15"/>
  <c r="Q304" i="15"/>
  <c r="R304" i="15"/>
  <c r="S304" i="15"/>
  <c r="T304" i="15"/>
  <c r="U304" i="15"/>
  <c r="V304" i="15"/>
  <c r="W304" i="15"/>
  <c r="X304" i="15" s="1"/>
  <c r="Y304" i="15"/>
  <c r="Z304" i="15"/>
  <c r="AA304" i="15"/>
  <c r="AB304" i="15"/>
  <c r="AC304" i="15"/>
  <c r="AD304" i="15"/>
  <c r="AE304" i="15"/>
  <c r="AF304" i="15"/>
  <c r="AG304" i="15"/>
  <c r="AH304" i="15"/>
  <c r="AI304" i="15" s="1"/>
  <c r="AJ304" i="15"/>
  <c r="AK304" i="15"/>
  <c r="AL304" i="15"/>
  <c r="AM304" i="15"/>
  <c r="AN304" i="15"/>
  <c r="AO304" i="15"/>
  <c r="K305" i="15"/>
  <c r="B305" i="15" s="1"/>
  <c r="L305" i="15"/>
  <c r="N305" i="15"/>
  <c r="O305" i="15"/>
  <c r="P305" i="15"/>
  <c r="Q305" i="15"/>
  <c r="R305" i="15"/>
  <c r="S305" i="15"/>
  <c r="T305" i="15"/>
  <c r="U305" i="15"/>
  <c r="V305" i="15"/>
  <c r="W305" i="15"/>
  <c r="X305" i="15" s="1"/>
  <c r="Y305" i="15"/>
  <c r="Z305" i="15"/>
  <c r="AA305" i="15"/>
  <c r="AB305" i="15"/>
  <c r="AC305" i="15"/>
  <c r="AD305" i="15"/>
  <c r="AE305" i="15"/>
  <c r="AF305" i="15"/>
  <c r="AG305" i="15"/>
  <c r="AH305" i="15"/>
  <c r="AI305" i="15" s="1"/>
  <c r="AJ305" i="15"/>
  <c r="AK305" i="15"/>
  <c r="AL305" i="15"/>
  <c r="AM305" i="15"/>
  <c r="AN305" i="15"/>
  <c r="AO305" i="15"/>
  <c r="K306" i="15"/>
  <c r="M306" i="15" s="1"/>
  <c r="L306" i="15"/>
  <c r="N306" i="15"/>
  <c r="O306" i="15"/>
  <c r="P306" i="15"/>
  <c r="Q306" i="15"/>
  <c r="R306" i="15"/>
  <c r="S306" i="15"/>
  <c r="T306" i="15"/>
  <c r="U306" i="15"/>
  <c r="V306" i="15"/>
  <c r="W306" i="15"/>
  <c r="X306" i="15" s="1"/>
  <c r="Y306" i="15"/>
  <c r="Z306" i="15"/>
  <c r="AA306" i="15"/>
  <c r="AB306" i="15"/>
  <c r="AC306" i="15"/>
  <c r="AD306" i="15"/>
  <c r="AE306" i="15"/>
  <c r="AF306" i="15"/>
  <c r="AG306" i="15"/>
  <c r="AH306" i="15"/>
  <c r="AI306" i="15" s="1"/>
  <c r="AJ306" i="15"/>
  <c r="AK306" i="15"/>
  <c r="AL306" i="15"/>
  <c r="AM306" i="15"/>
  <c r="AN306" i="15"/>
  <c r="AO306" i="15"/>
  <c r="K307" i="15"/>
  <c r="L307" i="15"/>
  <c r="N307" i="15"/>
  <c r="O307" i="15"/>
  <c r="P307" i="15"/>
  <c r="Q307" i="15"/>
  <c r="R307" i="15"/>
  <c r="S307" i="15"/>
  <c r="T307" i="15"/>
  <c r="U307" i="15"/>
  <c r="V307" i="15"/>
  <c r="W307" i="15"/>
  <c r="X307" i="15" s="1"/>
  <c r="Y307" i="15"/>
  <c r="Z307" i="15"/>
  <c r="AA307" i="15"/>
  <c r="AB307" i="15"/>
  <c r="AC307" i="15"/>
  <c r="AD307" i="15"/>
  <c r="AE307" i="15"/>
  <c r="AF307" i="15"/>
  <c r="AG307" i="15"/>
  <c r="AH307" i="15"/>
  <c r="AI307" i="15" s="1"/>
  <c r="AJ307" i="15"/>
  <c r="AK307" i="15"/>
  <c r="AL307" i="15"/>
  <c r="AM307" i="15"/>
  <c r="AN307" i="15"/>
  <c r="AO307" i="15"/>
  <c r="K308" i="15"/>
  <c r="L308" i="15"/>
  <c r="N308" i="15"/>
  <c r="O308" i="15"/>
  <c r="P308" i="15"/>
  <c r="Q308" i="15"/>
  <c r="R308" i="15"/>
  <c r="S308" i="15"/>
  <c r="T308" i="15"/>
  <c r="U308" i="15"/>
  <c r="V308" i="15"/>
  <c r="W308" i="15"/>
  <c r="X308" i="15" s="1"/>
  <c r="Y308" i="15"/>
  <c r="Z308" i="15"/>
  <c r="AA308" i="15"/>
  <c r="AB308" i="15"/>
  <c r="AC308" i="15"/>
  <c r="AD308" i="15"/>
  <c r="AE308" i="15"/>
  <c r="AF308" i="15"/>
  <c r="AG308" i="15"/>
  <c r="AH308" i="15"/>
  <c r="AI308" i="15" s="1"/>
  <c r="AJ308" i="15"/>
  <c r="AK308" i="15"/>
  <c r="AL308" i="15"/>
  <c r="AM308" i="15"/>
  <c r="AN308" i="15"/>
  <c r="AO308" i="15"/>
  <c r="K309" i="15"/>
  <c r="F309" i="15" s="1"/>
  <c r="L309" i="15"/>
  <c r="N309" i="15"/>
  <c r="O309" i="15"/>
  <c r="P309" i="15"/>
  <c r="Q309" i="15"/>
  <c r="R309" i="15"/>
  <c r="S309" i="15"/>
  <c r="T309" i="15"/>
  <c r="U309" i="15"/>
  <c r="V309" i="15"/>
  <c r="W309" i="15"/>
  <c r="X309" i="15" s="1"/>
  <c r="Y309" i="15"/>
  <c r="Z309" i="15"/>
  <c r="AA309" i="15"/>
  <c r="AB309" i="15"/>
  <c r="AC309" i="15"/>
  <c r="AD309" i="15"/>
  <c r="AE309" i="15"/>
  <c r="AF309" i="15"/>
  <c r="AG309" i="15"/>
  <c r="AH309" i="15"/>
  <c r="AI309" i="15" s="1"/>
  <c r="AJ309" i="15"/>
  <c r="AK309" i="15"/>
  <c r="AL309" i="15"/>
  <c r="AM309" i="15"/>
  <c r="AN309" i="15"/>
  <c r="AO309" i="15"/>
  <c r="K310" i="15"/>
  <c r="G310" i="15" s="1"/>
  <c r="L310" i="15"/>
  <c r="N310" i="15"/>
  <c r="O310" i="15"/>
  <c r="P310" i="15"/>
  <c r="Q310" i="15"/>
  <c r="R310" i="15"/>
  <c r="S310" i="15"/>
  <c r="T310" i="15"/>
  <c r="U310" i="15"/>
  <c r="V310" i="15"/>
  <c r="W310" i="15"/>
  <c r="X310" i="15" s="1"/>
  <c r="Y310" i="15"/>
  <c r="Z310" i="15"/>
  <c r="AA310" i="15"/>
  <c r="AB310" i="15"/>
  <c r="AC310" i="15"/>
  <c r="AD310" i="15"/>
  <c r="AE310" i="15"/>
  <c r="AF310" i="15"/>
  <c r="AG310" i="15"/>
  <c r="AH310" i="15"/>
  <c r="AI310" i="15" s="1"/>
  <c r="AJ310" i="15"/>
  <c r="AK310" i="15"/>
  <c r="AL310" i="15"/>
  <c r="AM310" i="15"/>
  <c r="AN310" i="15"/>
  <c r="AO310" i="15"/>
  <c r="K311" i="15"/>
  <c r="E311" i="15" s="1"/>
  <c r="L311" i="15"/>
  <c r="N311" i="15"/>
  <c r="O311" i="15"/>
  <c r="P311" i="15"/>
  <c r="Q311" i="15"/>
  <c r="R311" i="15"/>
  <c r="S311" i="15"/>
  <c r="T311" i="15"/>
  <c r="U311" i="15"/>
  <c r="V311" i="15"/>
  <c r="W311" i="15"/>
  <c r="X311" i="15" s="1"/>
  <c r="Y311" i="15"/>
  <c r="Z311" i="15"/>
  <c r="AA311" i="15"/>
  <c r="AB311" i="15"/>
  <c r="AC311" i="15"/>
  <c r="AD311" i="15"/>
  <c r="AE311" i="15"/>
  <c r="AF311" i="15"/>
  <c r="AG311" i="15"/>
  <c r="AH311" i="15"/>
  <c r="AI311" i="15" s="1"/>
  <c r="AJ311" i="15"/>
  <c r="AK311" i="15"/>
  <c r="AL311" i="15"/>
  <c r="AM311" i="15"/>
  <c r="AN311" i="15"/>
  <c r="AO311" i="15"/>
  <c r="K312" i="15"/>
  <c r="H312" i="15" s="1"/>
  <c r="L312" i="15"/>
  <c r="N312" i="15"/>
  <c r="O312" i="15"/>
  <c r="P312" i="15"/>
  <c r="Q312" i="15"/>
  <c r="R312" i="15"/>
  <c r="S312" i="15"/>
  <c r="T312" i="15"/>
  <c r="U312" i="15"/>
  <c r="V312" i="15"/>
  <c r="W312" i="15"/>
  <c r="X312" i="15" s="1"/>
  <c r="Y312" i="15"/>
  <c r="Z312" i="15"/>
  <c r="AA312" i="15"/>
  <c r="AB312" i="15"/>
  <c r="AC312" i="15"/>
  <c r="AD312" i="15"/>
  <c r="AE312" i="15"/>
  <c r="AF312" i="15"/>
  <c r="AG312" i="15"/>
  <c r="AH312" i="15"/>
  <c r="AI312" i="15" s="1"/>
  <c r="AJ312" i="15"/>
  <c r="AK312" i="15"/>
  <c r="AL312" i="15"/>
  <c r="AM312" i="15"/>
  <c r="AN312" i="15"/>
  <c r="AO312" i="15"/>
  <c r="K313" i="15"/>
  <c r="A313" i="15" s="1"/>
  <c r="L313" i="15"/>
  <c r="N313" i="15"/>
  <c r="O313" i="15"/>
  <c r="P313" i="15"/>
  <c r="Q313" i="15"/>
  <c r="R313" i="15"/>
  <c r="S313" i="15"/>
  <c r="T313" i="15"/>
  <c r="U313" i="15"/>
  <c r="V313" i="15"/>
  <c r="W313" i="15"/>
  <c r="X313" i="15" s="1"/>
  <c r="Y313" i="15"/>
  <c r="Z313" i="15"/>
  <c r="AA313" i="15"/>
  <c r="AB313" i="15"/>
  <c r="AC313" i="15"/>
  <c r="AD313" i="15"/>
  <c r="AE313" i="15"/>
  <c r="AF313" i="15"/>
  <c r="AG313" i="15"/>
  <c r="AH313" i="15"/>
  <c r="AI313" i="15" s="1"/>
  <c r="AJ313" i="15"/>
  <c r="AK313" i="15"/>
  <c r="AL313" i="15"/>
  <c r="AM313" i="15"/>
  <c r="AN313" i="15"/>
  <c r="AO313" i="15"/>
  <c r="K314" i="15"/>
  <c r="AP314" i="15" s="1"/>
  <c r="L314" i="15"/>
  <c r="N314" i="15"/>
  <c r="O314" i="15"/>
  <c r="P314" i="15"/>
  <c r="Q314" i="15"/>
  <c r="R314" i="15"/>
  <c r="S314" i="15"/>
  <c r="T314" i="15"/>
  <c r="U314" i="15"/>
  <c r="V314" i="15"/>
  <c r="W314" i="15"/>
  <c r="X314" i="15" s="1"/>
  <c r="Y314" i="15"/>
  <c r="Z314" i="15"/>
  <c r="AA314" i="15"/>
  <c r="AB314" i="15"/>
  <c r="AC314" i="15"/>
  <c r="AD314" i="15"/>
  <c r="AE314" i="15"/>
  <c r="AF314" i="15"/>
  <c r="AG314" i="15"/>
  <c r="AH314" i="15"/>
  <c r="AI314" i="15" s="1"/>
  <c r="AJ314" i="15"/>
  <c r="AK314" i="15"/>
  <c r="AL314" i="15"/>
  <c r="AM314" i="15"/>
  <c r="AN314" i="15"/>
  <c r="AO314" i="15"/>
  <c r="K315" i="15"/>
  <c r="AP315" i="15" s="1"/>
  <c r="L315" i="15"/>
  <c r="N315" i="15"/>
  <c r="O315" i="15"/>
  <c r="P315" i="15"/>
  <c r="Q315" i="15"/>
  <c r="R315" i="15"/>
  <c r="S315" i="15"/>
  <c r="T315" i="15"/>
  <c r="U315" i="15"/>
  <c r="V315" i="15"/>
  <c r="W315" i="15"/>
  <c r="X315" i="15" s="1"/>
  <c r="Y315" i="15"/>
  <c r="Z315" i="15"/>
  <c r="AA315" i="15"/>
  <c r="AB315" i="15"/>
  <c r="AC315" i="15"/>
  <c r="AD315" i="15"/>
  <c r="AE315" i="15"/>
  <c r="AF315" i="15"/>
  <c r="AG315" i="15"/>
  <c r="AH315" i="15"/>
  <c r="AI315" i="15" s="1"/>
  <c r="AJ315" i="15"/>
  <c r="AK315" i="15"/>
  <c r="AL315" i="15"/>
  <c r="AM315" i="15"/>
  <c r="AN315" i="15"/>
  <c r="AO315" i="15"/>
  <c r="K316" i="15"/>
  <c r="M316" i="15" s="1"/>
  <c r="L316" i="15"/>
  <c r="N316" i="15"/>
  <c r="O316" i="15"/>
  <c r="P316" i="15"/>
  <c r="Q316" i="15"/>
  <c r="R316" i="15"/>
  <c r="S316" i="15"/>
  <c r="T316" i="15"/>
  <c r="U316" i="15"/>
  <c r="V316" i="15"/>
  <c r="W316" i="15"/>
  <c r="X316" i="15" s="1"/>
  <c r="Y316" i="15"/>
  <c r="Z316" i="15"/>
  <c r="AA316" i="15"/>
  <c r="AB316" i="15"/>
  <c r="AC316" i="15"/>
  <c r="AD316" i="15"/>
  <c r="AE316" i="15"/>
  <c r="AF316" i="15"/>
  <c r="AG316" i="15"/>
  <c r="AH316" i="15"/>
  <c r="AI316" i="15" s="1"/>
  <c r="AJ316" i="15"/>
  <c r="AK316" i="15"/>
  <c r="AL316" i="15"/>
  <c r="AM316" i="15"/>
  <c r="AN316" i="15"/>
  <c r="AO316" i="15"/>
  <c r="K317" i="15"/>
  <c r="A317" i="15" s="1"/>
  <c r="L317" i="15"/>
  <c r="N317" i="15"/>
  <c r="O317" i="15"/>
  <c r="P317" i="15"/>
  <c r="Q317" i="15"/>
  <c r="R317" i="15"/>
  <c r="S317" i="15"/>
  <c r="T317" i="15"/>
  <c r="U317" i="15"/>
  <c r="V317" i="15"/>
  <c r="W317" i="15"/>
  <c r="X317" i="15" s="1"/>
  <c r="Y317" i="15"/>
  <c r="Z317" i="15"/>
  <c r="AA317" i="15"/>
  <c r="AB317" i="15"/>
  <c r="AC317" i="15"/>
  <c r="AD317" i="15"/>
  <c r="AE317" i="15"/>
  <c r="AF317" i="15"/>
  <c r="AG317" i="15"/>
  <c r="AH317" i="15"/>
  <c r="AI317" i="15" s="1"/>
  <c r="AJ317" i="15"/>
  <c r="AK317" i="15"/>
  <c r="AL317" i="15"/>
  <c r="AM317" i="15"/>
  <c r="AN317" i="15"/>
  <c r="AO317" i="15"/>
  <c r="K318" i="15"/>
  <c r="A318" i="15" s="1"/>
  <c r="L318" i="15"/>
  <c r="N318" i="15"/>
  <c r="O318" i="15"/>
  <c r="P318" i="15"/>
  <c r="Q318" i="15"/>
  <c r="R318" i="15"/>
  <c r="S318" i="15"/>
  <c r="T318" i="15"/>
  <c r="U318" i="15"/>
  <c r="V318" i="15"/>
  <c r="W318" i="15"/>
  <c r="X318" i="15" s="1"/>
  <c r="Y318" i="15"/>
  <c r="Z318" i="15"/>
  <c r="AA318" i="15"/>
  <c r="AB318" i="15"/>
  <c r="AC318" i="15"/>
  <c r="AD318" i="15"/>
  <c r="AE318" i="15"/>
  <c r="AF318" i="15"/>
  <c r="AG318" i="15"/>
  <c r="AH318" i="15"/>
  <c r="AI318" i="15" s="1"/>
  <c r="AJ318" i="15"/>
  <c r="AK318" i="15"/>
  <c r="AL318" i="15"/>
  <c r="AM318" i="15"/>
  <c r="AN318" i="15"/>
  <c r="AO318" i="15"/>
  <c r="K319" i="15"/>
  <c r="D319" i="15" s="1"/>
  <c r="L319" i="15"/>
  <c r="N319" i="15"/>
  <c r="O319" i="15"/>
  <c r="P319" i="15"/>
  <c r="Q319" i="15"/>
  <c r="R319" i="15"/>
  <c r="S319" i="15"/>
  <c r="T319" i="15"/>
  <c r="U319" i="15"/>
  <c r="V319" i="15"/>
  <c r="W319" i="15"/>
  <c r="X319" i="15" s="1"/>
  <c r="Y319" i="15"/>
  <c r="Z319" i="15"/>
  <c r="AA319" i="15"/>
  <c r="AB319" i="15"/>
  <c r="AC319" i="15"/>
  <c r="AD319" i="15"/>
  <c r="AE319" i="15"/>
  <c r="AF319" i="15"/>
  <c r="AG319" i="15"/>
  <c r="AH319" i="15"/>
  <c r="AI319" i="15" s="1"/>
  <c r="AJ319" i="15"/>
  <c r="AK319" i="15"/>
  <c r="AL319" i="15"/>
  <c r="AM319" i="15"/>
  <c r="AN319" i="15"/>
  <c r="AO319" i="15"/>
  <c r="K320" i="15"/>
  <c r="L320" i="15"/>
  <c r="N320" i="15"/>
  <c r="O320" i="15"/>
  <c r="P320" i="15"/>
  <c r="Q320" i="15"/>
  <c r="R320" i="15"/>
  <c r="S320" i="15"/>
  <c r="T320" i="15"/>
  <c r="U320" i="15"/>
  <c r="V320" i="15"/>
  <c r="W320" i="15"/>
  <c r="X320" i="15" s="1"/>
  <c r="Y320" i="15"/>
  <c r="Z320" i="15"/>
  <c r="AA320" i="15"/>
  <c r="AB320" i="15"/>
  <c r="AC320" i="15"/>
  <c r="AD320" i="15"/>
  <c r="AE320" i="15"/>
  <c r="AF320" i="15"/>
  <c r="AG320" i="15"/>
  <c r="AH320" i="15"/>
  <c r="AI320" i="15" s="1"/>
  <c r="AJ320" i="15"/>
  <c r="AK320" i="15"/>
  <c r="AL320" i="15"/>
  <c r="AM320" i="15"/>
  <c r="AN320" i="15"/>
  <c r="AO320" i="15"/>
  <c r="K321" i="15"/>
  <c r="L321" i="15"/>
  <c r="N321" i="15"/>
  <c r="O321" i="15"/>
  <c r="P321" i="15"/>
  <c r="Q321" i="15"/>
  <c r="R321" i="15"/>
  <c r="S321" i="15"/>
  <c r="T321" i="15"/>
  <c r="U321" i="15"/>
  <c r="V321" i="15"/>
  <c r="W321" i="15"/>
  <c r="X321" i="15" s="1"/>
  <c r="Y321" i="15"/>
  <c r="Z321" i="15"/>
  <c r="AA321" i="15"/>
  <c r="AB321" i="15"/>
  <c r="AC321" i="15"/>
  <c r="AD321" i="15"/>
  <c r="AE321" i="15"/>
  <c r="AF321" i="15"/>
  <c r="AG321" i="15"/>
  <c r="AH321" i="15"/>
  <c r="AI321" i="15" s="1"/>
  <c r="AJ321" i="15"/>
  <c r="AK321" i="15"/>
  <c r="AL321" i="15"/>
  <c r="AM321" i="15"/>
  <c r="AN321" i="15"/>
  <c r="AO321" i="15"/>
  <c r="K322" i="15"/>
  <c r="H322" i="15" s="1"/>
  <c r="L322" i="15"/>
  <c r="N322" i="15"/>
  <c r="O322" i="15"/>
  <c r="P322" i="15"/>
  <c r="Q322" i="15"/>
  <c r="R322" i="15"/>
  <c r="S322" i="15"/>
  <c r="T322" i="15"/>
  <c r="U322" i="15"/>
  <c r="V322" i="15"/>
  <c r="W322" i="15"/>
  <c r="X322" i="15" s="1"/>
  <c r="Y322" i="15"/>
  <c r="Z322" i="15"/>
  <c r="AA322" i="15"/>
  <c r="AB322" i="15"/>
  <c r="AC322" i="15"/>
  <c r="AD322" i="15"/>
  <c r="AE322" i="15"/>
  <c r="AF322" i="15"/>
  <c r="AG322" i="15"/>
  <c r="AH322" i="15"/>
  <c r="AI322" i="15" s="1"/>
  <c r="AJ322" i="15"/>
  <c r="AK322" i="15"/>
  <c r="AL322" i="15"/>
  <c r="AM322" i="15"/>
  <c r="AN322" i="15"/>
  <c r="AO322" i="15"/>
  <c r="K323" i="15"/>
  <c r="F323" i="15" s="1"/>
  <c r="L323" i="15"/>
  <c r="N323" i="15"/>
  <c r="O323" i="15"/>
  <c r="P323" i="15"/>
  <c r="Q323" i="15"/>
  <c r="R323" i="15"/>
  <c r="S323" i="15"/>
  <c r="T323" i="15"/>
  <c r="U323" i="15"/>
  <c r="V323" i="15"/>
  <c r="W323" i="15"/>
  <c r="X323" i="15" s="1"/>
  <c r="Y323" i="15"/>
  <c r="Z323" i="15"/>
  <c r="AA323" i="15"/>
  <c r="AB323" i="15"/>
  <c r="AC323" i="15"/>
  <c r="AD323" i="15"/>
  <c r="AE323" i="15"/>
  <c r="AF323" i="15"/>
  <c r="AG323" i="15"/>
  <c r="AH323" i="15"/>
  <c r="AI323" i="15" s="1"/>
  <c r="AJ323" i="15"/>
  <c r="AK323" i="15"/>
  <c r="AL323" i="15"/>
  <c r="AM323" i="15"/>
  <c r="AN323" i="15"/>
  <c r="AO323" i="15"/>
  <c r="K324" i="15"/>
  <c r="M324" i="15" s="1"/>
  <c r="L324" i="15"/>
  <c r="N324" i="15"/>
  <c r="O324" i="15"/>
  <c r="P324" i="15"/>
  <c r="Q324" i="15"/>
  <c r="R324" i="15"/>
  <c r="S324" i="15"/>
  <c r="T324" i="15"/>
  <c r="U324" i="15"/>
  <c r="V324" i="15"/>
  <c r="W324" i="15"/>
  <c r="X324" i="15" s="1"/>
  <c r="Y324" i="15"/>
  <c r="Z324" i="15"/>
  <c r="AA324" i="15"/>
  <c r="AB324" i="15"/>
  <c r="AC324" i="15"/>
  <c r="AD324" i="15"/>
  <c r="AE324" i="15"/>
  <c r="AF324" i="15"/>
  <c r="AG324" i="15"/>
  <c r="AH324" i="15"/>
  <c r="AI324" i="15" s="1"/>
  <c r="AJ324" i="15"/>
  <c r="AK324" i="15"/>
  <c r="AL324" i="15"/>
  <c r="AM324" i="15"/>
  <c r="AN324" i="15"/>
  <c r="AO324" i="15"/>
  <c r="K325" i="15"/>
  <c r="H325" i="15" s="1"/>
  <c r="L325" i="15"/>
  <c r="N325" i="15"/>
  <c r="O325" i="15"/>
  <c r="P325" i="15"/>
  <c r="Q325" i="15"/>
  <c r="R325" i="15"/>
  <c r="S325" i="15"/>
  <c r="T325" i="15"/>
  <c r="U325" i="15"/>
  <c r="V325" i="15"/>
  <c r="W325" i="15"/>
  <c r="X325" i="15" s="1"/>
  <c r="Y325" i="15"/>
  <c r="Z325" i="15"/>
  <c r="AA325" i="15"/>
  <c r="AB325" i="15"/>
  <c r="AC325" i="15"/>
  <c r="AD325" i="15"/>
  <c r="AE325" i="15"/>
  <c r="AF325" i="15"/>
  <c r="AG325" i="15"/>
  <c r="AH325" i="15"/>
  <c r="AI325" i="15" s="1"/>
  <c r="AJ325" i="15"/>
  <c r="AK325" i="15"/>
  <c r="AL325" i="15"/>
  <c r="AM325" i="15"/>
  <c r="AN325" i="15"/>
  <c r="AO325" i="15"/>
  <c r="K326" i="15"/>
  <c r="A326" i="15" s="1"/>
  <c r="L326" i="15"/>
  <c r="N326" i="15"/>
  <c r="O326" i="15"/>
  <c r="P326" i="15"/>
  <c r="Q326" i="15"/>
  <c r="R326" i="15"/>
  <c r="S326" i="15"/>
  <c r="T326" i="15"/>
  <c r="U326" i="15"/>
  <c r="V326" i="15"/>
  <c r="W326" i="15"/>
  <c r="X326" i="15" s="1"/>
  <c r="Y326" i="15"/>
  <c r="Z326" i="15"/>
  <c r="AA326" i="15"/>
  <c r="AB326" i="15"/>
  <c r="AC326" i="15"/>
  <c r="AD326" i="15"/>
  <c r="AE326" i="15"/>
  <c r="AF326" i="15"/>
  <c r="AG326" i="15"/>
  <c r="AH326" i="15"/>
  <c r="AI326" i="15" s="1"/>
  <c r="AJ326" i="15"/>
  <c r="AK326" i="15"/>
  <c r="AL326" i="15"/>
  <c r="AM326" i="15"/>
  <c r="AN326" i="15"/>
  <c r="AO326" i="15"/>
  <c r="K327" i="15"/>
  <c r="F327" i="15" s="1"/>
  <c r="L327" i="15"/>
  <c r="N327" i="15"/>
  <c r="O327" i="15"/>
  <c r="P327" i="15"/>
  <c r="Q327" i="15"/>
  <c r="R327" i="15"/>
  <c r="S327" i="15"/>
  <c r="T327" i="15"/>
  <c r="U327" i="15"/>
  <c r="V327" i="15"/>
  <c r="W327" i="15"/>
  <c r="X327" i="15" s="1"/>
  <c r="Y327" i="15"/>
  <c r="Z327" i="15"/>
  <c r="AA327" i="15"/>
  <c r="AB327" i="15"/>
  <c r="AC327" i="15"/>
  <c r="AD327" i="15"/>
  <c r="AE327" i="15"/>
  <c r="AF327" i="15"/>
  <c r="AG327" i="15"/>
  <c r="AH327" i="15"/>
  <c r="AI327" i="15" s="1"/>
  <c r="AJ327" i="15"/>
  <c r="AK327" i="15"/>
  <c r="AL327" i="15"/>
  <c r="AM327" i="15"/>
  <c r="AN327" i="15"/>
  <c r="AO327" i="15"/>
  <c r="K328" i="15"/>
  <c r="B328" i="15" s="1"/>
  <c r="L328" i="15"/>
  <c r="N328" i="15"/>
  <c r="O328" i="15"/>
  <c r="P328" i="15"/>
  <c r="Q328" i="15"/>
  <c r="R328" i="15"/>
  <c r="S328" i="15"/>
  <c r="T328" i="15"/>
  <c r="U328" i="15"/>
  <c r="V328" i="15"/>
  <c r="W328" i="15"/>
  <c r="X328" i="15" s="1"/>
  <c r="Y328" i="15"/>
  <c r="Z328" i="15"/>
  <c r="AA328" i="15"/>
  <c r="AB328" i="15"/>
  <c r="AC328" i="15"/>
  <c r="AD328" i="15"/>
  <c r="AE328" i="15"/>
  <c r="AF328" i="15"/>
  <c r="AG328" i="15"/>
  <c r="AH328" i="15"/>
  <c r="AI328" i="15" s="1"/>
  <c r="AJ328" i="15"/>
  <c r="AK328" i="15"/>
  <c r="AL328" i="15"/>
  <c r="AM328" i="15"/>
  <c r="AN328" i="15"/>
  <c r="AO328" i="15"/>
  <c r="K329" i="15"/>
  <c r="L329" i="15"/>
  <c r="N329" i="15"/>
  <c r="O329" i="15"/>
  <c r="P329" i="15"/>
  <c r="Q329" i="15"/>
  <c r="R329" i="15"/>
  <c r="S329" i="15"/>
  <c r="T329" i="15"/>
  <c r="U329" i="15"/>
  <c r="V329" i="15"/>
  <c r="W329" i="15"/>
  <c r="X329" i="15" s="1"/>
  <c r="Y329" i="15"/>
  <c r="Z329" i="15"/>
  <c r="AA329" i="15"/>
  <c r="AB329" i="15"/>
  <c r="AC329" i="15"/>
  <c r="AD329" i="15"/>
  <c r="AE329" i="15"/>
  <c r="AF329" i="15"/>
  <c r="AG329" i="15"/>
  <c r="AH329" i="15"/>
  <c r="AI329" i="15" s="1"/>
  <c r="AJ329" i="15"/>
  <c r="AK329" i="15"/>
  <c r="AL329" i="15"/>
  <c r="AM329" i="15"/>
  <c r="AN329" i="15"/>
  <c r="AO329" i="15"/>
  <c r="K330" i="15"/>
  <c r="I330" i="15" s="1"/>
  <c r="L330" i="15"/>
  <c r="N330" i="15"/>
  <c r="O330" i="15"/>
  <c r="P330" i="15"/>
  <c r="Q330" i="15"/>
  <c r="R330" i="15"/>
  <c r="S330" i="15"/>
  <c r="T330" i="15"/>
  <c r="U330" i="15"/>
  <c r="V330" i="15"/>
  <c r="W330" i="15"/>
  <c r="X330" i="15" s="1"/>
  <c r="Y330" i="15"/>
  <c r="Z330" i="15"/>
  <c r="AA330" i="15"/>
  <c r="AB330" i="15"/>
  <c r="AC330" i="15"/>
  <c r="AD330" i="15"/>
  <c r="AE330" i="15"/>
  <c r="AF330" i="15"/>
  <c r="AG330" i="15"/>
  <c r="AH330" i="15"/>
  <c r="AI330" i="15" s="1"/>
  <c r="AJ330" i="15"/>
  <c r="AK330" i="15"/>
  <c r="AL330" i="15"/>
  <c r="AM330" i="15"/>
  <c r="AN330" i="15"/>
  <c r="AO330" i="15"/>
  <c r="K331" i="15"/>
  <c r="B331" i="15" s="1"/>
  <c r="L331" i="15"/>
  <c r="N331" i="15"/>
  <c r="O331" i="15"/>
  <c r="P331" i="15"/>
  <c r="Q331" i="15"/>
  <c r="R331" i="15"/>
  <c r="S331" i="15"/>
  <c r="T331" i="15"/>
  <c r="U331" i="15"/>
  <c r="V331" i="15"/>
  <c r="W331" i="15"/>
  <c r="X331" i="15" s="1"/>
  <c r="Y331" i="15"/>
  <c r="Z331" i="15"/>
  <c r="AA331" i="15"/>
  <c r="AB331" i="15"/>
  <c r="AC331" i="15"/>
  <c r="AD331" i="15"/>
  <c r="AE331" i="15"/>
  <c r="AF331" i="15"/>
  <c r="AG331" i="15"/>
  <c r="AH331" i="15"/>
  <c r="AI331" i="15" s="1"/>
  <c r="AJ331" i="15"/>
  <c r="AK331" i="15"/>
  <c r="AL331" i="15"/>
  <c r="AM331" i="15"/>
  <c r="AN331" i="15"/>
  <c r="AO331" i="15"/>
  <c r="K332" i="15"/>
  <c r="C332" i="15" s="1"/>
  <c r="L332" i="15"/>
  <c r="N332" i="15"/>
  <c r="O332" i="15"/>
  <c r="P332" i="15"/>
  <c r="Q332" i="15"/>
  <c r="R332" i="15"/>
  <c r="S332" i="15"/>
  <c r="T332" i="15"/>
  <c r="U332" i="15"/>
  <c r="V332" i="15"/>
  <c r="W332" i="15"/>
  <c r="X332" i="15" s="1"/>
  <c r="Y332" i="15"/>
  <c r="Z332" i="15"/>
  <c r="AA332" i="15"/>
  <c r="AB332" i="15"/>
  <c r="AC332" i="15"/>
  <c r="AD332" i="15"/>
  <c r="AE332" i="15"/>
  <c r="AF332" i="15"/>
  <c r="AG332" i="15"/>
  <c r="AH332" i="15"/>
  <c r="AI332" i="15" s="1"/>
  <c r="AJ332" i="15"/>
  <c r="AK332" i="15"/>
  <c r="AL332" i="15"/>
  <c r="AM332" i="15"/>
  <c r="AN332" i="15"/>
  <c r="AO332" i="15"/>
  <c r="K333" i="15"/>
  <c r="A333" i="15" s="1"/>
  <c r="L333" i="15"/>
  <c r="N333" i="15"/>
  <c r="O333" i="15"/>
  <c r="P333" i="15"/>
  <c r="Q333" i="15"/>
  <c r="R333" i="15"/>
  <c r="S333" i="15"/>
  <c r="T333" i="15"/>
  <c r="U333" i="15"/>
  <c r="V333" i="15"/>
  <c r="W333" i="15"/>
  <c r="X333" i="15" s="1"/>
  <c r="Y333" i="15"/>
  <c r="Z333" i="15"/>
  <c r="AA333" i="15"/>
  <c r="AB333" i="15"/>
  <c r="AC333" i="15"/>
  <c r="AD333" i="15"/>
  <c r="AE333" i="15"/>
  <c r="AF333" i="15"/>
  <c r="AG333" i="15"/>
  <c r="AH333" i="15"/>
  <c r="AI333" i="15" s="1"/>
  <c r="AJ333" i="15"/>
  <c r="AK333" i="15"/>
  <c r="AL333" i="15"/>
  <c r="AM333" i="15"/>
  <c r="AN333" i="15"/>
  <c r="AO333" i="15"/>
  <c r="K334" i="15"/>
  <c r="E334" i="15" s="1"/>
  <c r="L334" i="15"/>
  <c r="N334" i="15"/>
  <c r="O334" i="15"/>
  <c r="P334" i="15"/>
  <c r="Q334" i="15"/>
  <c r="R334" i="15"/>
  <c r="S334" i="15"/>
  <c r="T334" i="15"/>
  <c r="U334" i="15"/>
  <c r="V334" i="15"/>
  <c r="W334" i="15"/>
  <c r="X334" i="15" s="1"/>
  <c r="Y334" i="15"/>
  <c r="Z334" i="15"/>
  <c r="AA334" i="15"/>
  <c r="AB334" i="15"/>
  <c r="AC334" i="15"/>
  <c r="AD334" i="15"/>
  <c r="AE334" i="15"/>
  <c r="AF334" i="15"/>
  <c r="AG334" i="15"/>
  <c r="AH334" i="15"/>
  <c r="AI334" i="15" s="1"/>
  <c r="AJ334" i="15"/>
  <c r="AK334" i="15"/>
  <c r="AL334" i="15"/>
  <c r="AM334" i="15"/>
  <c r="AN334" i="15"/>
  <c r="AO334" i="15"/>
  <c r="K335" i="15"/>
  <c r="B335" i="15" s="1"/>
  <c r="L335" i="15"/>
  <c r="N335" i="15"/>
  <c r="O335" i="15"/>
  <c r="P335" i="15"/>
  <c r="Q335" i="15"/>
  <c r="R335" i="15"/>
  <c r="S335" i="15"/>
  <c r="T335" i="15"/>
  <c r="U335" i="15"/>
  <c r="V335" i="15"/>
  <c r="W335" i="15"/>
  <c r="X335" i="15" s="1"/>
  <c r="Y335" i="15"/>
  <c r="Z335" i="15"/>
  <c r="AA335" i="15"/>
  <c r="AB335" i="15"/>
  <c r="AC335" i="15"/>
  <c r="AD335" i="15"/>
  <c r="AE335" i="15"/>
  <c r="AF335" i="15"/>
  <c r="AG335" i="15"/>
  <c r="AH335" i="15"/>
  <c r="AI335" i="15" s="1"/>
  <c r="AJ335" i="15"/>
  <c r="AK335" i="15"/>
  <c r="AL335" i="15"/>
  <c r="AM335" i="15"/>
  <c r="AN335" i="15"/>
  <c r="AO335" i="15"/>
  <c r="K336" i="15"/>
  <c r="L336" i="15"/>
  <c r="N336" i="15"/>
  <c r="O336" i="15"/>
  <c r="P336" i="15"/>
  <c r="Q336" i="15"/>
  <c r="R336" i="15"/>
  <c r="S336" i="15"/>
  <c r="T336" i="15"/>
  <c r="U336" i="15"/>
  <c r="V336" i="15"/>
  <c r="W336" i="15"/>
  <c r="X336" i="15" s="1"/>
  <c r="Y336" i="15"/>
  <c r="Z336" i="15"/>
  <c r="AA336" i="15"/>
  <c r="AB336" i="15"/>
  <c r="AC336" i="15"/>
  <c r="AD336" i="15"/>
  <c r="AE336" i="15"/>
  <c r="AF336" i="15"/>
  <c r="AG336" i="15"/>
  <c r="AH336" i="15"/>
  <c r="AI336" i="15" s="1"/>
  <c r="AJ336" i="15"/>
  <c r="AK336" i="15"/>
  <c r="AL336" i="15"/>
  <c r="AM336" i="15"/>
  <c r="AN336" i="15"/>
  <c r="AO336" i="15"/>
  <c r="K337" i="15"/>
  <c r="L337" i="15"/>
  <c r="N337" i="15"/>
  <c r="O337" i="15"/>
  <c r="P337" i="15"/>
  <c r="Q337" i="15"/>
  <c r="R337" i="15"/>
  <c r="S337" i="15"/>
  <c r="T337" i="15"/>
  <c r="U337" i="15"/>
  <c r="V337" i="15"/>
  <c r="W337" i="15"/>
  <c r="X337" i="15" s="1"/>
  <c r="Y337" i="15"/>
  <c r="Z337" i="15"/>
  <c r="AA337" i="15"/>
  <c r="AB337" i="15"/>
  <c r="AC337" i="15"/>
  <c r="AD337" i="15"/>
  <c r="AE337" i="15"/>
  <c r="AF337" i="15"/>
  <c r="AG337" i="15"/>
  <c r="AH337" i="15"/>
  <c r="AI337" i="15" s="1"/>
  <c r="AJ337" i="15"/>
  <c r="AK337" i="15"/>
  <c r="AL337" i="15"/>
  <c r="AM337" i="15"/>
  <c r="AN337" i="15"/>
  <c r="AO337" i="15"/>
  <c r="K338" i="15"/>
  <c r="A338" i="15" s="1"/>
  <c r="L338" i="15"/>
  <c r="N338" i="15"/>
  <c r="O338" i="15"/>
  <c r="P338" i="15"/>
  <c r="Q338" i="15"/>
  <c r="R338" i="15"/>
  <c r="S338" i="15"/>
  <c r="T338" i="15"/>
  <c r="U338" i="15"/>
  <c r="V338" i="15"/>
  <c r="W338" i="15"/>
  <c r="X338" i="15" s="1"/>
  <c r="Y338" i="15"/>
  <c r="Z338" i="15"/>
  <c r="AA338" i="15"/>
  <c r="AB338" i="15"/>
  <c r="AC338" i="15"/>
  <c r="AD338" i="15"/>
  <c r="AE338" i="15"/>
  <c r="AF338" i="15"/>
  <c r="AG338" i="15"/>
  <c r="AH338" i="15"/>
  <c r="AI338" i="15" s="1"/>
  <c r="AJ338" i="15"/>
  <c r="AK338" i="15"/>
  <c r="AL338" i="15"/>
  <c r="AM338" i="15"/>
  <c r="AN338" i="15"/>
  <c r="AO338" i="15"/>
  <c r="K339" i="15"/>
  <c r="F339" i="15" s="1"/>
  <c r="L339" i="15"/>
  <c r="N339" i="15"/>
  <c r="O339" i="15"/>
  <c r="P339" i="15"/>
  <c r="Q339" i="15"/>
  <c r="R339" i="15"/>
  <c r="S339" i="15"/>
  <c r="T339" i="15"/>
  <c r="U339" i="15"/>
  <c r="V339" i="15"/>
  <c r="W339" i="15"/>
  <c r="X339" i="15" s="1"/>
  <c r="Y339" i="15"/>
  <c r="Z339" i="15"/>
  <c r="AA339" i="15"/>
  <c r="AB339" i="15"/>
  <c r="AC339" i="15"/>
  <c r="AD339" i="15"/>
  <c r="AE339" i="15"/>
  <c r="AF339" i="15"/>
  <c r="AG339" i="15"/>
  <c r="AH339" i="15"/>
  <c r="AI339" i="15" s="1"/>
  <c r="AJ339" i="15"/>
  <c r="AK339" i="15"/>
  <c r="AL339" i="15"/>
  <c r="AM339" i="15"/>
  <c r="AN339" i="15"/>
  <c r="AO339" i="15"/>
  <c r="K340" i="15"/>
  <c r="B340" i="15" s="1"/>
  <c r="L340" i="15"/>
  <c r="N340" i="15"/>
  <c r="O340" i="15"/>
  <c r="P340" i="15"/>
  <c r="Q340" i="15"/>
  <c r="R340" i="15"/>
  <c r="S340" i="15"/>
  <c r="T340" i="15"/>
  <c r="U340" i="15"/>
  <c r="V340" i="15"/>
  <c r="W340" i="15"/>
  <c r="X340" i="15" s="1"/>
  <c r="Y340" i="15"/>
  <c r="Z340" i="15"/>
  <c r="AA340" i="15"/>
  <c r="AB340" i="15"/>
  <c r="AC340" i="15"/>
  <c r="AD340" i="15"/>
  <c r="AE340" i="15"/>
  <c r="AF340" i="15"/>
  <c r="AG340" i="15"/>
  <c r="AH340" i="15"/>
  <c r="AI340" i="15" s="1"/>
  <c r="AJ340" i="15"/>
  <c r="AK340" i="15"/>
  <c r="AL340" i="15"/>
  <c r="AM340" i="15"/>
  <c r="AN340" i="15"/>
  <c r="AO340" i="15"/>
  <c r="K341" i="15"/>
  <c r="D341" i="15" s="1"/>
  <c r="L341" i="15"/>
  <c r="N341" i="15"/>
  <c r="O341" i="15"/>
  <c r="P341" i="15"/>
  <c r="Q341" i="15"/>
  <c r="R341" i="15"/>
  <c r="S341" i="15"/>
  <c r="T341" i="15"/>
  <c r="U341" i="15"/>
  <c r="V341" i="15"/>
  <c r="W341" i="15"/>
  <c r="X341" i="15" s="1"/>
  <c r="Y341" i="15"/>
  <c r="Z341" i="15"/>
  <c r="AA341" i="15"/>
  <c r="AB341" i="15"/>
  <c r="AC341" i="15"/>
  <c r="AD341" i="15"/>
  <c r="AE341" i="15"/>
  <c r="AF341" i="15"/>
  <c r="AG341" i="15"/>
  <c r="AH341" i="15"/>
  <c r="AI341" i="15" s="1"/>
  <c r="AJ341" i="15"/>
  <c r="AK341" i="15"/>
  <c r="AL341" i="15"/>
  <c r="AM341" i="15"/>
  <c r="AN341" i="15"/>
  <c r="AO341" i="15"/>
  <c r="K342" i="15"/>
  <c r="L342" i="15"/>
  <c r="N342" i="15"/>
  <c r="O342" i="15"/>
  <c r="P342" i="15"/>
  <c r="Q342" i="15"/>
  <c r="R342" i="15"/>
  <c r="S342" i="15"/>
  <c r="T342" i="15"/>
  <c r="U342" i="15"/>
  <c r="V342" i="15"/>
  <c r="W342" i="15"/>
  <c r="X342" i="15" s="1"/>
  <c r="Y342" i="15"/>
  <c r="Z342" i="15"/>
  <c r="AA342" i="15"/>
  <c r="AB342" i="15"/>
  <c r="AC342" i="15"/>
  <c r="AD342" i="15"/>
  <c r="AE342" i="15"/>
  <c r="AF342" i="15"/>
  <c r="AG342" i="15"/>
  <c r="AH342" i="15"/>
  <c r="AI342" i="15" s="1"/>
  <c r="AJ342" i="15"/>
  <c r="AK342" i="15"/>
  <c r="AL342" i="15"/>
  <c r="AM342" i="15"/>
  <c r="AN342" i="15"/>
  <c r="AO342" i="15"/>
  <c r="K343" i="15"/>
  <c r="B343" i="15" s="1"/>
  <c r="L343" i="15"/>
  <c r="N343" i="15"/>
  <c r="O343" i="15"/>
  <c r="P343" i="15"/>
  <c r="Q343" i="15"/>
  <c r="R343" i="15"/>
  <c r="S343" i="15"/>
  <c r="T343" i="15"/>
  <c r="U343" i="15"/>
  <c r="V343" i="15"/>
  <c r="W343" i="15"/>
  <c r="X343" i="15" s="1"/>
  <c r="Y343" i="15"/>
  <c r="Z343" i="15"/>
  <c r="AA343" i="15"/>
  <c r="AB343" i="15"/>
  <c r="AC343" i="15"/>
  <c r="AD343" i="15"/>
  <c r="AE343" i="15"/>
  <c r="AF343" i="15"/>
  <c r="AG343" i="15"/>
  <c r="AH343" i="15"/>
  <c r="AI343" i="15" s="1"/>
  <c r="AJ343" i="15"/>
  <c r="AK343" i="15"/>
  <c r="AL343" i="15"/>
  <c r="AM343" i="15"/>
  <c r="AN343" i="15"/>
  <c r="AO343" i="15"/>
  <c r="K344" i="15"/>
  <c r="F344" i="15" s="1"/>
  <c r="L344" i="15"/>
  <c r="N344" i="15"/>
  <c r="O344" i="15"/>
  <c r="P344" i="15"/>
  <c r="Q344" i="15"/>
  <c r="R344" i="15"/>
  <c r="S344" i="15"/>
  <c r="T344" i="15"/>
  <c r="U344" i="15"/>
  <c r="V344" i="15"/>
  <c r="W344" i="15"/>
  <c r="X344" i="15" s="1"/>
  <c r="Y344" i="15"/>
  <c r="Z344" i="15"/>
  <c r="AA344" i="15"/>
  <c r="AB344" i="15"/>
  <c r="AC344" i="15"/>
  <c r="AD344" i="15"/>
  <c r="AE344" i="15"/>
  <c r="AF344" i="15"/>
  <c r="AG344" i="15"/>
  <c r="AH344" i="15"/>
  <c r="AI344" i="15" s="1"/>
  <c r="AJ344" i="15"/>
  <c r="AK344" i="15"/>
  <c r="AL344" i="15"/>
  <c r="AM344" i="15"/>
  <c r="AN344" i="15"/>
  <c r="AO344" i="15"/>
  <c r="K345" i="15"/>
  <c r="A345" i="15" s="1"/>
  <c r="L345" i="15"/>
  <c r="N345" i="15"/>
  <c r="O345" i="15"/>
  <c r="P345" i="15"/>
  <c r="Q345" i="15"/>
  <c r="R345" i="15"/>
  <c r="S345" i="15"/>
  <c r="T345" i="15"/>
  <c r="U345" i="15"/>
  <c r="V345" i="15"/>
  <c r="W345" i="15"/>
  <c r="X345" i="15" s="1"/>
  <c r="Y345" i="15"/>
  <c r="Z345" i="15"/>
  <c r="AA345" i="15"/>
  <c r="AB345" i="15"/>
  <c r="AC345" i="15"/>
  <c r="AD345" i="15"/>
  <c r="AE345" i="15"/>
  <c r="AF345" i="15"/>
  <c r="AG345" i="15"/>
  <c r="AH345" i="15"/>
  <c r="AI345" i="15" s="1"/>
  <c r="AJ345" i="15"/>
  <c r="AK345" i="15"/>
  <c r="AL345" i="15"/>
  <c r="AM345" i="15"/>
  <c r="AN345" i="15"/>
  <c r="AO345" i="15"/>
  <c r="K346" i="15"/>
  <c r="E346" i="15" s="1"/>
  <c r="L346" i="15"/>
  <c r="N346" i="15"/>
  <c r="O346" i="15"/>
  <c r="P346" i="15"/>
  <c r="Q346" i="15"/>
  <c r="R346" i="15"/>
  <c r="S346" i="15"/>
  <c r="T346" i="15"/>
  <c r="U346" i="15"/>
  <c r="V346" i="15"/>
  <c r="W346" i="15"/>
  <c r="X346" i="15" s="1"/>
  <c r="Y346" i="15"/>
  <c r="Z346" i="15"/>
  <c r="AA346" i="15"/>
  <c r="AB346" i="15"/>
  <c r="AC346" i="15"/>
  <c r="AD346" i="15"/>
  <c r="AE346" i="15"/>
  <c r="AF346" i="15"/>
  <c r="AG346" i="15"/>
  <c r="AH346" i="15"/>
  <c r="AI346" i="15" s="1"/>
  <c r="AJ346" i="15"/>
  <c r="AK346" i="15"/>
  <c r="AL346" i="15"/>
  <c r="AM346" i="15"/>
  <c r="AN346" i="15"/>
  <c r="AO346" i="15"/>
  <c r="K347" i="15"/>
  <c r="B347" i="15" s="1"/>
  <c r="L347" i="15"/>
  <c r="N347" i="15"/>
  <c r="O347" i="15"/>
  <c r="P347" i="15"/>
  <c r="Q347" i="15"/>
  <c r="R347" i="15"/>
  <c r="S347" i="15"/>
  <c r="T347" i="15"/>
  <c r="U347" i="15"/>
  <c r="V347" i="15"/>
  <c r="W347" i="15"/>
  <c r="X347" i="15" s="1"/>
  <c r="Y347" i="15"/>
  <c r="Z347" i="15"/>
  <c r="AA347" i="15"/>
  <c r="AB347" i="15"/>
  <c r="AC347" i="15"/>
  <c r="AD347" i="15"/>
  <c r="AE347" i="15"/>
  <c r="AF347" i="15"/>
  <c r="AG347" i="15"/>
  <c r="AH347" i="15"/>
  <c r="AI347" i="15" s="1"/>
  <c r="AJ347" i="15"/>
  <c r="AK347" i="15"/>
  <c r="AL347" i="15"/>
  <c r="AM347" i="15"/>
  <c r="AN347" i="15"/>
  <c r="AO347" i="15"/>
  <c r="K348" i="15"/>
  <c r="L348" i="15"/>
  <c r="N348" i="15"/>
  <c r="O348" i="15"/>
  <c r="P348" i="15"/>
  <c r="Q348" i="15"/>
  <c r="R348" i="15"/>
  <c r="S348" i="15"/>
  <c r="T348" i="15"/>
  <c r="U348" i="15"/>
  <c r="V348" i="15"/>
  <c r="W348" i="15"/>
  <c r="X348" i="15" s="1"/>
  <c r="Y348" i="15"/>
  <c r="Z348" i="15"/>
  <c r="AA348" i="15"/>
  <c r="AB348" i="15"/>
  <c r="AC348" i="15"/>
  <c r="AD348" i="15"/>
  <c r="AE348" i="15"/>
  <c r="AF348" i="15"/>
  <c r="AG348" i="15"/>
  <c r="AH348" i="15"/>
  <c r="AI348" i="15" s="1"/>
  <c r="AJ348" i="15"/>
  <c r="AK348" i="15"/>
  <c r="AL348" i="15"/>
  <c r="AM348" i="15"/>
  <c r="AN348" i="15"/>
  <c r="AO348" i="15"/>
  <c r="K349" i="15"/>
  <c r="H349" i="15" s="1"/>
  <c r="L349" i="15"/>
  <c r="N349" i="15"/>
  <c r="O349" i="15"/>
  <c r="P349" i="15"/>
  <c r="Q349" i="15"/>
  <c r="R349" i="15"/>
  <c r="S349" i="15"/>
  <c r="T349" i="15"/>
  <c r="U349" i="15"/>
  <c r="V349" i="15"/>
  <c r="W349" i="15"/>
  <c r="X349" i="15" s="1"/>
  <c r="Y349" i="15"/>
  <c r="Z349" i="15"/>
  <c r="AA349" i="15"/>
  <c r="AB349" i="15"/>
  <c r="AC349" i="15"/>
  <c r="AD349" i="15"/>
  <c r="AE349" i="15"/>
  <c r="AF349" i="15"/>
  <c r="AG349" i="15"/>
  <c r="AH349" i="15"/>
  <c r="AI349" i="15" s="1"/>
  <c r="AJ349" i="15"/>
  <c r="AK349" i="15"/>
  <c r="AL349" i="15"/>
  <c r="AM349" i="15"/>
  <c r="AN349" i="15"/>
  <c r="AO349" i="15"/>
  <c r="K350" i="15"/>
  <c r="A350" i="15" s="1"/>
  <c r="L350" i="15"/>
  <c r="N350" i="15"/>
  <c r="O350" i="15"/>
  <c r="P350" i="15"/>
  <c r="Q350" i="15"/>
  <c r="R350" i="15"/>
  <c r="S350" i="15"/>
  <c r="T350" i="15"/>
  <c r="U350" i="15"/>
  <c r="V350" i="15"/>
  <c r="W350" i="15"/>
  <c r="X350" i="15" s="1"/>
  <c r="Y350" i="15"/>
  <c r="Z350" i="15"/>
  <c r="AA350" i="15"/>
  <c r="AB350" i="15"/>
  <c r="AC350" i="15"/>
  <c r="AD350" i="15"/>
  <c r="AE350" i="15"/>
  <c r="AF350" i="15"/>
  <c r="AG350" i="15"/>
  <c r="AH350" i="15"/>
  <c r="AI350" i="15" s="1"/>
  <c r="AJ350" i="15"/>
  <c r="AK350" i="15"/>
  <c r="AL350" i="15"/>
  <c r="AM350" i="15"/>
  <c r="AN350" i="15"/>
  <c r="AO350" i="15"/>
  <c r="K351" i="15"/>
  <c r="F351" i="15" s="1"/>
  <c r="L351" i="15"/>
  <c r="N351" i="15"/>
  <c r="O351" i="15"/>
  <c r="P351" i="15"/>
  <c r="Q351" i="15"/>
  <c r="R351" i="15"/>
  <c r="S351" i="15"/>
  <c r="T351" i="15"/>
  <c r="U351" i="15"/>
  <c r="V351" i="15"/>
  <c r="W351" i="15"/>
  <c r="X351" i="15" s="1"/>
  <c r="Y351" i="15"/>
  <c r="Z351" i="15"/>
  <c r="AA351" i="15"/>
  <c r="AB351" i="15"/>
  <c r="AC351" i="15"/>
  <c r="AD351" i="15"/>
  <c r="AE351" i="15"/>
  <c r="AF351" i="15"/>
  <c r="AG351" i="15"/>
  <c r="AH351" i="15"/>
  <c r="AI351" i="15" s="1"/>
  <c r="AJ351" i="15"/>
  <c r="AK351" i="15"/>
  <c r="AL351" i="15"/>
  <c r="AM351" i="15"/>
  <c r="AN351" i="15"/>
  <c r="AO351" i="15"/>
  <c r="K352" i="15"/>
  <c r="B352" i="15" s="1"/>
  <c r="L352" i="15"/>
  <c r="N352" i="15"/>
  <c r="O352" i="15"/>
  <c r="P352" i="15"/>
  <c r="Q352" i="15"/>
  <c r="R352" i="15"/>
  <c r="S352" i="15"/>
  <c r="T352" i="15"/>
  <c r="U352" i="15"/>
  <c r="V352" i="15"/>
  <c r="W352" i="15"/>
  <c r="X352" i="15" s="1"/>
  <c r="Y352" i="15"/>
  <c r="Z352" i="15"/>
  <c r="AA352" i="15"/>
  <c r="AB352" i="15"/>
  <c r="AC352" i="15"/>
  <c r="AD352" i="15"/>
  <c r="AE352" i="15"/>
  <c r="AF352" i="15"/>
  <c r="AG352" i="15"/>
  <c r="AH352" i="15"/>
  <c r="AI352" i="15" s="1"/>
  <c r="AJ352" i="15"/>
  <c r="AK352" i="15"/>
  <c r="AL352" i="15"/>
  <c r="AM352" i="15"/>
  <c r="AN352" i="15"/>
  <c r="AO352" i="15"/>
  <c r="K353" i="15"/>
  <c r="D353" i="15" s="1"/>
  <c r="L353" i="15"/>
  <c r="N353" i="15"/>
  <c r="O353" i="15"/>
  <c r="P353" i="15"/>
  <c r="Q353" i="15"/>
  <c r="R353" i="15"/>
  <c r="S353" i="15"/>
  <c r="T353" i="15"/>
  <c r="U353" i="15"/>
  <c r="V353" i="15"/>
  <c r="W353" i="15"/>
  <c r="X353" i="15" s="1"/>
  <c r="Y353" i="15"/>
  <c r="Z353" i="15"/>
  <c r="AA353" i="15"/>
  <c r="AB353" i="15"/>
  <c r="AC353" i="15"/>
  <c r="AD353" i="15"/>
  <c r="AE353" i="15"/>
  <c r="AF353" i="15"/>
  <c r="AG353" i="15"/>
  <c r="AH353" i="15"/>
  <c r="AI353" i="15" s="1"/>
  <c r="AJ353" i="15"/>
  <c r="AK353" i="15"/>
  <c r="AL353" i="15"/>
  <c r="AM353" i="15"/>
  <c r="AN353" i="15"/>
  <c r="AO353" i="15"/>
  <c r="K354" i="15"/>
  <c r="L354" i="15"/>
  <c r="N354" i="15"/>
  <c r="O354" i="15"/>
  <c r="P354" i="15"/>
  <c r="Q354" i="15"/>
  <c r="R354" i="15"/>
  <c r="S354" i="15"/>
  <c r="T354" i="15"/>
  <c r="U354" i="15"/>
  <c r="V354" i="15"/>
  <c r="W354" i="15"/>
  <c r="X354" i="15" s="1"/>
  <c r="Y354" i="15"/>
  <c r="Z354" i="15"/>
  <c r="AA354" i="15"/>
  <c r="AB354" i="15"/>
  <c r="AC354" i="15"/>
  <c r="AD354" i="15"/>
  <c r="AE354" i="15"/>
  <c r="AF354" i="15"/>
  <c r="AG354" i="15"/>
  <c r="AH354" i="15"/>
  <c r="AI354" i="15" s="1"/>
  <c r="AJ354" i="15"/>
  <c r="AK354" i="15"/>
  <c r="AL354" i="15"/>
  <c r="AM354" i="15"/>
  <c r="AN354" i="15"/>
  <c r="AO354" i="15"/>
  <c r="K355" i="15"/>
  <c r="B355" i="15" s="1"/>
  <c r="L355" i="15"/>
  <c r="N355" i="15"/>
  <c r="O355" i="15"/>
  <c r="P355" i="15"/>
  <c r="Q355" i="15"/>
  <c r="R355" i="15"/>
  <c r="S355" i="15"/>
  <c r="T355" i="15"/>
  <c r="U355" i="15"/>
  <c r="V355" i="15"/>
  <c r="W355" i="15"/>
  <c r="X355" i="15" s="1"/>
  <c r="Y355" i="15"/>
  <c r="Z355" i="15"/>
  <c r="AA355" i="15"/>
  <c r="AB355" i="15"/>
  <c r="AC355" i="15"/>
  <c r="AD355" i="15"/>
  <c r="AE355" i="15"/>
  <c r="AF355" i="15"/>
  <c r="AG355" i="15"/>
  <c r="AH355" i="15"/>
  <c r="AI355" i="15" s="1"/>
  <c r="AJ355" i="15"/>
  <c r="AK355" i="15"/>
  <c r="AL355" i="15"/>
  <c r="AM355" i="15"/>
  <c r="AN355" i="15"/>
  <c r="AO355" i="15"/>
  <c r="K356" i="15"/>
  <c r="H356" i="15" s="1"/>
  <c r="L356" i="15"/>
  <c r="N356" i="15"/>
  <c r="O356" i="15"/>
  <c r="P356" i="15"/>
  <c r="Q356" i="15"/>
  <c r="R356" i="15"/>
  <c r="S356" i="15"/>
  <c r="T356" i="15"/>
  <c r="U356" i="15"/>
  <c r="V356" i="15"/>
  <c r="W356" i="15"/>
  <c r="X356" i="15" s="1"/>
  <c r="Y356" i="15"/>
  <c r="Z356" i="15"/>
  <c r="AA356" i="15"/>
  <c r="AB356" i="15"/>
  <c r="AC356" i="15"/>
  <c r="AD356" i="15"/>
  <c r="AE356" i="15"/>
  <c r="AF356" i="15"/>
  <c r="AG356" i="15"/>
  <c r="AH356" i="15"/>
  <c r="AI356" i="15" s="1"/>
  <c r="AJ356" i="15"/>
  <c r="AK356" i="15"/>
  <c r="AL356" i="15"/>
  <c r="AM356" i="15"/>
  <c r="AN356" i="15"/>
  <c r="AO356" i="15"/>
  <c r="K357" i="15"/>
  <c r="A357" i="15" s="1"/>
  <c r="L357" i="15"/>
  <c r="N357" i="15"/>
  <c r="O357" i="15"/>
  <c r="P357" i="15"/>
  <c r="Q357" i="15"/>
  <c r="R357" i="15"/>
  <c r="S357" i="15"/>
  <c r="T357" i="15"/>
  <c r="U357" i="15"/>
  <c r="V357" i="15"/>
  <c r="W357" i="15"/>
  <c r="X357" i="15" s="1"/>
  <c r="Y357" i="15"/>
  <c r="Z357" i="15"/>
  <c r="AA357" i="15"/>
  <c r="AB357" i="15"/>
  <c r="AC357" i="15"/>
  <c r="AD357" i="15"/>
  <c r="AE357" i="15"/>
  <c r="AF357" i="15"/>
  <c r="AG357" i="15"/>
  <c r="AH357" i="15"/>
  <c r="AI357" i="15" s="1"/>
  <c r="AJ357" i="15"/>
  <c r="AK357" i="15"/>
  <c r="AL357" i="15"/>
  <c r="AM357" i="15"/>
  <c r="AN357" i="15"/>
  <c r="AO357" i="15"/>
  <c r="K358" i="15"/>
  <c r="L358" i="15"/>
  <c r="N358" i="15"/>
  <c r="O358" i="15"/>
  <c r="P358" i="15"/>
  <c r="Q358" i="15"/>
  <c r="R358" i="15"/>
  <c r="S358" i="15"/>
  <c r="T358" i="15"/>
  <c r="U358" i="15"/>
  <c r="V358" i="15"/>
  <c r="W358" i="15"/>
  <c r="X358" i="15" s="1"/>
  <c r="Y358" i="15"/>
  <c r="Z358" i="15"/>
  <c r="AA358" i="15"/>
  <c r="AB358" i="15"/>
  <c r="AC358" i="15"/>
  <c r="AD358" i="15"/>
  <c r="AE358" i="15"/>
  <c r="AF358" i="15"/>
  <c r="AG358" i="15"/>
  <c r="AH358" i="15"/>
  <c r="AI358" i="15" s="1"/>
  <c r="AJ358" i="15"/>
  <c r="AK358" i="15"/>
  <c r="AL358" i="15"/>
  <c r="AM358" i="15"/>
  <c r="AN358" i="15"/>
  <c r="AO358" i="15"/>
  <c r="K359" i="15"/>
  <c r="L359" i="15"/>
  <c r="N359" i="15"/>
  <c r="O359" i="15"/>
  <c r="P359" i="15"/>
  <c r="Q359" i="15"/>
  <c r="R359" i="15"/>
  <c r="S359" i="15"/>
  <c r="T359" i="15"/>
  <c r="U359" i="15"/>
  <c r="V359" i="15"/>
  <c r="W359" i="15"/>
  <c r="X359" i="15" s="1"/>
  <c r="Y359" i="15"/>
  <c r="Z359" i="15"/>
  <c r="AA359" i="15"/>
  <c r="AB359" i="15"/>
  <c r="AC359" i="15"/>
  <c r="AD359" i="15"/>
  <c r="AE359" i="15"/>
  <c r="AF359" i="15"/>
  <c r="AG359" i="15"/>
  <c r="AH359" i="15"/>
  <c r="AI359" i="15" s="1"/>
  <c r="AJ359" i="15"/>
  <c r="AK359" i="15"/>
  <c r="AL359" i="15"/>
  <c r="AM359" i="15"/>
  <c r="AN359" i="15"/>
  <c r="AO359" i="15"/>
  <c r="K360" i="15"/>
  <c r="C360" i="15" s="1"/>
  <c r="L360" i="15"/>
  <c r="N360" i="15"/>
  <c r="O360" i="15"/>
  <c r="P360" i="15"/>
  <c r="Q360" i="15"/>
  <c r="R360" i="15"/>
  <c r="S360" i="15"/>
  <c r="T360" i="15"/>
  <c r="U360" i="15"/>
  <c r="V360" i="15"/>
  <c r="W360" i="15"/>
  <c r="X360" i="15" s="1"/>
  <c r="Y360" i="15"/>
  <c r="Z360" i="15"/>
  <c r="AA360" i="15"/>
  <c r="AB360" i="15"/>
  <c r="AC360" i="15"/>
  <c r="AD360" i="15"/>
  <c r="AE360" i="15"/>
  <c r="AF360" i="15"/>
  <c r="AG360" i="15"/>
  <c r="AH360" i="15"/>
  <c r="AI360" i="15" s="1"/>
  <c r="AJ360" i="15"/>
  <c r="AK360" i="15"/>
  <c r="AL360" i="15"/>
  <c r="AM360" i="15"/>
  <c r="AN360" i="15"/>
  <c r="AO360" i="15"/>
  <c r="K361" i="15"/>
  <c r="H361" i="15" s="1"/>
  <c r="L361" i="15"/>
  <c r="N361" i="15"/>
  <c r="O361" i="15"/>
  <c r="P361" i="15"/>
  <c r="Q361" i="15"/>
  <c r="R361" i="15"/>
  <c r="S361" i="15"/>
  <c r="T361" i="15"/>
  <c r="U361" i="15"/>
  <c r="V361" i="15"/>
  <c r="W361" i="15"/>
  <c r="X361" i="15" s="1"/>
  <c r="Y361" i="15"/>
  <c r="Z361" i="15"/>
  <c r="AA361" i="15"/>
  <c r="AB361" i="15"/>
  <c r="AC361" i="15"/>
  <c r="AD361" i="15"/>
  <c r="AE361" i="15"/>
  <c r="AF361" i="15"/>
  <c r="AG361" i="15"/>
  <c r="AH361" i="15"/>
  <c r="AI361" i="15" s="1"/>
  <c r="AJ361" i="15"/>
  <c r="AK361" i="15"/>
  <c r="AL361" i="15"/>
  <c r="AM361" i="15"/>
  <c r="AN361" i="15"/>
  <c r="AO361" i="15"/>
  <c r="K362" i="15"/>
  <c r="A362" i="15" s="1"/>
  <c r="L362" i="15"/>
  <c r="N362" i="15"/>
  <c r="O362" i="15"/>
  <c r="P362" i="15"/>
  <c r="Q362" i="15"/>
  <c r="R362" i="15"/>
  <c r="S362" i="15"/>
  <c r="T362" i="15"/>
  <c r="U362" i="15"/>
  <c r="V362" i="15"/>
  <c r="W362" i="15"/>
  <c r="X362" i="15" s="1"/>
  <c r="Y362" i="15"/>
  <c r="Z362" i="15"/>
  <c r="AA362" i="15"/>
  <c r="AB362" i="15"/>
  <c r="AC362" i="15"/>
  <c r="AD362" i="15"/>
  <c r="AE362" i="15"/>
  <c r="AF362" i="15"/>
  <c r="AG362" i="15"/>
  <c r="AH362" i="15"/>
  <c r="AI362" i="15"/>
  <c r="AJ362" i="15"/>
  <c r="AK362" i="15"/>
  <c r="AL362" i="15"/>
  <c r="AM362" i="15"/>
  <c r="AN362" i="15"/>
  <c r="AO362" i="15"/>
  <c r="K363" i="15"/>
  <c r="F363" i="15" s="1"/>
  <c r="L363" i="15"/>
  <c r="N363" i="15"/>
  <c r="O363" i="15"/>
  <c r="P363" i="15"/>
  <c r="Q363" i="15"/>
  <c r="R363" i="15"/>
  <c r="S363" i="15"/>
  <c r="T363" i="15"/>
  <c r="U363" i="15"/>
  <c r="V363" i="15"/>
  <c r="W363" i="15"/>
  <c r="X363" i="15" s="1"/>
  <c r="Y363" i="15"/>
  <c r="Z363" i="15"/>
  <c r="AA363" i="15"/>
  <c r="AB363" i="15"/>
  <c r="AC363" i="15"/>
  <c r="AD363" i="15"/>
  <c r="AE363" i="15"/>
  <c r="AF363" i="15"/>
  <c r="AG363" i="15"/>
  <c r="AH363" i="15"/>
  <c r="AI363" i="15" s="1"/>
  <c r="AJ363" i="15"/>
  <c r="AK363" i="15"/>
  <c r="AL363" i="15"/>
  <c r="AM363" i="15"/>
  <c r="AN363" i="15"/>
  <c r="AO363" i="15"/>
  <c r="K364" i="15"/>
  <c r="B364" i="15" s="1"/>
  <c r="L364" i="15"/>
  <c r="N364" i="15"/>
  <c r="O364" i="15"/>
  <c r="P364" i="15"/>
  <c r="Q364" i="15"/>
  <c r="R364" i="15"/>
  <c r="S364" i="15"/>
  <c r="T364" i="15"/>
  <c r="U364" i="15"/>
  <c r="V364" i="15"/>
  <c r="W364" i="15"/>
  <c r="X364" i="15" s="1"/>
  <c r="Y364" i="15"/>
  <c r="Z364" i="15"/>
  <c r="AA364" i="15"/>
  <c r="AB364" i="15"/>
  <c r="AC364" i="15"/>
  <c r="AD364" i="15"/>
  <c r="AE364" i="15"/>
  <c r="AF364" i="15"/>
  <c r="AG364" i="15"/>
  <c r="AH364" i="15"/>
  <c r="AI364" i="15" s="1"/>
  <c r="AJ364" i="15"/>
  <c r="AK364" i="15"/>
  <c r="AL364" i="15"/>
  <c r="AM364" i="15"/>
  <c r="AN364" i="15"/>
  <c r="AO364" i="15"/>
  <c r="K365" i="15"/>
  <c r="D365" i="15" s="1"/>
  <c r="L365" i="15"/>
  <c r="N365" i="15"/>
  <c r="O365" i="15"/>
  <c r="P365" i="15"/>
  <c r="Q365" i="15"/>
  <c r="R365" i="15"/>
  <c r="S365" i="15"/>
  <c r="T365" i="15"/>
  <c r="U365" i="15"/>
  <c r="V365" i="15"/>
  <c r="W365" i="15"/>
  <c r="X365" i="15" s="1"/>
  <c r="Y365" i="15"/>
  <c r="Z365" i="15"/>
  <c r="AA365" i="15"/>
  <c r="AB365" i="15"/>
  <c r="AC365" i="15"/>
  <c r="AD365" i="15"/>
  <c r="AE365" i="15"/>
  <c r="AF365" i="15"/>
  <c r="AG365" i="15"/>
  <c r="AH365" i="15"/>
  <c r="AI365" i="15" s="1"/>
  <c r="AJ365" i="15"/>
  <c r="AK365" i="15"/>
  <c r="AL365" i="15"/>
  <c r="AM365" i="15"/>
  <c r="AN365" i="15"/>
  <c r="AO365" i="15"/>
  <c r="K366" i="15"/>
  <c r="L366" i="15"/>
  <c r="N366" i="15"/>
  <c r="O366" i="15"/>
  <c r="P366" i="15"/>
  <c r="Q366" i="15"/>
  <c r="R366" i="15"/>
  <c r="S366" i="15"/>
  <c r="T366" i="15"/>
  <c r="U366" i="15"/>
  <c r="V366" i="15"/>
  <c r="W366" i="15"/>
  <c r="X366" i="15" s="1"/>
  <c r="Y366" i="15"/>
  <c r="Z366" i="15"/>
  <c r="AA366" i="15"/>
  <c r="AB366" i="15"/>
  <c r="AC366" i="15"/>
  <c r="AD366" i="15"/>
  <c r="AE366" i="15"/>
  <c r="AF366" i="15"/>
  <c r="AG366" i="15"/>
  <c r="AH366" i="15"/>
  <c r="AI366" i="15" s="1"/>
  <c r="AJ366" i="15"/>
  <c r="AK366" i="15"/>
  <c r="AL366" i="15"/>
  <c r="AM366" i="15"/>
  <c r="AN366" i="15"/>
  <c r="AO366" i="15"/>
  <c r="K367" i="15"/>
  <c r="B367" i="15" s="1"/>
  <c r="L367" i="15"/>
  <c r="N367" i="15"/>
  <c r="O367" i="15"/>
  <c r="P367" i="15"/>
  <c r="Q367" i="15"/>
  <c r="R367" i="15"/>
  <c r="S367" i="15"/>
  <c r="T367" i="15"/>
  <c r="U367" i="15"/>
  <c r="V367" i="15"/>
  <c r="W367" i="15"/>
  <c r="X367" i="15" s="1"/>
  <c r="Y367" i="15"/>
  <c r="Z367" i="15"/>
  <c r="AA367" i="15"/>
  <c r="AB367" i="15"/>
  <c r="AC367" i="15"/>
  <c r="AD367" i="15"/>
  <c r="AE367" i="15"/>
  <c r="AF367" i="15"/>
  <c r="AG367" i="15"/>
  <c r="AH367" i="15"/>
  <c r="AI367" i="15" s="1"/>
  <c r="AJ367" i="15"/>
  <c r="AK367" i="15"/>
  <c r="AL367" i="15"/>
  <c r="AM367" i="15"/>
  <c r="AN367" i="15"/>
  <c r="AO367" i="15"/>
  <c r="K368" i="15"/>
  <c r="L368" i="15"/>
  <c r="N368" i="15"/>
  <c r="O368" i="15"/>
  <c r="P368" i="15"/>
  <c r="Q368" i="15"/>
  <c r="R368" i="15"/>
  <c r="S368" i="15"/>
  <c r="T368" i="15"/>
  <c r="U368" i="15"/>
  <c r="V368" i="15"/>
  <c r="W368" i="15"/>
  <c r="X368" i="15" s="1"/>
  <c r="Y368" i="15"/>
  <c r="Z368" i="15"/>
  <c r="AA368" i="15"/>
  <c r="AB368" i="15"/>
  <c r="AC368" i="15"/>
  <c r="AD368" i="15"/>
  <c r="AE368" i="15"/>
  <c r="AF368" i="15"/>
  <c r="AG368" i="15"/>
  <c r="AH368" i="15"/>
  <c r="AI368" i="15" s="1"/>
  <c r="AJ368" i="15"/>
  <c r="AK368" i="15"/>
  <c r="AL368" i="15"/>
  <c r="AM368" i="15"/>
  <c r="AN368" i="15"/>
  <c r="AO368" i="15"/>
  <c r="K369" i="15"/>
  <c r="A369" i="15" s="1"/>
  <c r="L369" i="15"/>
  <c r="N369" i="15"/>
  <c r="O369" i="15"/>
  <c r="P369" i="15"/>
  <c r="Q369" i="15"/>
  <c r="R369" i="15"/>
  <c r="S369" i="15"/>
  <c r="T369" i="15"/>
  <c r="U369" i="15"/>
  <c r="V369" i="15"/>
  <c r="W369" i="15"/>
  <c r="X369" i="15" s="1"/>
  <c r="Y369" i="15"/>
  <c r="Z369" i="15"/>
  <c r="AA369" i="15"/>
  <c r="AB369" i="15"/>
  <c r="AC369" i="15"/>
  <c r="AD369" i="15"/>
  <c r="AE369" i="15"/>
  <c r="AF369" i="15"/>
  <c r="AG369" i="15"/>
  <c r="AH369" i="15"/>
  <c r="AI369" i="15" s="1"/>
  <c r="AJ369" i="15"/>
  <c r="AK369" i="15"/>
  <c r="AL369" i="15"/>
  <c r="AM369" i="15"/>
  <c r="AN369" i="15"/>
  <c r="AO369" i="15"/>
  <c r="K370" i="15"/>
  <c r="E370" i="15" s="1"/>
  <c r="L370" i="15"/>
  <c r="N370" i="15"/>
  <c r="O370" i="15"/>
  <c r="P370" i="15"/>
  <c r="Q370" i="15"/>
  <c r="R370" i="15"/>
  <c r="S370" i="15"/>
  <c r="T370" i="15"/>
  <c r="U370" i="15"/>
  <c r="V370" i="15"/>
  <c r="W370" i="15"/>
  <c r="X370" i="15" s="1"/>
  <c r="Y370" i="15"/>
  <c r="Z370" i="15"/>
  <c r="AA370" i="15"/>
  <c r="AB370" i="15"/>
  <c r="AC370" i="15"/>
  <c r="AD370" i="15"/>
  <c r="AE370" i="15"/>
  <c r="AF370" i="15"/>
  <c r="AG370" i="15"/>
  <c r="AH370" i="15"/>
  <c r="AI370" i="15" s="1"/>
  <c r="AJ370" i="15"/>
  <c r="AK370" i="15"/>
  <c r="AL370" i="15"/>
  <c r="AM370" i="15"/>
  <c r="AN370" i="15"/>
  <c r="AO370" i="15"/>
  <c r="K371" i="15"/>
  <c r="B371" i="15" s="1"/>
  <c r="L371" i="15"/>
  <c r="N371" i="15"/>
  <c r="O371" i="15"/>
  <c r="P371" i="15"/>
  <c r="Q371" i="15"/>
  <c r="R371" i="15"/>
  <c r="S371" i="15"/>
  <c r="T371" i="15"/>
  <c r="U371" i="15"/>
  <c r="V371" i="15"/>
  <c r="W371" i="15"/>
  <c r="X371" i="15" s="1"/>
  <c r="Y371" i="15"/>
  <c r="Z371" i="15"/>
  <c r="AA371" i="15"/>
  <c r="AB371" i="15"/>
  <c r="AC371" i="15"/>
  <c r="AD371" i="15"/>
  <c r="AE371" i="15"/>
  <c r="AF371" i="15"/>
  <c r="AG371" i="15"/>
  <c r="AH371" i="15"/>
  <c r="AI371" i="15" s="1"/>
  <c r="AJ371" i="15"/>
  <c r="AK371" i="15"/>
  <c r="AL371" i="15"/>
  <c r="AM371" i="15"/>
  <c r="AN371" i="15"/>
  <c r="AO371" i="15"/>
  <c r="K372" i="15"/>
  <c r="C372" i="15" s="1"/>
  <c r="L372" i="15"/>
  <c r="N372" i="15"/>
  <c r="O372" i="15"/>
  <c r="P372" i="15"/>
  <c r="Q372" i="15"/>
  <c r="R372" i="15"/>
  <c r="S372" i="15"/>
  <c r="T372" i="15"/>
  <c r="U372" i="15"/>
  <c r="V372" i="15"/>
  <c r="W372" i="15"/>
  <c r="X372" i="15" s="1"/>
  <c r="Y372" i="15"/>
  <c r="Z372" i="15"/>
  <c r="AA372" i="15"/>
  <c r="AB372" i="15"/>
  <c r="AC372" i="15"/>
  <c r="AD372" i="15"/>
  <c r="AE372" i="15"/>
  <c r="AF372" i="15"/>
  <c r="AG372" i="15"/>
  <c r="AH372" i="15"/>
  <c r="AI372" i="15" s="1"/>
  <c r="AJ372" i="15"/>
  <c r="AK372" i="15"/>
  <c r="AL372" i="15"/>
  <c r="AM372" i="15"/>
  <c r="AN372" i="15"/>
  <c r="AO372" i="15"/>
  <c r="K373" i="15"/>
  <c r="L373" i="15"/>
  <c r="N373" i="15"/>
  <c r="O373" i="15"/>
  <c r="P373" i="15"/>
  <c r="Q373" i="15"/>
  <c r="R373" i="15"/>
  <c r="S373" i="15"/>
  <c r="T373" i="15"/>
  <c r="U373" i="15"/>
  <c r="V373" i="15"/>
  <c r="W373" i="15"/>
  <c r="X373" i="15" s="1"/>
  <c r="Y373" i="15"/>
  <c r="Z373" i="15"/>
  <c r="AA373" i="15"/>
  <c r="AB373" i="15"/>
  <c r="AC373" i="15"/>
  <c r="AD373" i="15"/>
  <c r="AE373" i="15"/>
  <c r="AF373" i="15"/>
  <c r="AG373" i="15"/>
  <c r="AH373" i="15"/>
  <c r="AI373" i="15" s="1"/>
  <c r="AJ373" i="15"/>
  <c r="AK373" i="15"/>
  <c r="AL373" i="15"/>
  <c r="AM373" i="15"/>
  <c r="AN373" i="15"/>
  <c r="AO373" i="15"/>
  <c r="L2" i="16" a="1"/>
  <c r="L2" i="16" s="1"/>
  <c r="AF2" i="15"/>
  <c r="AD2" i="15"/>
  <c r="C19" i="24"/>
  <c r="C18" i="24"/>
  <c r="C17" i="24"/>
  <c r="C16" i="24"/>
  <c r="C15" i="24"/>
  <c r="C14" i="24"/>
  <c r="C13" i="24"/>
  <c r="C12" i="24"/>
  <c r="C11" i="24"/>
  <c r="C10" i="24"/>
  <c r="C9" i="24"/>
  <c r="C8" i="24"/>
  <c r="C7" i="24"/>
  <c r="C6" i="24"/>
  <c r="C5" i="24"/>
  <c r="C4" i="24"/>
  <c r="B3" i="24" a="1"/>
  <c r="B3" i="24" s="1"/>
  <c r="C19" i="13"/>
  <c r="C18" i="13"/>
  <c r="C17" i="13"/>
  <c r="C16" i="13"/>
  <c r="C15" i="13"/>
  <c r="C14" i="13"/>
  <c r="C13" i="13"/>
  <c r="C12" i="13"/>
  <c r="C11" i="13"/>
  <c r="C10" i="13"/>
  <c r="C9" i="13"/>
  <c r="C8" i="13"/>
  <c r="C7" i="13"/>
  <c r="C6" i="13"/>
  <c r="C5" i="13"/>
  <c r="C4" i="13"/>
  <c r="B3" i="13" a="1"/>
  <c r="B3" i="13" s="1"/>
  <c r="C19" i="12"/>
  <c r="C18" i="12"/>
  <c r="C17" i="12"/>
  <c r="C16" i="12"/>
  <c r="C15" i="12"/>
  <c r="C14" i="12"/>
  <c r="C13" i="12"/>
  <c r="C12" i="12"/>
  <c r="C11" i="12"/>
  <c r="C10" i="12"/>
  <c r="C9" i="12"/>
  <c r="C8" i="12"/>
  <c r="C7" i="12"/>
  <c r="C6" i="12"/>
  <c r="C5" i="12"/>
  <c r="C4" i="12"/>
  <c r="B3" i="12" a="1"/>
  <c r="B3" i="12" s="1"/>
  <c r="C19" i="11"/>
  <c r="C18" i="11"/>
  <c r="C17" i="11"/>
  <c r="C16" i="11"/>
  <c r="C15" i="11"/>
  <c r="C14" i="11"/>
  <c r="C13" i="11"/>
  <c r="C12" i="11"/>
  <c r="C11" i="11"/>
  <c r="C7" i="11"/>
  <c r="C6" i="11"/>
  <c r="C5" i="11"/>
  <c r="C4" i="11"/>
  <c r="AH2" i="15"/>
  <c r="W2" i="15"/>
  <c r="AP3" i="15" l="1"/>
  <c r="T9" i="24"/>
  <c r="V9" i="24" s="1"/>
  <c r="R10" i="24"/>
  <c r="AQ335" i="15"/>
  <c r="A6" i="15"/>
  <c r="H55" i="15"/>
  <c r="M328" i="15"/>
  <c r="F210" i="15"/>
  <c r="I237" i="15"/>
  <c r="AQ77" i="15"/>
  <c r="AQ50" i="15"/>
  <c r="AP210" i="15"/>
  <c r="AQ142" i="15"/>
  <c r="AP142" i="15"/>
  <c r="C142" i="15"/>
  <c r="B6" i="15"/>
  <c r="C311" i="15"/>
  <c r="H299" i="15"/>
  <c r="AP347" i="15"/>
  <c r="C287" i="15"/>
  <c r="G334" i="15"/>
  <c r="D201" i="15"/>
  <c r="A332" i="15"/>
  <c r="D213" i="15"/>
  <c r="E14" i="15"/>
  <c r="D14" i="15"/>
  <c r="G142" i="15"/>
  <c r="J369" i="15"/>
  <c r="D361" i="15"/>
  <c r="G293" i="15"/>
  <c r="AQ237" i="15"/>
  <c r="AP225" i="15"/>
  <c r="M213" i="15"/>
  <c r="I60" i="15"/>
  <c r="C14" i="15"/>
  <c r="AQ60" i="15"/>
  <c r="AQ293" i="15"/>
  <c r="AQ275" i="15"/>
  <c r="A172" i="15"/>
  <c r="AP83" i="15"/>
  <c r="E369" i="15"/>
  <c r="E335" i="15"/>
  <c r="B311" i="15"/>
  <c r="G299" i="15"/>
  <c r="A8" i="15"/>
  <c r="B300" i="15"/>
  <c r="E297" i="15"/>
  <c r="M215" i="15"/>
  <c r="AP147" i="15"/>
  <c r="M92" i="15"/>
  <c r="A59" i="15"/>
  <c r="AP332" i="15"/>
  <c r="I328" i="15"/>
  <c r="AQ311" i="15"/>
  <c r="AQ299" i="15"/>
  <c r="F237" i="15"/>
  <c r="AQ152" i="15"/>
  <c r="E78" i="15"/>
  <c r="B369" i="15"/>
  <c r="B346" i="15"/>
  <c r="F328" i="15"/>
  <c r="E313" i="15"/>
  <c r="D297" i="15"/>
  <c r="AP293" i="15"/>
  <c r="F293" i="15"/>
  <c r="AP278" i="15"/>
  <c r="A265" i="15"/>
  <c r="AP237" i="15"/>
  <c r="A237" i="15"/>
  <c r="M194" i="15"/>
  <c r="A49" i="15"/>
  <c r="F17" i="15"/>
  <c r="A346" i="15"/>
  <c r="AP325" i="15"/>
  <c r="B313" i="15"/>
  <c r="B334" i="15"/>
  <c r="AP313" i="15"/>
  <c r="M289" i="15"/>
  <c r="C201" i="15"/>
  <c r="J164" i="15"/>
  <c r="G65" i="15"/>
  <c r="F33" i="15"/>
  <c r="F335" i="15"/>
  <c r="AP323" i="15"/>
  <c r="M293" i="15"/>
  <c r="AP265" i="15"/>
  <c r="J224" i="15"/>
  <c r="D206" i="15"/>
  <c r="AQ166" i="15"/>
  <c r="G164" i="15"/>
  <c r="AQ122" i="15"/>
  <c r="F65" i="15"/>
  <c r="M312" i="15"/>
  <c r="AQ178" i="15"/>
  <c r="AQ164" i="15"/>
  <c r="E164" i="15"/>
  <c r="AP122" i="15"/>
  <c r="M14" i="15"/>
  <c r="M346" i="15"/>
  <c r="M313" i="15"/>
  <c r="AP164" i="15"/>
  <c r="B164" i="15"/>
  <c r="AP146" i="15"/>
  <c r="I369" i="15"/>
  <c r="H300" i="15"/>
  <c r="B294" i="15"/>
  <c r="H293" i="15"/>
  <c r="C292" i="15"/>
  <c r="C278" i="15"/>
  <c r="AP261" i="15"/>
  <c r="G237" i="15"/>
  <c r="G210" i="15"/>
  <c r="F142" i="15"/>
  <c r="F317" i="15"/>
  <c r="C258" i="15"/>
  <c r="H180" i="15"/>
  <c r="G165" i="15"/>
  <c r="B151" i="15"/>
  <c r="G113" i="15"/>
  <c r="D81" i="15"/>
  <c r="M370" i="15"/>
  <c r="C365" i="15"/>
  <c r="D356" i="15"/>
  <c r="D335" i="15"/>
  <c r="A334" i="15"/>
  <c r="E317" i="15"/>
  <c r="C316" i="15"/>
  <c r="M314" i="15"/>
  <c r="I306" i="15"/>
  <c r="M270" i="15"/>
  <c r="AQ246" i="15"/>
  <c r="F242" i="15"/>
  <c r="M234" i="15"/>
  <c r="M224" i="15"/>
  <c r="B208" i="15"/>
  <c r="M201" i="15"/>
  <c r="I191" i="15"/>
  <c r="H183" i="15"/>
  <c r="B180" i="15"/>
  <c r="E142" i="15"/>
  <c r="H124" i="15"/>
  <c r="A113" i="15"/>
  <c r="M59" i="15"/>
  <c r="M49" i="15"/>
  <c r="M42" i="15"/>
  <c r="A335" i="15"/>
  <c r="AQ317" i="15"/>
  <c r="D317" i="15"/>
  <c r="F313" i="15"/>
  <c r="G306" i="15"/>
  <c r="I297" i="15"/>
  <c r="B289" i="15"/>
  <c r="M227" i="15"/>
  <c r="AQ208" i="15"/>
  <c r="D194" i="15"/>
  <c r="E191" i="15"/>
  <c r="F183" i="15"/>
  <c r="AQ151" i="15"/>
  <c r="F146" i="15"/>
  <c r="AQ129" i="15"/>
  <c r="G124" i="15"/>
  <c r="AQ113" i="15"/>
  <c r="G89" i="15"/>
  <c r="C76" i="15"/>
  <c r="C66" i="15"/>
  <c r="AQ53" i="15"/>
  <c r="B317" i="15"/>
  <c r="AQ306" i="15"/>
  <c r="AQ305" i="15"/>
  <c r="AP208" i="15"/>
  <c r="C191" i="15"/>
  <c r="AP180" i="15"/>
  <c r="AQ165" i="15"/>
  <c r="AQ143" i="15"/>
  <c r="AP129" i="15"/>
  <c r="AQ124" i="15"/>
  <c r="AP113" i="15"/>
  <c r="A76" i="15"/>
  <c r="AP53" i="15"/>
  <c r="I23" i="15"/>
  <c r="J370" i="15"/>
  <c r="E357" i="15"/>
  <c r="E347" i="15"/>
  <c r="J332" i="15"/>
  <c r="D325" i="15"/>
  <c r="B319" i="15"/>
  <c r="I201" i="15"/>
  <c r="AP191" i="15"/>
  <c r="A191" i="15"/>
  <c r="AP124" i="15"/>
  <c r="J77" i="15"/>
  <c r="AP66" i="15"/>
  <c r="AQ59" i="15"/>
  <c r="J59" i="15"/>
  <c r="G55" i="15"/>
  <c r="H49" i="15"/>
  <c r="C42" i="15"/>
  <c r="G23" i="15"/>
  <c r="C370" i="15"/>
  <c r="AQ346" i="15"/>
  <c r="G332" i="15"/>
  <c r="AP328" i="15"/>
  <c r="E328" i="15"/>
  <c r="A319" i="15"/>
  <c r="M317" i="15"/>
  <c r="A304" i="15"/>
  <c r="AP297" i="15"/>
  <c r="E293" i="15"/>
  <c r="B283" i="15"/>
  <c r="F278" i="15"/>
  <c r="D275" i="15"/>
  <c r="D268" i="15"/>
  <c r="H265" i="15"/>
  <c r="C262" i="15"/>
  <c r="B224" i="15"/>
  <c r="AQ201" i="15"/>
  <c r="G201" i="15"/>
  <c r="E122" i="15"/>
  <c r="AQ89" i="15"/>
  <c r="I77" i="15"/>
  <c r="AP59" i="15"/>
  <c r="I59" i="15"/>
  <c r="E49" i="15"/>
  <c r="B48" i="15"/>
  <c r="A42" i="15"/>
  <c r="A370" i="15"/>
  <c r="AQ332" i="15"/>
  <c r="F332" i="15"/>
  <c r="D328" i="15"/>
  <c r="AP319" i="15"/>
  <c r="J299" i="15"/>
  <c r="E278" i="15"/>
  <c r="A268" i="15"/>
  <c r="B265" i="15"/>
  <c r="G246" i="15"/>
  <c r="J235" i="15"/>
  <c r="A224" i="15"/>
  <c r="E201" i="15"/>
  <c r="AP166" i="15"/>
  <c r="D122" i="15"/>
  <c r="D62" i="15"/>
  <c r="H59" i="15"/>
  <c r="B49" i="15"/>
  <c r="AQ200" i="15"/>
  <c r="D200" i="15"/>
  <c r="H200" i="15"/>
  <c r="F171" i="15"/>
  <c r="H171" i="15"/>
  <c r="A79" i="15"/>
  <c r="G79" i="15"/>
  <c r="J79" i="15"/>
  <c r="D329" i="15"/>
  <c r="C329" i="15"/>
  <c r="F329" i="15"/>
  <c r="AP329" i="15"/>
  <c r="I329" i="15"/>
  <c r="J329" i="15"/>
  <c r="C277" i="15"/>
  <c r="M277" i="15"/>
  <c r="A277" i="15"/>
  <c r="AP277" i="15"/>
  <c r="I277" i="15"/>
  <c r="G140" i="15"/>
  <c r="M140" i="15"/>
  <c r="D140" i="15"/>
  <c r="A103" i="15"/>
  <c r="AQ103" i="15"/>
  <c r="D103" i="15"/>
  <c r="E103" i="15"/>
  <c r="H103" i="15"/>
  <c r="M308" i="15"/>
  <c r="A308" i="15"/>
  <c r="E308" i="15"/>
  <c r="AQ308" i="15"/>
  <c r="G308" i="15"/>
  <c r="C226" i="15"/>
  <c r="M226" i="15"/>
  <c r="J277" i="15"/>
  <c r="C254" i="15"/>
  <c r="AP254" i="15"/>
  <c r="F254" i="15"/>
  <c r="AQ254" i="15"/>
  <c r="H254" i="15"/>
  <c r="I254" i="15"/>
  <c r="E140" i="15"/>
  <c r="D71" i="15"/>
  <c r="M71" i="15"/>
  <c r="B71" i="15"/>
  <c r="E71" i="15"/>
  <c r="G71" i="15"/>
  <c r="AP190" i="15"/>
  <c r="C190" i="15"/>
  <c r="C238" i="15"/>
  <c r="M238" i="15"/>
  <c r="G309" i="15"/>
  <c r="D309" i="15"/>
  <c r="A238" i="15"/>
  <c r="M199" i="15"/>
  <c r="A199" i="15"/>
  <c r="C199" i="15"/>
  <c r="F170" i="15"/>
  <c r="J93" i="15"/>
  <c r="C93" i="15"/>
  <c r="AP93" i="15"/>
  <c r="D93" i="15"/>
  <c r="E93" i="15"/>
  <c r="H93" i="15"/>
  <c r="A372" i="15"/>
  <c r="I308" i="15"/>
  <c r="G190" i="15"/>
  <c r="D177" i="15"/>
  <c r="B177" i="15"/>
  <c r="C177" i="15"/>
  <c r="AQ177" i="15"/>
  <c r="E177" i="15"/>
  <c r="I177" i="15"/>
  <c r="H373" i="15"/>
  <c r="D373" i="15"/>
  <c r="B359" i="15"/>
  <c r="M359" i="15"/>
  <c r="A359" i="15"/>
  <c r="D359" i="15"/>
  <c r="E359" i="15"/>
  <c r="AQ359" i="15"/>
  <c r="F359" i="15"/>
  <c r="E358" i="15"/>
  <c r="A358" i="15"/>
  <c r="B358" i="15"/>
  <c r="G358" i="15"/>
  <c r="D141" i="15"/>
  <c r="B141" i="15"/>
  <c r="AQ141" i="15"/>
  <c r="C141" i="15"/>
  <c r="G359" i="15"/>
  <c r="H276" i="15"/>
  <c r="C100" i="15"/>
  <c r="A91" i="15"/>
  <c r="H91" i="15"/>
  <c r="J91" i="15"/>
  <c r="A86" i="15"/>
  <c r="D86" i="15"/>
  <c r="E86" i="15"/>
  <c r="F86" i="15"/>
  <c r="G86" i="15"/>
  <c r="H86" i="15"/>
  <c r="AP86" i="15"/>
  <c r="I86" i="15"/>
  <c r="AQ86" i="15"/>
  <c r="G9" i="15"/>
  <c r="C9" i="15"/>
  <c r="D9" i="15"/>
  <c r="F124" i="15"/>
  <c r="A77" i="15"/>
  <c r="M65" i="15"/>
  <c r="D65" i="15"/>
  <c r="F59" i="15"/>
  <c r="AP23" i="15"/>
  <c r="D23" i="15"/>
  <c r="M6" i="15"/>
  <c r="H352" i="15"/>
  <c r="B345" i="15"/>
  <c r="H340" i="15"/>
  <c r="M335" i="15"/>
  <c r="F330" i="15"/>
  <c r="AP300" i="15"/>
  <c r="D299" i="15"/>
  <c r="A251" i="15"/>
  <c r="D244" i="15"/>
  <c r="I231" i="15"/>
  <c r="E230" i="15"/>
  <c r="M195" i="15"/>
  <c r="D185" i="15"/>
  <c r="H178" i="15"/>
  <c r="M136" i="15"/>
  <c r="I129" i="15"/>
  <c r="E124" i="15"/>
  <c r="M113" i="15"/>
  <c r="E102" i="15"/>
  <c r="J101" i="15"/>
  <c r="C65" i="15"/>
  <c r="D59" i="15"/>
  <c r="D52" i="15"/>
  <c r="C23" i="15"/>
  <c r="G352" i="15"/>
  <c r="G346" i="15"/>
  <c r="G340" i="15"/>
  <c r="I323" i="15"/>
  <c r="E322" i="15"/>
  <c r="J317" i="15"/>
  <c r="C314" i="15"/>
  <c r="J313" i="15"/>
  <c r="H311" i="15"/>
  <c r="G283" i="15"/>
  <c r="I246" i="15"/>
  <c r="AQ244" i="15"/>
  <c r="C231" i="15"/>
  <c r="A230" i="15"/>
  <c r="F206" i="15"/>
  <c r="J194" i="15"/>
  <c r="M191" i="15"/>
  <c r="J180" i="15"/>
  <c r="H129" i="15"/>
  <c r="D104" i="15"/>
  <c r="C102" i="15"/>
  <c r="H101" i="15"/>
  <c r="J92" i="15"/>
  <c r="A23" i="15"/>
  <c r="G323" i="15"/>
  <c r="H317" i="15"/>
  <c r="I313" i="15"/>
  <c r="G311" i="15"/>
  <c r="AQ283" i="15"/>
  <c r="F283" i="15"/>
  <c r="A282" i="15"/>
  <c r="M268" i="15"/>
  <c r="AP244" i="15"/>
  <c r="B231" i="15"/>
  <c r="F152" i="15"/>
  <c r="G129" i="15"/>
  <c r="I105" i="15"/>
  <c r="B102" i="15"/>
  <c r="D92" i="15"/>
  <c r="M89" i="15"/>
  <c r="M77" i="15"/>
  <c r="AQ65" i="15"/>
  <c r="J65" i="15"/>
  <c r="J53" i="15"/>
  <c r="I50" i="15"/>
  <c r="C41" i="15"/>
  <c r="D33" i="15"/>
  <c r="M23" i="15"/>
  <c r="I6" i="15"/>
  <c r="I5" i="15"/>
  <c r="AP352" i="15"/>
  <c r="AP340" i="15"/>
  <c r="G335" i="15"/>
  <c r="B333" i="15"/>
  <c r="I332" i="15"/>
  <c r="AP330" i="15"/>
  <c r="AQ328" i="15"/>
  <c r="G328" i="15"/>
  <c r="C327" i="15"/>
  <c r="AQ323" i="15"/>
  <c r="C323" i="15"/>
  <c r="C319" i="15"/>
  <c r="AP317" i="15"/>
  <c r="G317" i="15"/>
  <c r="I315" i="15"/>
  <c r="H313" i="15"/>
  <c r="D311" i="15"/>
  <c r="A305" i="15"/>
  <c r="F297" i="15"/>
  <c r="AP283" i="15"/>
  <c r="D283" i="15"/>
  <c r="J261" i="15"/>
  <c r="AP246" i="15"/>
  <c r="E246" i="15"/>
  <c r="I235" i="15"/>
  <c r="A231" i="15"/>
  <c r="G225" i="15"/>
  <c r="D224" i="15"/>
  <c r="E223" i="15"/>
  <c r="I207" i="15"/>
  <c r="C194" i="15"/>
  <c r="F180" i="15"/>
  <c r="F166" i="15"/>
  <c r="F164" i="15"/>
  <c r="G163" i="15"/>
  <c r="I143" i="15"/>
  <c r="D129" i="15"/>
  <c r="G122" i="15"/>
  <c r="E114" i="15"/>
  <c r="J113" i="15"/>
  <c r="G83" i="15"/>
  <c r="AP65" i="15"/>
  <c r="I65" i="15"/>
  <c r="A53" i="15"/>
  <c r="E50" i="15"/>
  <c r="AP6" i="15"/>
  <c r="F6" i="15"/>
  <c r="H371" i="15"/>
  <c r="B370" i="15"/>
  <c r="H369" i="15"/>
  <c r="E261" i="15"/>
  <c r="C224" i="15"/>
  <c r="F208" i="15"/>
  <c r="AQ206" i="15"/>
  <c r="C180" i="15"/>
  <c r="C166" i="15"/>
  <c r="C143" i="15"/>
  <c r="I113" i="15"/>
  <c r="D83" i="15"/>
  <c r="F76" i="15"/>
  <c r="H65" i="15"/>
  <c r="I307" i="15"/>
  <c r="AQ307" i="15"/>
  <c r="G307" i="15"/>
  <c r="H307" i="15"/>
  <c r="A285" i="15"/>
  <c r="J285" i="15"/>
  <c r="E236" i="15"/>
  <c r="M236" i="15"/>
  <c r="A236" i="15"/>
  <c r="B236" i="15"/>
  <c r="C236" i="15"/>
  <c r="D236" i="15"/>
  <c r="J236" i="15"/>
  <c r="M184" i="15"/>
  <c r="A184" i="15"/>
  <c r="B184" i="15"/>
  <c r="F70" i="15"/>
  <c r="M70" i="15"/>
  <c r="J70" i="15"/>
  <c r="H321" i="15"/>
  <c r="AP321" i="15"/>
  <c r="E321" i="15"/>
  <c r="AQ321" i="15"/>
  <c r="F321" i="15"/>
  <c r="H253" i="15"/>
  <c r="B253" i="15"/>
  <c r="D253" i="15"/>
  <c r="E253" i="15"/>
  <c r="H203" i="15"/>
  <c r="A203" i="15"/>
  <c r="AP203" i="15"/>
  <c r="AQ203" i="15"/>
  <c r="D203" i="15"/>
  <c r="E203" i="15"/>
  <c r="F203" i="15"/>
  <c r="A176" i="15"/>
  <c r="B176" i="15"/>
  <c r="E176" i="15"/>
  <c r="AP176" i="15"/>
  <c r="AQ176" i="15"/>
  <c r="F176" i="15"/>
  <c r="I176" i="15"/>
  <c r="J176" i="15"/>
  <c r="G156" i="15"/>
  <c r="E156" i="15"/>
  <c r="AP156" i="15"/>
  <c r="C156" i="15"/>
  <c r="I337" i="15"/>
  <c r="C337" i="15"/>
  <c r="H266" i="15"/>
  <c r="F266" i="15"/>
  <c r="A211" i="15"/>
  <c r="E211" i="15"/>
  <c r="I211" i="15"/>
  <c r="D111" i="15"/>
  <c r="B111" i="15"/>
  <c r="I111" i="15"/>
  <c r="A98" i="15"/>
  <c r="D98" i="15"/>
  <c r="E98" i="15"/>
  <c r="I98" i="15"/>
  <c r="J98" i="15"/>
  <c r="AP98" i="15"/>
  <c r="AQ98" i="15"/>
  <c r="F98" i="15"/>
  <c r="G98" i="15"/>
  <c r="H288" i="15"/>
  <c r="M288" i="15"/>
  <c r="D288" i="15"/>
  <c r="E288" i="15"/>
  <c r="AP288" i="15"/>
  <c r="F288" i="15"/>
  <c r="AQ288" i="15"/>
  <c r="G288" i="15"/>
  <c r="A255" i="15"/>
  <c r="M255" i="15"/>
  <c r="I255" i="15"/>
  <c r="E128" i="15"/>
  <c r="B128" i="15"/>
  <c r="C128" i="15"/>
  <c r="D128" i="15"/>
  <c r="A286" i="15"/>
  <c r="C286" i="15"/>
  <c r="AQ286" i="15"/>
  <c r="E286" i="15"/>
  <c r="G286" i="15"/>
  <c r="I286" i="15"/>
  <c r="H368" i="15"/>
  <c r="M368" i="15"/>
  <c r="A368" i="15"/>
  <c r="D368" i="15"/>
  <c r="E368" i="15"/>
  <c r="AP368" i="15"/>
  <c r="F368" i="15"/>
  <c r="I368" i="15"/>
  <c r="F280" i="15"/>
  <c r="D280" i="15"/>
  <c r="I280" i="15"/>
  <c r="M133" i="15"/>
  <c r="C133" i="15"/>
  <c r="E133" i="15"/>
  <c r="I133" i="15"/>
  <c r="I112" i="15"/>
  <c r="A112" i="15"/>
  <c r="C112" i="15"/>
  <c r="AP112" i="15"/>
  <c r="E112" i="15"/>
  <c r="F112" i="15"/>
  <c r="J112" i="15"/>
  <c r="D256" i="15"/>
  <c r="F256" i="15"/>
  <c r="H256" i="15"/>
  <c r="I366" i="15"/>
  <c r="AP366" i="15"/>
  <c r="B366" i="15"/>
  <c r="B259" i="15"/>
  <c r="C259" i="15"/>
  <c r="H259" i="15"/>
  <c r="J259" i="15"/>
  <c r="A196" i="15"/>
  <c r="H196" i="15"/>
  <c r="F196" i="15"/>
  <c r="M196" i="15"/>
  <c r="B196" i="15"/>
  <c r="D196" i="15"/>
  <c r="G196" i="15"/>
  <c r="AP196" i="15"/>
  <c r="I196" i="15"/>
  <c r="AQ196" i="15"/>
  <c r="J196" i="15"/>
  <c r="J117" i="15"/>
  <c r="E117" i="15"/>
  <c r="AQ117" i="15"/>
  <c r="H117" i="15"/>
  <c r="C117" i="15"/>
  <c r="AP117" i="15"/>
  <c r="D117" i="15"/>
  <c r="AQ373" i="15"/>
  <c r="C373" i="15"/>
  <c r="B365" i="15"/>
  <c r="AQ361" i="15"/>
  <c r="C361" i="15"/>
  <c r="C356" i="15"/>
  <c r="M347" i="15"/>
  <c r="AP322" i="15"/>
  <c r="B322" i="15"/>
  <c r="A300" i="15"/>
  <c r="A289" i="15"/>
  <c r="AP276" i="15"/>
  <c r="A276" i="15"/>
  <c r="M258" i="15"/>
  <c r="D230" i="15"/>
  <c r="E206" i="15"/>
  <c r="C202" i="15"/>
  <c r="B202" i="15"/>
  <c r="AP178" i="15"/>
  <c r="J159" i="15"/>
  <c r="I159" i="15"/>
  <c r="C148" i="15"/>
  <c r="M148" i="15"/>
  <c r="B148" i="15"/>
  <c r="A115" i="15"/>
  <c r="AQ115" i="15"/>
  <c r="A27" i="15"/>
  <c r="J27" i="15"/>
  <c r="F4" i="15"/>
  <c r="E4" i="15"/>
  <c r="B373" i="15"/>
  <c r="A365" i="15"/>
  <c r="B361" i="15"/>
  <c r="H161" i="15"/>
  <c r="I161" i="15"/>
  <c r="A134" i="15"/>
  <c r="F134" i="15"/>
  <c r="AP134" i="15"/>
  <c r="G134" i="15"/>
  <c r="A106" i="15"/>
  <c r="M106" i="15"/>
  <c r="D99" i="15"/>
  <c r="B99" i="15"/>
  <c r="I99" i="15"/>
  <c r="B74" i="15"/>
  <c r="A74" i="15"/>
  <c r="D74" i="15"/>
  <c r="F74" i="15"/>
  <c r="AP74" i="15"/>
  <c r="G74" i="15"/>
  <c r="AQ74" i="15"/>
  <c r="I74" i="15"/>
  <c r="J74" i="15"/>
  <c r="C37" i="15"/>
  <c r="E37" i="15"/>
  <c r="H37" i="15"/>
  <c r="D344" i="15"/>
  <c r="G325" i="15"/>
  <c r="I312" i="15"/>
  <c r="E302" i="15"/>
  <c r="I301" i="15"/>
  <c r="J289" i="15"/>
  <c r="B287" i="15"/>
  <c r="I273" i="15"/>
  <c r="I269" i="15"/>
  <c r="E242" i="15"/>
  <c r="G239" i="15"/>
  <c r="J234" i="15"/>
  <c r="F227" i="15"/>
  <c r="A206" i="15"/>
  <c r="A185" i="15"/>
  <c r="G161" i="15"/>
  <c r="H134" i="15"/>
  <c r="A131" i="15"/>
  <c r="D115" i="15"/>
  <c r="A107" i="15"/>
  <c r="M107" i="15"/>
  <c r="B107" i="15"/>
  <c r="J107" i="15"/>
  <c r="H106" i="15"/>
  <c r="J100" i="15"/>
  <c r="G100" i="15"/>
  <c r="AP100" i="15"/>
  <c r="H100" i="15"/>
  <c r="AQ100" i="15"/>
  <c r="I100" i="15"/>
  <c r="D100" i="15"/>
  <c r="M100" i="15"/>
  <c r="E100" i="15"/>
  <c r="J12" i="15"/>
  <c r="C12" i="15"/>
  <c r="E12" i="15"/>
  <c r="F12" i="15"/>
  <c r="AP12" i="15"/>
  <c r="H12" i="15"/>
  <c r="AQ12" i="15"/>
  <c r="I12" i="15"/>
  <c r="M373" i="15"/>
  <c r="M365" i="15"/>
  <c r="M361" i="15"/>
  <c r="M356" i="15"/>
  <c r="I347" i="15"/>
  <c r="D332" i="15"/>
  <c r="B329" i="15"/>
  <c r="F325" i="15"/>
  <c r="G312" i="15"/>
  <c r="J309" i="15"/>
  <c r="B306" i="15"/>
  <c r="I305" i="15"/>
  <c r="D304" i="15"/>
  <c r="J303" i="15"/>
  <c r="C302" i="15"/>
  <c r="H301" i="15"/>
  <c r="J300" i="15"/>
  <c r="AP289" i="15"/>
  <c r="I289" i="15"/>
  <c r="E273" i="15"/>
  <c r="G269" i="15"/>
  <c r="AQ258" i="15"/>
  <c r="J258" i="15"/>
  <c r="B250" i="15"/>
  <c r="H247" i="15"/>
  <c r="F239" i="15"/>
  <c r="E235" i="15"/>
  <c r="D234" i="15"/>
  <c r="M230" i="15"/>
  <c r="AQ227" i="15"/>
  <c r="E227" i="15"/>
  <c r="I225" i="15"/>
  <c r="B213" i="15"/>
  <c r="H213" i="15"/>
  <c r="AP213" i="15"/>
  <c r="E213" i="15"/>
  <c r="A200" i="15"/>
  <c r="G200" i="15"/>
  <c r="AP200" i="15"/>
  <c r="AQ173" i="15"/>
  <c r="F161" i="15"/>
  <c r="AP159" i="15"/>
  <c r="A110" i="15"/>
  <c r="F110" i="15"/>
  <c r="AQ110" i="15"/>
  <c r="G110" i="15"/>
  <c r="I110" i="15"/>
  <c r="D110" i="15"/>
  <c r="F107" i="15"/>
  <c r="F100" i="15"/>
  <c r="I88" i="15"/>
  <c r="M88" i="15"/>
  <c r="A88" i="15"/>
  <c r="D88" i="15"/>
  <c r="E88" i="15"/>
  <c r="G88" i="15"/>
  <c r="AQ88" i="15"/>
  <c r="J88" i="15"/>
  <c r="F28" i="15"/>
  <c r="C28" i="15"/>
  <c r="D28" i="15"/>
  <c r="E28" i="15"/>
  <c r="J359" i="15"/>
  <c r="M358" i="15"/>
  <c r="C351" i="15"/>
  <c r="F347" i="15"/>
  <c r="E345" i="15"/>
  <c r="J335" i="15"/>
  <c r="M334" i="15"/>
  <c r="M332" i="15"/>
  <c r="B332" i="15"/>
  <c r="M329" i="15"/>
  <c r="A329" i="15"/>
  <c r="J328" i="15"/>
  <c r="AQ325" i="15"/>
  <c r="E325" i="15"/>
  <c r="J323" i="15"/>
  <c r="M319" i="15"/>
  <c r="AP312" i="15"/>
  <c r="F312" i="15"/>
  <c r="I309" i="15"/>
  <c r="A306" i="15"/>
  <c r="H305" i="15"/>
  <c r="C304" i="15"/>
  <c r="AP302" i="15"/>
  <c r="AP301" i="15"/>
  <c r="AQ300" i="15"/>
  <c r="I300" i="15"/>
  <c r="M294" i="15"/>
  <c r="H289" i="15"/>
  <c r="AQ287" i="15"/>
  <c r="D273" i="15"/>
  <c r="AQ269" i="15"/>
  <c r="F269" i="15"/>
  <c r="M265" i="15"/>
  <c r="AP258" i="15"/>
  <c r="D258" i="15"/>
  <c r="A250" i="15"/>
  <c r="E247" i="15"/>
  <c r="E244" i="15"/>
  <c r="AQ239" i="15"/>
  <c r="E239" i="15"/>
  <c r="H238" i="15"/>
  <c r="J237" i="15"/>
  <c r="AQ234" i="15"/>
  <c r="C234" i="15"/>
  <c r="AP227" i="15"/>
  <c r="D227" i="15"/>
  <c r="H225" i="15"/>
  <c r="I213" i="15"/>
  <c r="I200" i="15"/>
  <c r="G189" i="15"/>
  <c r="B189" i="15"/>
  <c r="C189" i="15"/>
  <c r="AQ189" i="15"/>
  <c r="M172" i="15"/>
  <c r="J171" i="15"/>
  <c r="AP171" i="15"/>
  <c r="H170" i="15"/>
  <c r="F163" i="15"/>
  <c r="AQ163" i="15"/>
  <c r="AQ161" i="15"/>
  <c r="D161" i="15"/>
  <c r="H149" i="15"/>
  <c r="AP149" i="15"/>
  <c r="AQ149" i="15"/>
  <c r="A135" i="15"/>
  <c r="AP135" i="15"/>
  <c r="H135" i="15"/>
  <c r="B122" i="15"/>
  <c r="M122" i="15"/>
  <c r="I122" i="15"/>
  <c r="J110" i="15"/>
  <c r="E107" i="15"/>
  <c r="A67" i="15"/>
  <c r="M67" i="15"/>
  <c r="J67" i="15"/>
  <c r="I7" i="15"/>
  <c r="AQ7" i="15"/>
  <c r="G7" i="15"/>
  <c r="H7" i="15"/>
  <c r="E312" i="15"/>
  <c r="F289" i="15"/>
  <c r="AP273" i="15"/>
  <c r="B273" i="15"/>
  <c r="AP269" i="15"/>
  <c r="D269" i="15"/>
  <c r="AP239" i="15"/>
  <c r="D239" i="15"/>
  <c r="A234" i="15"/>
  <c r="C227" i="15"/>
  <c r="I208" i="15"/>
  <c r="C208" i="15"/>
  <c r="C206" i="15"/>
  <c r="J206" i="15"/>
  <c r="G206" i="15"/>
  <c r="AP206" i="15"/>
  <c r="I190" i="15"/>
  <c r="D190" i="15"/>
  <c r="F190" i="15"/>
  <c r="M190" i="15"/>
  <c r="I178" i="15"/>
  <c r="E178" i="15"/>
  <c r="G178" i="15"/>
  <c r="A178" i="15"/>
  <c r="M178" i="15"/>
  <c r="B167" i="15"/>
  <c r="G167" i="15"/>
  <c r="AP167" i="15"/>
  <c r="I167" i="15"/>
  <c r="A167" i="15"/>
  <c r="AP161" i="15"/>
  <c r="E146" i="15"/>
  <c r="J146" i="15"/>
  <c r="B132" i="15"/>
  <c r="F132" i="15"/>
  <c r="D75" i="15"/>
  <c r="B75" i="15"/>
  <c r="I75" i="15"/>
  <c r="J36" i="15"/>
  <c r="B36" i="15"/>
  <c r="C36" i="15"/>
  <c r="F36" i="15"/>
  <c r="AP36" i="15"/>
  <c r="G36" i="15"/>
  <c r="AQ36" i="15"/>
  <c r="H36" i="15"/>
  <c r="I36" i="15"/>
  <c r="H26" i="15"/>
  <c r="E26" i="15"/>
  <c r="G26" i="15"/>
  <c r="AP26" i="15"/>
  <c r="I26" i="15"/>
  <c r="AQ26" i="15"/>
  <c r="J26" i="15"/>
  <c r="G373" i="15"/>
  <c r="M372" i="15"/>
  <c r="J365" i="15"/>
  <c r="D364" i="15"/>
  <c r="G361" i="15"/>
  <c r="H357" i="15"/>
  <c r="G356" i="15"/>
  <c r="B349" i="15"/>
  <c r="D347" i="15"/>
  <c r="C339" i="15"/>
  <c r="E333" i="15"/>
  <c r="D327" i="15"/>
  <c r="B325" i="15"/>
  <c r="D312" i="15"/>
  <c r="AP309" i="15"/>
  <c r="E309" i="15"/>
  <c r="AP305" i="15"/>
  <c r="G300" i="15"/>
  <c r="M292" i="15"/>
  <c r="E289" i="15"/>
  <c r="B282" i="15"/>
  <c r="I276" i="15"/>
  <c r="H275" i="15"/>
  <c r="A269" i="15"/>
  <c r="I261" i="15"/>
  <c r="A258" i="15"/>
  <c r="F246" i="15"/>
  <c r="B244" i="15"/>
  <c r="M242" i="15"/>
  <c r="H237" i="15"/>
  <c r="J230" i="15"/>
  <c r="B227" i="15"/>
  <c r="F225" i="15"/>
  <c r="I223" i="15"/>
  <c r="H210" i="15"/>
  <c r="C210" i="15"/>
  <c r="G208" i="15"/>
  <c r="I206" i="15"/>
  <c r="M202" i="15"/>
  <c r="H190" i="15"/>
  <c r="J178" i="15"/>
  <c r="B170" i="15"/>
  <c r="C167" i="15"/>
  <c r="J147" i="15"/>
  <c r="M147" i="15"/>
  <c r="I147" i="15"/>
  <c r="I146" i="15"/>
  <c r="B143" i="15"/>
  <c r="F143" i="15"/>
  <c r="G143" i="15"/>
  <c r="AP143" i="15"/>
  <c r="M130" i="15"/>
  <c r="J130" i="15"/>
  <c r="AQ107" i="15"/>
  <c r="J105" i="15"/>
  <c r="E105" i="15"/>
  <c r="AP105" i="15"/>
  <c r="F105" i="15"/>
  <c r="AQ105" i="15"/>
  <c r="H105" i="15"/>
  <c r="C105" i="15"/>
  <c r="E29" i="15"/>
  <c r="AP29" i="15"/>
  <c r="A29" i="15"/>
  <c r="AQ29" i="15"/>
  <c r="I29" i="15"/>
  <c r="J29" i="15"/>
  <c r="AP201" i="15"/>
  <c r="H201" i="15"/>
  <c r="AQ199" i="15"/>
  <c r="D199" i="15"/>
  <c r="F194" i="15"/>
  <c r="AP192" i="15"/>
  <c r="G191" i="15"/>
  <c r="G177" i="15"/>
  <c r="E166" i="15"/>
  <c r="B165" i="15"/>
  <c r="I164" i="15"/>
  <c r="E152" i="15"/>
  <c r="C104" i="15"/>
  <c r="G103" i="15"/>
  <c r="F93" i="15"/>
  <c r="A89" i="15"/>
  <c r="E83" i="15"/>
  <c r="AQ76" i="15"/>
  <c r="E76" i="15"/>
  <c r="AQ71" i="15"/>
  <c r="F71" i="15"/>
  <c r="B66" i="15"/>
  <c r="A65" i="15"/>
  <c r="M62" i="15"/>
  <c r="C62" i="15"/>
  <c r="AP60" i="15"/>
  <c r="H60" i="15"/>
  <c r="I53" i="15"/>
  <c r="C52" i="15"/>
  <c r="AP50" i="15"/>
  <c r="G50" i="15"/>
  <c r="B42" i="15"/>
  <c r="AP33" i="15"/>
  <c r="E33" i="15"/>
  <c r="M25" i="15"/>
  <c r="H23" i="15"/>
  <c r="M17" i="15"/>
  <c r="D17" i="15"/>
  <c r="M20" i="15"/>
  <c r="C17" i="15"/>
  <c r="A17" i="15"/>
  <c r="AQ62" i="15"/>
  <c r="J62" i="15"/>
  <c r="I57" i="15"/>
  <c r="A56" i="15"/>
  <c r="I45" i="15"/>
  <c r="H31" i="15"/>
  <c r="H25" i="15"/>
  <c r="F19" i="15"/>
  <c r="AQ17" i="15"/>
  <c r="J17" i="15"/>
  <c r="AQ101" i="15"/>
  <c r="G101" i="15"/>
  <c r="C92" i="15"/>
  <c r="E91" i="15"/>
  <c r="E90" i="15"/>
  <c r="I81" i="15"/>
  <c r="AP77" i="15"/>
  <c r="H77" i="15"/>
  <c r="AP62" i="15"/>
  <c r="I62" i="15"/>
  <c r="AP57" i="15"/>
  <c r="F57" i="15"/>
  <c r="AQ55" i="15"/>
  <c r="AP45" i="15"/>
  <c r="F45" i="15"/>
  <c r="J39" i="15"/>
  <c r="G31" i="15"/>
  <c r="B25" i="15"/>
  <c r="I24" i="15"/>
  <c r="A20" i="15"/>
  <c r="B19" i="15"/>
  <c r="AP17" i="15"/>
  <c r="I17" i="15"/>
  <c r="AQ91" i="15"/>
  <c r="D91" i="15"/>
  <c r="C90" i="15"/>
  <c r="J89" i="15"/>
  <c r="D85" i="15"/>
  <c r="G81" i="15"/>
  <c r="A80" i="15"/>
  <c r="G77" i="15"/>
  <c r="J76" i="15"/>
  <c r="C69" i="15"/>
  <c r="G62" i="15"/>
  <c r="E57" i="15"/>
  <c r="E45" i="15"/>
  <c r="E40" i="15"/>
  <c r="A25" i="15"/>
  <c r="H24" i="15"/>
  <c r="AQ19" i="15"/>
  <c r="H17" i="15"/>
  <c r="AQ5" i="15"/>
  <c r="AQ191" i="15"/>
  <c r="J191" i="15"/>
  <c r="G152" i="15"/>
  <c r="J104" i="15"/>
  <c r="J103" i="15"/>
  <c r="I93" i="15"/>
  <c r="B90" i="15"/>
  <c r="H89" i="15"/>
  <c r="AP81" i="15"/>
  <c r="E81" i="15"/>
  <c r="F77" i="15"/>
  <c r="H76" i="15"/>
  <c r="J71" i="15"/>
  <c r="F62" i="15"/>
  <c r="A61" i="15"/>
  <c r="D57" i="15"/>
  <c r="E52" i="15"/>
  <c r="J51" i="15"/>
  <c r="J50" i="15"/>
  <c r="D45" i="15"/>
  <c r="D40" i="15"/>
  <c r="I33" i="15"/>
  <c r="AQ24" i="15"/>
  <c r="AQ23" i="15"/>
  <c r="J23" i="15"/>
  <c r="B21" i="15"/>
  <c r="AP19" i="15"/>
  <c r="G17" i="15"/>
  <c r="AP5" i="15"/>
  <c r="I354" i="15"/>
  <c r="AP354" i="15"/>
  <c r="F354" i="15"/>
  <c r="AQ354" i="15"/>
  <c r="G354" i="15"/>
  <c r="C348" i="15"/>
  <c r="M348" i="15"/>
  <c r="A348" i="15"/>
  <c r="E348" i="15"/>
  <c r="H348" i="15"/>
  <c r="A188" i="15"/>
  <c r="E188" i="15"/>
  <c r="F188" i="15"/>
  <c r="G188" i="15"/>
  <c r="H188" i="15"/>
  <c r="AP188" i="15"/>
  <c r="I188" i="15"/>
  <c r="D188" i="15"/>
  <c r="B188" i="15"/>
  <c r="AQ188" i="15"/>
  <c r="C188" i="15"/>
  <c r="J188" i="15"/>
  <c r="I342" i="15"/>
  <c r="AP342" i="15"/>
  <c r="F342" i="15"/>
  <c r="AQ342" i="15"/>
  <c r="G342" i="15"/>
  <c r="C336" i="15"/>
  <c r="M336" i="15"/>
  <c r="A336" i="15"/>
  <c r="B336" i="15"/>
  <c r="E336" i="15"/>
  <c r="H336" i="15"/>
  <c r="E264" i="15"/>
  <c r="M264" i="15"/>
  <c r="F264" i="15"/>
  <c r="G264" i="15"/>
  <c r="H264" i="15"/>
  <c r="A264" i="15"/>
  <c r="I264" i="15"/>
  <c r="AP264" i="15"/>
  <c r="B264" i="15"/>
  <c r="J264" i="15"/>
  <c r="AQ264" i="15"/>
  <c r="C264" i="15"/>
  <c r="D264" i="15"/>
  <c r="F229" i="15"/>
  <c r="C229" i="15"/>
  <c r="D229" i="15"/>
  <c r="I232" i="15"/>
  <c r="C232" i="15"/>
  <c r="D232" i="15"/>
  <c r="E232" i="15"/>
  <c r="F232" i="15"/>
  <c r="AP232" i="15"/>
  <c r="G232" i="15"/>
  <c r="AQ232" i="15"/>
  <c r="H232" i="15"/>
  <c r="B232" i="15"/>
  <c r="E373" i="15"/>
  <c r="AP371" i="15"/>
  <c r="I371" i="15"/>
  <c r="AQ370" i="15"/>
  <c r="D370" i="15"/>
  <c r="G368" i="15"/>
  <c r="F365" i="15"/>
  <c r="M364" i="15"/>
  <c r="E364" i="15"/>
  <c r="C363" i="15"/>
  <c r="E361" i="15"/>
  <c r="M360" i="15"/>
  <c r="H359" i="15"/>
  <c r="C358" i="15"/>
  <c r="I357" i="15"/>
  <c r="E356" i="15"/>
  <c r="M353" i="15"/>
  <c r="AQ352" i="15"/>
  <c r="I352" i="15"/>
  <c r="M349" i="15"/>
  <c r="C349" i="15"/>
  <c r="G347" i="15"/>
  <c r="C346" i="15"/>
  <c r="I345" i="15"/>
  <c r="M344" i="15"/>
  <c r="E344" i="15"/>
  <c r="M341" i="15"/>
  <c r="AQ340" i="15"/>
  <c r="I340" i="15"/>
  <c r="M337" i="15"/>
  <c r="D337" i="15"/>
  <c r="H335" i="15"/>
  <c r="C334" i="15"/>
  <c r="I333" i="15"/>
  <c r="C324" i="15"/>
  <c r="A324" i="15"/>
  <c r="B324" i="15"/>
  <c r="E324" i="15"/>
  <c r="H324" i="15"/>
  <c r="H290" i="15"/>
  <c r="C290" i="15"/>
  <c r="AP290" i="15"/>
  <c r="E290" i="15"/>
  <c r="F290" i="15"/>
  <c r="H251" i="15"/>
  <c r="B251" i="15"/>
  <c r="C251" i="15"/>
  <c r="M251" i="15"/>
  <c r="D251" i="15"/>
  <c r="E251" i="15"/>
  <c r="F251" i="15"/>
  <c r="AP251" i="15"/>
  <c r="G251" i="15"/>
  <c r="AQ251" i="15"/>
  <c r="H222" i="15"/>
  <c r="I222" i="15"/>
  <c r="A222" i="15"/>
  <c r="J222" i="15"/>
  <c r="E222" i="15"/>
  <c r="M222" i="15"/>
  <c r="B222" i="15"/>
  <c r="C222" i="15"/>
  <c r="D222" i="15"/>
  <c r="F222" i="15"/>
  <c r="AP222" i="15"/>
  <c r="G222" i="15"/>
  <c r="AQ222" i="15"/>
  <c r="G371" i="15"/>
  <c r="A364" i="15"/>
  <c r="A349" i="15"/>
  <c r="C344" i="15"/>
  <c r="B337" i="15"/>
  <c r="M320" i="15"/>
  <c r="E320" i="15"/>
  <c r="A298" i="15"/>
  <c r="C298" i="15"/>
  <c r="E298" i="15"/>
  <c r="AQ298" i="15"/>
  <c r="G298" i="15"/>
  <c r="I298" i="15"/>
  <c r="D281" i="15"/>
  <c r="E281" i="15"/>
  <c r="M281" i="15"/>
  <c r="F281" i="15"/>
  <c r="G281" i="15"/>
  <c r="H281" i="15"/>
  <c r="AP281" i="15"/>
  <c r="A281" i="15"/>
  <c r="I281" i="15"/>
  <c r="AQ281" i="15"/>
  <c r="D243" i="15"/>
  <c r="M243" i="15"/>
  <c r="A243" i="15"/>
  <c r="B243" i="15"/>
  <c r="C243" i="15"/>
  <c r="I154" i="15"/>
  <c r="D154" i="15"/>
  <c r="M154" i="15"/>
  <c r="E154" i="15"/>
  <c r="F154" i="15"/>
  <c r="G154" i="15"/>
  <c r="H154" i="15"/>
  <c r="AP154" i="15"/>
  <c r="C154" i="15"/>
  <c r="AQ154" i="15"/>
  <c r="A154" i="15"/>
  <c r="B154" i="15"/>
  <c r="J154" i="15"/>
  <c r="E11" i="15"/>
  <c r="I11" i="15"/>
  <c r="AP11" i="15"/>
  <c r="A11" i="15"/>
  <c r="J11" i="15"/>
  <c r="AQ11" i="15"/>
  <c r="C11" i="15"/>
  <c r="D11" i="15"/>
  <c r="M11" i="15"/>
  <c r="F11" i="15"/>
  <c r="G11" i="15"/>
  <c r="H11" i="15"/>
  <c r="B11" i="15"/>
  <c r="F371" i="15"/>
  <c r="J364" i="15"/>
  <c r="H360" i="15"/>
  <c r="B357" i="15"/>
  <c r="B356" i="15"/>
  <c r="I353" i="15"/>
  <c r="F352" i="15"/>
  <c r="J349" i="15"/>
  <c r="AQ344" i="15"/>
  <c r="J344" i="15"/>
  <c r="B344" i="15"/>
  <c r="I341" i="15"/>
  <c r="F340" i="15"/>
  <c r="J337" i="15"/>
  <c r="A337" i="15"/>
  <c r="H320" i="15"/>
  <c r="J298" i="15"/>
  <c r="J281" i="15"/>
  <c r="I243" i="15"/>
  <c r="E212" i="15"/>
  <c r="B212" i="15"/>
  <c r="D212" i="15"/>
  <c r="J212" i="15"/>
  <c r="A212" i="15"/>
  <c r="M212" i="15"/>
  <c r="A35" i="15"/>
  <c r="I35" i="15"/>
  <c r="AP35" i="15"/>
  <c r="B35" i="15"/>
  <c r="J35" i="15"/>
  <c r="AQ35" i="15"/>
  <c r="D35" i="15"/>
  <c r="E35" i="15"/>
  <c r="M35" i="15"/>
  <c r="F35" i="15"/>
  <c r="G35" i="15"/>
  <c r="H35" i="15"/>
  <c r="C35" i="15"/>
  <c r="A373" i="15"/>
  <c r="H372" i="15"/>
  <c r="M371" i="15"/>
  <c r="E371" i="15"/>
  <c r="C368" i="15"/>
  <c r="G366" i="15"/>
  <c r="AQ364" i="15"/>
  <c r="I364" i="15"/>
  <c r="A361" i="15"/>
  <c r="E360" i="15"/>
  <c r="AQ356" i="15"/>
  <c r="J356" i="15"/>
  <c r="A356" i="15"/>
  <c r="AP353" i="15"/>
  <c r="F353" i="15"/>
  <c r="M352" i="15"/>
  <c r="E352" i="15"/>
  <c r="H351" i="15"/>
  <c r="AQ349" i="15"/>
  <c r="G349" i="15"/>
  <c r="C347" i="15"/>
  <c r="AP344" i="15"/>
  <c r="I344" i="15"/>
  <c r="A344" i="15"/>
  <c r="AP341" i="15"/>
  <c r="F341" i="15"/>
  <c r="M340" i="15"/>
  <c r="E340" i="15"/>
  <c r="H339" i="15"/>
  <c r="AQ337" i="15"/>
  <c r="H337" i="15"/>
  <c r="C281" i="15"/>
  <c r="E248" i="15"/>
  <c r="A248" i="15"/>
  <c r="M248" i="15"/>
  <c r="B248" i="15"/>
  <c r="C248" i="15"/>
  <c r="D248" i="15"/>
  <c r="G248" i="15"/>
  <c r="AQ248" i="15"/>
  <c r="J248" i="15"/>
  <c r="C212" i="15"/>
  <c r="J373" i="15"/>
  <c r="E372" i="15"/>
  <c r="D371" i="15"/>
  <c r="AQ368" i="15"/>
  <c r="J368" i="15"/>
  <c r="B368" i="15"/>
  <c r="AQ366" i="15"/>
  <c r="F366" i="15"/>
  <c r="AP364" i="15"/>
  <c r="H364" i="15"/>
  <c r="J361" i="15"/>
  <c r="A360" i="15"/>
  <c r="C359" i="15"/>
  <c r="J358" i="15"/>
  <c r="AP356" i="15"/>
  <c r="I356" i="15"/>
  <c r="C353" i="15"/>
  <c r="D352" i="15"/>
  <c r="D351" i="15"/>
  <c r="AP349" i="15"/>
  <c r="F349" i="15"/>
  <c r="AQ347" i="15"/>
  <c r="J347" i="15"/>
  <c r="A347" i="15"/>
  <c r="J346" i="15"/>
  <c r="H344" i="15"/>
  <c r="C341" i="15"/>
  <c r="D340" i="15"/>
  <c r="D339" i="15"/>
  <c r="AP337" i="15"/>
  <c r="G337" i="15"/>
  <c r="C335" i="15"/>
  <c r="J334" i="15"/>
  <c r="G285" i="15"/>
  <c r="B285" i="15"/>
  <c r="C285" i="15"/>
  <c r="M285" i="15"/>
  <c r="D285" i="15"/>
  <c r="E285" i="15"/>
  <c r="F285" i="15"/>
  <c r="I285" i="15"/>
  <c r="AP285" i="15"/>
  <c r="B281" i="15"/>
  <c r="A274" i="15"/>
  <c r="C274" i="15"/>
  <c r="E274" i="15"/>
  <c r="AQ274" i="15"/>
  <c r="G274" i="15"/>
  <c r="I274" i="15"/>
  <c r="G168" i="15"/>
  <c r="B168" i="15"/>
  <c r="C168" i="15"/>
  <c r="E168" i="15"/>
  <c r="F168" i="15"/>
  <c r="AP168" i="15"/>
  <c r="H168" i="15"/>
  <c r="C371" i="15"/>
  <c r="G364" i="15"/>
  <c r="B353" i="15"/>
  <c r="A352" i="15"/>
  <c r="E349" i="15"/>
  <c r="G344" i="15"/>
  <c r="B341" i="15"/>
  <c r="A340" i="15"/>
  <c r="F337" i="15"/>
  <c r="I295" i="15"/>
  <c r="B295" i="15"/>
  <c r="D295" i="15"/>
  <c r="F295" i="15"/>
  <c r="AP295" i="15"/>
  <c r="G295" i="15"/>
  <c r="AQ295" i="15"/>
  <c r="B249" i="15"/>
  <c r="E249" i="15"/>
  <c r="M249" i="15"/>
  <c r="F249" i="15"/>
  <c r="G249" i="15"/>
  <c r="H249" i="15"/>
  <c r="I249" i="15"/>
  <c r="AP249" i="15"/>
  <c r="A249" i="15"/>
  <c r="J249" i="15"/>
  <c r="AQ249" i="15"/>
  <c r="C218" i="15"/>
  <c r="E218" i="15"/>
  <c r="M218" i="15"/>
  <c r="G218" i="15"/>
  <c r="H218" i="15"/>
  <c r="AP218" i="15"/>
  <c r="D218" i="15"/>
  <c r="A218" i="15"/>
  <c r="B218" i="15"/>
  <c r="AQ218" i="15"/>
  <c r="F218" i="15"/>
  <c r="I218" i="15"/>
  <c r="J218" i="15"/>
  <c r="E182" i="15"/>
  <c r="D182" i="15"/>
  <c r="F182" i="15"/>
  <c r="H182" i="15"/>
  <c r="I182" i="15"/>
  <c r="AP182" i="15"/>
  <c r="J182" i="15"/>
  <c r="C182" i="15"/>
  <c r="M182" i="15"/>
  <c r="A182" i="15"/>
  <c r="J168" i="15"/>
  <c r="E158" i="15"/>
  <c r="D158" i="15"/>
  <c r="F158" i="15"/>
  <c r="H158" i="15"/>
  <c r="I158" i="15"/>
  <c r="AP158" i="15"/>
  <c r="J158" i="15"/>
  <c r="C158" i="15"/>
  <c r="M158" i="15"/>
  <c r="A158" i="15"/>
  <c r="B158" i="15"/>
  <c r="AP373" i="15"/>
  <c r="F373" i="15"/>
  <c r="AQ371" i="15"/>
  <c r="J371" i="15"/>
  <c r="A371" i="15"/>
  <c r="G370" i="15"/>
  <c r="AP365" i="15"/>
  <c r="I365" i="15"/>
  <c r="F364" i="15"/>
  <c r="D363" i="15"/>
  <c r="AP361" i="15"/>
  <c r="F361" i="15"/>
  <c r="AP359" i="15"/>
  <c r="I359" i="15"/>
  <c r="AQ358" i="15"/>
  <c r="D358" i="15"/>
  <c r="J357" i="15"/>
  <c r="F356" i="15"/>
  <c r="A353" i="15"/>
  <c r="J352" i="15"/>
  <c r="D349" i="15"/>
  <c r="H347" i="15"/>
  <c r="D346" i="15"/>
  <c r="J345" i="15"/>
  <c r="A341" i="15"/>
  <c r="J340" i="15"/>
  <c r="E337" i="15"/>
  <c r="AP335" i="15"/>
  <c r="I335" i="15"/>
  <c r="AQ334" i="15"/>
  <c r="D334" i="15"/>
  <c r="J333" i="15"/>
  <c r="H295" i="15"/>
  <c r="I271" i="15"/>
  <c r="B271" i="15"/>
  <c r="D271" i="15"/>
  <c r="F271" i="15"/>
  <c r="AP271" i="15"/>
  <c r="G271" i="15"/>
  <c r="AQ271" i="15"/>
  <c r="E263" i="15"/>
  <c r="B263" i="15"/>
  <c r="C263" i="15"/>
  <c r="D263" i="15"/>
  <c r="AQ263" i="15"/>
  <c r="H263" i="15"/>
  <c r="J263" i="15"/>
  <c r="D249" i="15"/>
  <c r="D241" i="15"/>
  <c r="B182" i="15"/>
  <c r="H332" i="15"/>
  <c r="A328" i="15"/>
  <c r="M325" i="15"/>
  <c r="C325" i="15"/>
  <c r="H323" i="15"/>
  <c r="C312" i="15"/>
  <c r="M309" i="15"/>
  <c r="C309" i="15"/>
  <c r="AP307" i="15"/>
  <c r="F307" i="15"/>
  <c r="G305" i="15"/>
  <c r="F301" i="15"/>
  <c r="F300" i="15"/>
  <c r="C299" i="15"/>
  <c r="M297" i="15"/>
  <c r="C297" i="15"/>
  <c r="D293" i="15"/>
  <c r="C288" i="15"/>
  <c r="C280" i="15"/>
  <c r="H277" i="15"/>
  <c r="G276" i="15"/>
  <c r="C275" i="15"/>
  <c r="M273" i="15"/>
  <c r="C273" i="15"/>
  <c r="M269" i="15"/>
  <c r="E269" i="15"/>
  <c r="F261" i="15"/>
  <c r="B258" i="15"/>
  <c r="G254" i="15"/>
  <c r="C253" i="15"/>
  <c r="D242" i="15"/>
  <c r="B234" i="15"/>
  <c r="B230" i="15"/>
  <c r="I220" i="15"/>
  <c r="C220" i="15"/>
  <c r="E220" i="15"/>
  <c r="F220" i="15"/>
  <c r="AP220" i="15"/>
  <c r="B220" i="15"/>
  <c r="D219" i="15"/>
  <c r="I219" i="15"/>
  <c r="M219" i="15"/>
  <c r="C219" i="15"/>
  <c r="F217" i="15"/>
  <c r="D217" i="15"/>
  <c r="C217" i="15"/>
  <c r="M193" i="15"/>
  <c r="C193" i="15"/>
  <c r="D193" i="15"/>
  <c r="AQ193" i="15"/>
  <c r="E193" i="15"/>
  <c r="G193" i="15"/>
  <c r="A193" i="15"/>
  <c r="D153" i="15"/>
  <c r="B153" i="15"/>
  <c r="C153" i="15"/>
  <c r="E153" i="15"/>
  <c r="G153" i="15"/>
  <c r="AQ153" i="15"/>
  <c r="B44" i="15"/>
  <c r="A44" i="15"/>
  <c r="M44" i="15"/>
  <c r="D18" i="15"/>
  <c r="F18" i="15"/>
  <c r="I18" i="15"/>
  <c r="AP18" i="15"/>
  <c r="M18" i="15"/>
  <c r="A18" i="15"/>
  <c r="B18" i="15"/>
  <c r="C18" i="15"/>
  <c r="AQ319" i="15"/>
  <c r="H319" i="15"/>
  <c r="C317" i="15"/>
  <c r="D316" i="15"/>
  <c r="J315" i="15"/>
  <c r="F314" i="15"/>
  <c r="AQ312" i="15"/>
  <c r="J312" i="15"/>
  <c r="B312" i="15"/>
  <c r="J311" i="15"/>
  <c r="B309" i="15"/>
  <c r="D307" i="15"/>
  <c r="F305" i="15"/>
  <c r="E301" i="15"/>
  <c r="M300" i="15"/>
  <c r="E300" i="15"/>
  <c r="B299" i="15"/>
  <c r="B297" i="15"/>
  <c r="C293" i="15"/>
  <c r="J288" i="15"/>
  <c r="B288" i="15"/>
  <c r="J287" i="15"/>
  <c r="A280" i="15"/>
  <c r="F277" i="15"/>
  <c r="F276" i="15"/>
  <c r="B275" i="15"/>
  <c r="B242" i="15"/>
  <c r="F205" i="15"/>
  <c r="C205" i="15"/>
  <c r="A169" i="15"/>
  <c r="J169" i="15"/>
  <c r="B155" i="15"/>
  <c r="E155" i="15"/>
  <c r="F155" i="15"/>
  <c r="G155" i="15"/>
  <c r="I155" i="15"/>
  <c r="AP155" i="15"/>
  <c r="J155" i="15"/>
  <c r="AQ155" i="15"/>
  <c r="C155" i="15"/>
  <c r="M155" i="15"/>
  <c r="C118" i="15"/>
  <c r="M118" i="15"/>
  <c r="A118" i="15"/>
  <c r="G118" i="15"/>
  <c r="AQ118" i="15"/>
  <c r="H118" i="15"/>
  <c r="E116" i="15"/>
  <c r="A116" i="15"/>
  <c r="C116" i="15"/>
  <c r="D116" i="15"/>
  <c r="I116" i="15"/>
  <c r="J116" i="15"/>
  <c r="M116" i="15"/>
  <c r="A325" i="15"/>
  <c r="E323" i="15"/>
  <c r="E319" i="15"/>
  <c r="A312" i="15"/>
  <c r="A309" i="15"/>
  <c r="B307" i="15"/>
  <c r="M305" i="15"/>
  <c r="E305" i="15"/>
  <c r="M301" i="15"/>
  <c r="B301" i="15"/>
  <c r="D300" i="15"/>
  <c r="A297" i="15"/>
  <c r="A294" i="15"/>
  <c r="J293" i="15"/>
  <c r="B293" i="15"/>
  <c r="I292" i="15"/>
  <c r="I288" i="15"/>
  <c r="A288" i="15"/>
  <c r="H287" i="15"/>
  <c r="E277" i="15"/>
  <c r="M276" i="15"/>
  <c r="E276" i="15"/>
  <c r="A273" i="15"/>
  <c r="B270" i="15"/>
  <c r="C269" i="15"/>
  <c r="E266" i="15"/>
  <c r="J262" i="15"/>
  <c r="D261" i="15"/>
  <c r="I258" i="15"/>
  <c r="M254" i="15"/>
  <c r="E254" i="15"/>
  <c r="M253" i="15"/>
  <c r="A253" i="15"/>
  <c r="M250" i="15"/>
  <c r="M246" i="15"/>
  <c r="D246" i="15"/>
  <c r="J242" i="15"/>
  <c r="A242" i="15"/>
  <c r="M239" i="15"/>
  <c r="C239" i="15"/>
  <c r="AP234" i="15"/>
  <c r="I234" i="15"/>
  <c r="AQ230" i="15"/>
  <c r="I230" i="15"/>
  <c r="M225" i="15"/>
  <c r="E225" i="15"/>
  <c r="G220" i="15"/>
  <c r="A219" i="15"/>
  <c r="H215" i="15"/>
  <c r="E215" i="15"/>
  <c r="G215" i="15"/>
  <c r="AQ215" i="15"/>
  <c r="J215" i="15"/>
  <c r="D215" i="15"/>
  <c r="D205" i="15"/>
  <c r="C160" i="15"/>
  <c r="M160" i="15"/>
  <c r="A155" i="15"/>
  <c r="J118" i="15"/>
  <c r="E332" i="15"/>
  <c r="G330" i="15"/>
  <c r="H328" i="15"/>
  <c r="J325" i="15"/>
  <c r="M323" i="15"/>
  <c r="D323" i="15"/>
  <c r="I317" i="15"/>
  <c r="D305" i="15"/>
  <c r="F302" i="15"/>
  <c r="A301" i="15"/>
  <c r="J297" i="15"/>
  <c r="I293" i="15"/>
  <c r="D292" i="15"/>
  <c r="D287" i="15"/>
  <c r="J286" i="15"/>
  <c r="H283" i="15"/>
  <c r="M282" i="15"/>
  <c r="M280" i="15"/>
  <c r="B277" i="15"/>
  <c r="D276" i="15"/>
  <c r="J273" i="15"/>
  <c r="A270" i="15"/>
  <c r="J269" i="15"/>
  <c r="B269" i="15"/>
  <c r="I268" i="15"/>
  <c r="AP266" i="15"/>
  <c r="C266" i="15"/>
  <c r="J265" i="15"/>
  <c r="I262" i="15"/>
  <c r="M261" i="15"/>
  <c r="C261" i="15"/>
  <c r="G258" i="15"/>
  <c r="D254" i="15"/>
  <c r="C246" i="15"/>
  <c r="H244" i="15"/>
  <c r="AQ242" i="15"/>
  <c r="I242" i="15"/>
  <c r="B239" i="15"/>
  <c r="M237" i="15"/>
  <c r="E237" i="15"/>
  <c r="G234" i="15"/>
  <c r="M231" i="15"/>
  <c r="AP230" i="15"/>
  <c r="H230" i="15"/>
  <c r="A227" i="15"/>
  <c r="H226" i="15"/>
  <c r="D225" i="15"/>
  <c r="AQ220" i="15"/>
  <c r="D220" i="15"/>
  <c r="F215" i="15"/>
  <c r="C214" i="15"/>
  <c r="A214" i="15"/>
  <c r="M214" i="15"/>
  <c r="B179" i="15"/>
  <c r="C179" i="15"/>
  <c r="E179" i="15"/>
  <c r="G179" i="15"/>
  <c r="I179" i="15"/>
  <c r="AP179" i="15"/>
  <c r="J179" i="15"/>
  <c r="AQ179" i="15"/>
  <c r="A179" i="15"/>
  <c r="M179" i="15"/>
  <c r="F175" i="15"/>
  <c r="AQ175" i="15"/>
  <c r="B175" i="15"/>
  <c r="D175" i="15"/>
  <c r="E175" i="15"/>
  <c r="A127" i="15"/>
  <c r="D127" i="15"/>
  <c r="E127" i="15"/>
  <c r="AQ127" i="15"/>
  <c r="G127" i="15"/>
  <c r="H127" i="15"/>
  <c r="A121" i="15"/>
  <c r="B121" i="15"/>
  <c r="D121" i="15"/>
  <c r="M121" i="15"/>
  <c r="H119" i="15"/>
  <c r="E119" i="15"/>
  <c r="F119" i="15"/>
  <c r="G119" i="15"/>
  <c r="I119" i="15"/>
  <c r="AP119" i="15"/>
  <c r="A119" i="15"/>
  <c r="J119" i="15"/>
  <c r="AQ119" i="15"/>
  <c r="D119" i="15"/>
  <c r="M119" i="15"/>
  <c r="C305" i="15"/>
  <c r="C276" i="15"/>
  <c r="G262" i="15"/>
  <c r="A261" i="15"/>
  <c r="F258" i="15"/>
  <c r="B254" i="15"/>
  <c r="B246" i="15"/>
  <c r="G244" i="15"/>
  <c r="AP242" i="15"/>
  <c r="H242" i="15"/>
  <c r="A239" i="15"/>
  <c r="D237" i="15"/>
  <c r="F234" i="15"/>
  <c r="G230" i="15"/>
  <c r="J227" i="15"/>
  <c r="A226" i="15"/>
  <c r="C225" i="15"/>
  <c r="C215" i="15"/>
  <c r="H131" i="15"/>
  <c r="C131" i="15"/>
  <c r="M131" i="15"/>
  <c r="D131" i="15"/>
  <c r="E131" i="15"/>
  <c r="F131" i="15"/>
  <c r="G131" i="15"/>
  <c r="AP131" i="15"/>
  <c r="B131" i="15"/>
  <c r="C119" i="15"/>
  <c r="AQ330" i="15"/>
  <c r="H327" i="15"/>
  <c r="B323" i="15"/>
  <c r="J305" i="15"/>
  <c r="J301" i="15"/>
  <c r="A292" i="15"/>
  <c r="AQ276" i="15"/>
  <c r="J276" i="15"/>
  <c r="J275" i="15"/>
  <c r="F273" i="15"/>
  <c r="C268" i="15"/>
  <c r="F265" i="15"/>
  <c r="AQ262" i="15"/>
  <c r="E262" i="15"/>
  <c r="E258" i="15"/>
  <c r="J254" i="15"/>
  <c r="A254" i="15"/>
  <c r="J246" i="15"/>
  <c r="A246" i="15"/>
  <c r="F244" i="15"/>
  <c r="G242" i="15"/>
  <c r="J239" i="15"/>
  <c r="C237" i="15"/>
  <c r="E234" i="15"/>
  <c r="F230" i="15"/>
  <c r="G227" i="15"/>
  <c r="AQ225" i="15"/>
  <c r="J225" i="15"/>
  <c r="A225" i="15"/>
  <c r="J223" i="15"/>
  <c r="AP215" i="15"/>
  <c r="B215" i="15"/>
  <c r="D207" i="15"/>
  <c r="B207" i="15"/>
  <c r="C207" i="15"/>
  <c r="M207" i="15"/>
  <c r="H173" i="15"/>
  <c r="M173" i="15"/>
  <c r="A173" i="15"/>
  <c r="D173" i="15"/>
  <c r="F173" i="15"/>
  <c r="G173" i="15"/>
  <c r="AP173" i="15"/>
  <c r="G144" i="15"/>
  <c r="C144" i="15"/>
  <c r="E144" i="15"/>
  <c r="F144" i="15"/>
  <c r="AP144" i="15"/>
  <c r="H144" i="15"/>
  <c r="J144" i="15"/>
  <c r="I131" i="15"/>
  <c r="G213" i="15"/>
  <c r="AQ210" i="15"/>
  <c r="J210" i="15"/>
  <c r="A210" i="15"/>
  <c r="E208" i="15"/>
  <c r="H206" i="15"/>
  <c r="G203" i="15"/>
  <c r="A202" i="15"/>
  <c r="A201" i="15"/>
  <c r="J200" i="15"/>
  <c r="B200" i="15"/>
  <c r="G199" i="15"/>
  <c r="A197" i="15"/>
  <c r="H194" i="15"/>
  <c r="H192" i="15"/>
  <c r="AQ190" i="15"/>
  <c r="J190" i="15"/>
  <c r="A190" i="15"/>
  <c r="E189" i="15"/>
  <c r="F185" i="15"/>
  <c r="I183" i="15"/>
  <c r="E180" i="15"/>
  <c r="B178" i="15"/>
  <c r="G176" i="15"/>
  <c r="AP170" i="15"/>
  <c r="I170" i="15"/>
  <c r="AQ167" i="15"/>
  <c r="J167" i="15"/>
  <c r="G166" i="15"/>
  <c r="C165" i="15"/>
  <c r="C164" i="15"/>
  <c r="I163" i="15"/>
  <c r="F156" i="15"/>
  <c r="AP152" i="15"/>
  <c r="H152" i="15"/>
  <c r="D151" i="15"/>
  <c r="J143" i="15"/>
  <c r="H142" i="15"/>
  <c r="G141" i="15"/>
  <c r="F140" i="15"/>
  <c r="B139" i="15"/>
  <c r="AQ134" i="15"/>
  <c r="I134" i="15"/>
  <c r="B133" i="15"/>
  <c r="H132" i="15"/>
  <c r="G130" i="15"/>
  <c r="B129" i="15"/>
  <c r="I128" i="15"/>
  <c r="F117" i="15"/>
  <c r="E115" i="15"/>
  <c r="G112" i="15"/>
  <c r="I107" i="15"/>
  <c r="H107" i="15"/>
  <c r="AP107" i="15"/>
  <c r="C107" i="15"/>
  <c r="G107" i="15"/>
  <c r="H38" i="15"/>
  <c r="I38" i="15"/>
  <c r="AP38" i="15"/>
  <c r="J38" i="15"/>
  <c r="AQ38" i="15"/>
  <c r="C38" i="15"/>
  <c r="D38" i="15"/>
  <c r="M38" i="15"/>
  <c r="E38" i="15"/>
  <c r="F38" i="15"/>
  <c r="G38" i="15"/>
  <c r="C13" i="15"/>
  <c r="A13" i="15"/>
  <c r="B13" i="15"/>
  <c r="M13" i="15"/>
  <c r="M185" i="15"/>
  <c r="AP183" i="15"/>
  <c r="C183" i="15"/>
  <c r="D176" i="15"/>
  <c r="D170" i="15"/>
  <c r="E167" i="15"/>
  <c r="M166" i="15"/>
  <c r="D166" i="15"/>
  <c r="H164" i="15"/>
  <c r="D163" i="15"/>
  <c r="F159" i="15"/>
  <c r="C140" i="15"/>
  <c r="H113" i="15"/>
  <c r="M112" i="15"/>
  <c r="D112" i="15"/>
  <c r="C106" i="15"/>
  <c r="J106" i="15"/>
  <c r="C94" i="15"/>
  <c r="J94" i="15"/>
  <c r="M94" i="15"/>
  <c r="C213" i="15"/>
  <c r="E210" i="15"/>
  <c r="C203" i="15"/>
  <c r="F201" i="15"/>
  <c r="F200" i="15"/>
  <c r="B199" i="15"/>
  <c r="B194" i="15"/>
  <c r="F191" i="15"/>
  <c r="E190" i="15"/>
  <c r="F178" i="15"/>
  <c r="C176" i="15"/>
  <c r="I171" i="15"/>
  <c r="M170" i="15"/>
  <c r="C170" i="15"/>
  <c r="B163" i="15"/>
  <c r="D152" i="15"/>
  <c r="D146" i="15"/>
  <c r="J145" i="15"/>
  <c r="E143" i="15"/>
  <c r="M142" i="15"/>
  <c r="D142" i="15"/>
  <c r="AQ140" i="15"/>
  <c r="J140" i="15"/>
  <c r="B140" i="15"/>
  <c r="I139" i="15"/>
  <c r="G137" i="15"/>
  <c r="B136" i="15"/>
  <c r="E134" i="15"/>
  <c r="F129" i="15"/>
  <c r="M128" i="15"/>
  <c r="A128" i="15"/>
  <c r="J125" i="15"/>
  <c r="M124" i="15"/>
  <c r="D124" i="15"/>
  <c r="C122" i="15"/>
  <c r="B117" i="15"/>
  <c r="H95" i="15"/>
  <c r="I95" i="15"/>
  <c r="AQ95" i="15"/>
  <c r="C95" i="15"/>
  <c r="M95" i="15"/>
  <c r="E95" i="15"/>
  <c r="F95" i="15"/>
  <c r="G95" i="15"/>
  <c r="AP95" i="15"/>
  <c r="AQ213" i="15"/>
  <c r="J213" i="15"/>
  <c r="A213" i="15"/>
  <c r="J211" i="15"/>
  <c r="M210" i="15"/>
  <c r="D210" i="15"/>
  <c r="H208" i="15"/>
  <c r="B206" i="15"/>
  <c r="M203" i="15"/>
  <c r="B203" i="15"/>
  <c r="E200" i="15"/>
  <c r="A194" i="15"/>
  <c r="B166" i="15"/>
  <c r="I165" i="15"/>
  <c r="C152" i="15"/>
  <c r="I151" i="15"/>
  <c r="G149" i="15"/>
  <c r="M146" i="15"/>
  <c r="C146" i="15"/>
  <c r="AP140" i="15"/>
  <c r="I140" i="15"/>
  <c r="A140" i="15"/>
  <c r="G139" i="15"/>
  <c r="F137" i="15"/>
  <c r="A136" i="15"/>
  <c r="I135" i="15"/>
  <c r="D134" i="15"/>
  <c r="E129" i="15"/>
  <c r="AQ125" i="15"/>
  <c r="I125" i="15"/>
  <c r="C124" i="15"/>
  <c r="J122" i="15"/>
  <c r="A122" i="15"/>
  <c r="I117" i="15"/>
  <c r="J115" i="15"/>
  <c r="F113" i="15"/>
  <c r="B112" i="15"/>
  <c r="D95" i="15"/>
  <c r="A94" i="15"/>
  <c r="A47" i="15"/>
  <c r="I47" i="15"/>
  <c r="AP47" i="15"/>
  <c r="B47" i="15"/>
  <c r="J47" i="15"/>
  <c r="AQ47" i="15"/>
  <c r="D47" i="15"/>
  <c r="E47" i="15"/>
  <c r="M47" i="15"/>
  <c r="F47" i="15"/>
  <c r="G47" i="15"/>
  <c r="H47" i="15"/>
  <c r="I189" i="15"/>
  <c r="AQ185" i="15"/>
  <c r="I185" i="15"/>
  <c r="A170" i="15"/>
  <c r="J166" i="15"/>
  <c r="A166" i="15"/>
  <c r="J156" i="15"/>
  <c r="J152" i="15"/>
  <c r="B152" i="15"/>
  <c r="G151" i="15"/>
  <c r="F149" i="15"/>
  <c r="A148" i="15"/>
  <c r="B146" i="15"/>
  <c r="A143" i="15"/>
  <c r="B142" i="15"/>
  <c r="I141" i="15"/>
  <c r="H140" i="15"/>
  <c r="AQ139" i="15"/>
  <c r="E139" i="15"/>
  <c r="AQ137" i="15"/>
  <c r="D137" i="15"/>
  <c r="C134" i="15"/>
  <c r="AP125" i="15"/>
  <c r="G125" i="15"/>
  <c r="B124" i="15"/>
  <c r="B95" i="15"/>
  <c r="C47" i="15"/>
  <c r="B32" i="15"/>
  <c r="A32" i="15"/>
  <c r="M32" i="15"/>
  <c r="B210" i="15"/>
  <c r="C200" i="15"/>
  <c r="B197" i="15"/>
  <c r="AP194" i="15"/>
  <c r="I194" i="15"/>
  <c r="B190" i="15"/>
  <c r="AP185" i="15"/>
  <c r="G185" i="15"/>
  <c r="C178" i="15"/>
  <c r="H176" i="15"/>
  <c r="C171" i="15"/>
  <c r="J170" i="15"/>
  <c r="H166" i="15"/>
  <c r="E165" i="15"/>
  <c r="D164" i="15"/>
  <c r="J157" i="15"/>
  <c r="H156" i="15"/>
  <c r="I152" i="15"/>
  <c r="E151" i="15"/>
  <c r="D149" i="15"/>
  <c r="H147" i="15"/>
  <c r="A146" i="15"/>
  <c r="J142" i="15"/>
  <c r="A142" i="15"/>
  <c r="H141" i="15"/>
  <c r="D139" i="15"/>
  <c r="AP137" i="15"/>
  <c r="E135" i="15"/>
  <c r="J134" i="15"/>
  <c r="B134" i="15"/>
  <c r="I132" i="15"/>
  <c r="I130" i="15"/>
  <c r="C129" i="15"/>
  <c r="J128" i="15"/>
  <c r="F125" i="15"/>
  <c r="J124" i="15"/>
  <c r="A124" i="15"/>
  <c r="H122" i="15"/>
  <c r="G117" i="15"/>
  <c r="G115" i="15"/>
  <c r="AQ112" i="15"/>
  <c r="H112" i="15"/>
  <c r="A95" i="15"/>
  <c r="D87" i="15"/>
  <c r="I87" i="15"/>
  <c r="B87" i="15"/>
  <c r="G78" i="15"/>
  <c r="B78" i="15"/>
  <c r="C78" i="15"/>
  <c r="F78" i="15"/>
  <c r="I43" i="15"/>
  <c r="G43" i="15"/>
  <c r="AQ43" i="15"/>
  <c r="H43" i="15"/>
  <c r="F43" i="15"/>
  <c r="AP43" i="15"/>
  <c r="M104" i="15"/>
  <c r="M101" i="15"/>
  <c r="A101" i="15"/>
  <c r="B88" i="15"/>
  <c r="B83" i="15"/>
  <c r="H82" i="15"/>
  <c r="B81" i="15"/>
  <c r="I80" i="15"/>
  <c r="C71" i="15"/>
  <c r="I69" i="15"/>
  <c r="F60" i="15"/>
  <c r="AP54" i="15"/>
  <c r="H54" i="15"/>
  <c r="G53" i="15"/>
  <c r="AP48" i="15"/>
  <c r="H48" i="15"/>
  <c r="AP41" i="15"/>
  <c r="I41" i="15"/>
  <c r="A37" i="15"/>
  <c r="AP31" i="15"/>
  <c r="AP30" i="15"/>
  <c r="H30" i="15"/>
  <c r="G29" i="15"/>
  <c r="F24" i="15"/>
  <c r="H21" i="15"/>
  <c r="G5" i="15"/>
  <c r="A83" i="15"/>
  <c r="A82" i="15"/>
  <c r="D80" i="15"/>
  <c r="AQ69" i="15"/>
  <c r="H69" i="15"/>
  <c r="E60" i="15"/>
  <c r="F54" i="15"/>
  <c r="F53" i="15"/>
  <c r="M50" i="15"/>
  <c r="D50" i="15"/>
  <c r="G48" i="15"/>
  <c r="AP42" i="15"/>
  <c r="I42" i="15"/>
  <c r="H41" i="15"/>
  <c r="F30" i="15"/>
  <c r="F29" i="15"/>
  <c r="M26" i="15"/>
  <c r="D26" i="15"/>
  <c r="E24" i="15"/>
  <c r="AP21" i="15"/>
  <c r="F21" i="15"/>
  <c r="E16" i="15"/>
  <c r="J15" i="15"/>
  <c r="J14" i="15"/>
  <c r="I9" i="15"/>
  <c r="F5" i="15"/>
  <c r="D97" i="15"/>
  <c r="AP88" i="15"/>
  <c r="H88" i="15"/>
  <c r="AQ83" i="15"/>
  <c r="I83" i="15"/>
  <c r="AQ81" i="15"/>
  <c r="H81" i="15"/>
  <c r="C80" i="15"/>
  <c r="H79" i="15"/>
  <c r="M76" i="15"/>
  <c r="D76" i="15"/>
  <c r="M74" i="15"/>
  <c r="E74" i="15"/>
  <c r="AP71" i="15"/>
  <c r="I71" i="15"/>
  <c r="A71" i="15"/>
  <c r="AP69" i="15"/>
  <c r="F69" i="15"/>
  <c r="D67" i="15"/>
  <c r="H66" i="15"/>
  <c r="A62" i="15"/>
  <c r="H61" i="15"/>
  <c r="C60" i="15"/>
  <c r="C59" i="15"/>
  <c r="J58" i="15"/>
  <c r="M56" i="15"/>
  <c r="C54" i="15"/>
  <c r="M53" i="15"/>
  <c r="D53" i="15"/>
  <c r="H52" i="15"/>
  <c r="C50" i="15"/>
  <c r="F48" i="15"/>
  <c r="H42" i="15"/>
  <c r="G41" i="15"/>
  <c r="M37" i="15"/>
  <c r="C30" i="15"/>
  <c r="M29" i="15"/>
  <c r="D29" i="15"/>
  <c r="C26" i="15"/>
  <c r="C24" i="15"/>
  <c r="B23" i="15"/>
  <c r="E21" i="15"/>
  <c r="H19" i="15"/>
  <c r="B17" i="15"/>
  <c r="D16" i="15"/>
  <c r="AQ14" i="15"/>
  <c r="G14" i="15"/>
  <c r="G12" i="15"/>
  <c r="H9" i="15"/>
  <c r="M8" i="15"/>
  <c r="C6" i="15"/>
  <c r="M5" i="15"/>
  <c r="D5" i="15"/>
  <c r="D73" i="15"/>
  <c r="H71" i="15"/>
  <c r="E69" i="15"/>
  <c r="B67" i="15"/>
  <c r="F66" i="15"/>
  <c r="AQ61" i="15"/>
  <c r="B61" i="15"/>
  <c r="B60" i="15"/>
  <c r="B59" i="15"/>
  <c r="B54" i="15"/>
  <c r="C53" i="15"/>
  <c r="A50" i="15"/>
  <c r="E48" i="15"/>
  <c r="F42" i="15"/>
  <c r="F41" i="15"/>
  <c r="B30" i="15"/>
  <c r="C29" i="15"/>
  <c r="A26" i="15"/>
  <c r="D21" i="15"/>
  <c r="G19" i="15"/>
  <c r="C16" i="15"/>
  <c r="AP14" i="15"/>
  <c r="F14" i="15"/>
  <c r="AP9" i="15"/>
  <c r="F9" i="15"/>
  <c r="A5" i="15"/>
  <c r="C110" i="15"/>
  <c r="B105" i="15"/>
  <c r="I104" i="15"/>
  <c r="AP101" i="15"/>
  <c r="I101" i="15"/>
  <c r="C98" i="15"/>
  <c r="B93" i="15"/>
  <c r="I92" i="15"/>
  <c r="AP89" i="15"/>
  <c r="I89" i="15"/>
  <c r="F88" i="15"/>
  <c r="F83" i="15"/>
  <c r="M82" i="15"/>
  <c r="F81" i="15"/>
  <c r="M80" i="15"/>
  <c r="AQ79" i="15"/>
  <c r="E79" i="15"/>
  <c r="B76" i="15"/>
  <c r="C74" i="15"/>
  <c r="D69" i="15"/>
  <c r="E66" i="15"/>
  <c r="M54" i="15"/>
  <c r="A54" i="15"/>
  <c r="B53" i="15"/>
  <c r="C48" i="15"/>
  <c r="M41" i="15"/>
  <c r="D41" i="15"/>
  <c r="M30" i="15"/>
  <c r="A30" i="15"/>
  <c r="B29" i="15"/>
  <c r="C21" i="15"/>
  <c r="J5" i="15"/>
  <c r="B69" i="15"/>
  <c r="B41" i="15"/>
  <c r="AP110" i="15"/>
  <c r="H110" i="15"/>
  <c r="G105" i="15"/>
  <c r="A104" i="15"/>
  <c r="F101" i="15"/>
  <c r="B100" i="15"/>
  <c r="H98" i="15"/>
  <c r="AQ93" i="15"/>
  <c r="G93" i="15"/>
  <c r="A92" i="15"/>
  <c r="G91" i="15"/>
  <c r="F89" i="15"/>
  <c r="C88" i="15"/>
  <c r="C86" i="15"/>
  <c r="M83" i="15"/>
  <c r="C83" i="15"/>
  <c r="J82" i="15"/>
  <c r="C81" i="15"/>
  <c r="J80" i="15"/>
  <c r="AP76" i="15"/>
  <c r="G76" i="15"/>
  <c r="H74" i="15"/>
  <c r="A66" i="15"/>
  <c r="B65" i="15"/>
  <c r="E62" i="15"/>
  <c r="G60" i="15"/>
  <c r="G59" i="15"/>
  <c r="C57" i="15"/>
  <c r="AP55" i="15"/>
  <c r="F55" i="15"/>
  <c r="I54" i="15"/>
  <c r="H53" i="15"/>
  <c r="F50" i="15"/>
  <c r="AQ48" i="15"/>
  <c r="I48" i="15"/>
  <c r="C45" i="15"/>
  <c r="AQ41" i="15"/>
  <c r="J41" i="15"/>
  <c r="A41" i="15"/>
  <c r="C40" i="15"/>
  <c r="B37" i="15"/>
  <c r="C33" i="15"/>
  <c r="AQ31" i="15"/>
  <c r="F31" i="15"/>
  <c r="I30" i="15"/>
  <c r="H29" i="15"/>
  <c r="F26" i="15"/>
  <c r="AP24" i="15"/>
  <c r="G24" i="15"/>
  <c r="F23" i="15"/>
  <c r="I21" i="15"/>
  <c r="A14" i="15"/>
  <c r="B9" i="15"/>
  <c r="AP7" i="15"/>
  <c r="F7" i="15"/>
  <c r="H5" i="15"/>
  <c r="J318" i="15"/>
  <c r="B372" i="15"/>
  <c r="M367" i="15"/>
  <c r="A367" i="15"/>
  <c r="H366" i="15"/>
  <c r="E363" i="15"/>
  <c r="B360" i="15"/>
  <c r="M355" i="15"/>
  <c r="A355" i="15"/>
  <c r="H354" i="15"/>
  <c r="E351" i="15"/>
  <c r="B348" i="15"/>
  <c r="M343" i="15"/>
  <c r="A343" i="15"/>
  <c r="H342" i="15"/>
  <c r="E339" i="15"/>
  <c r="M331" i="15"/>
  <c r="A331" i="15"/>
  <c r="H330" i="15"/>
  <c r="E327" i="15"/>
  <c r="G321" i="15"/>
  <c r="E316" i="15"/>
  <c r="A315" i="15"/>
  <c r="M315" i="15"/>
  <c r="B315" i="15"/>
  <c r="E315" i="15"/>
  <c r="A267" i="15"/>
  <c r="M267" i="15"/>
  <c r="B267" i="15"/>
  <c r="C267" i="15"/>
  <c r="D267" i="15"/>
  <c r="E267" i="15"/>
  <c r="F267" i="15"/>
  <c r="AP267" i="15"/>
  <c r="G267" i="15"/>
  <c r="AQ267" i="15"/>
  <c r="H267" i="15"/>
  <c r="I267" i="15"/>
  <c r="J367" i="15"/>
  <c r="E366" i="15"/>
  <c r="B363" i="15"/>
  <c r="I362" i="15"/>
  <c r="J355" i="15"/>
  <c r="E354" i="15"/>
  <c r="B351" i="15"/>
  <c r="I350" i="15"/>
  <c r="H345" i="15"/>
  <c r="J343" i="15"/>
  <c r="E342" i="15"/>
  <c r="B339" i="15"/>
  <c r="I338" i="15"/>
  <c r="H333" i="15"/>
  <c r="J331" i="15"/>
  <c r="E330" i="15"/>
  <c r="B327" i="15"/>
  <c r="I326" i="15"/>
  <c r="A322" i="15"/>
  <c r="M322" i="15"/>
  <c r="D321" i="15"/>
  <c r="B320" i="15"/>
  <c r="C320" i="15"/>
  <c r="I318" i="15"/>
  <c r="B316" i="15"/>
  <c r="H315" i="15"/>
  <c r="H314" i="15"/>
  <c r="I314" i="15"/>
  <c r="A310" i="15"/>
  <c r="M310" i="15"/>
  <c r="B310" i="15"/>
  <c r="D310" i="15"/>
  <c r="F310" i="15"/>
  <c r="AP310" i="15"/>
  <c r="H310" i="15"/>
  <c r="J267" i="15"/>
  <c r="A198" i="15"/>
  <c r="M198" i="15"/>
  <c r="C198" i="15"/>
  <c r="B198" i="15"/>
  <c r="D198" i="15"/>
  <c r="E198" i="15"/>
  <c r="AP198" i="15"/>
  <c r="F198" i="15"/>
  <c r="AQ198" i="15"/>
  <c r="G198" i="15"/>
  <c r="H198" i="15"/>
  <c r="I198" i="15"/>
  <c r="J198" i="15"/>
  <c r="J362" i="15"/>
  <c r="A108" i="15"/>
  <c r="M108" i="15"/>
  <c r="B108" i="15"/>
  <c r="C108" i="15"/>
  <c r="D108" i="15"/>
  <c r="E108" i="15"/>
  <c r="G108" i="15"/>
  <c r="AQ108" i="15"/>
  <c r="H108" i="15"/>
  <c r="I108" i="15"/>
  <c r="J108" i="15"/>
  <c r="AP108" i="15"/>
  <c r="F108" i="15"/>
  <c r="J372" i="15"/>
  <c r="AQ369" i="15"/>
  <c r="G369" i="15"/>
  <c r="I367" i="15"/>
  <c r="D366" i="15"/>
  <c r="M363" i="15"/>
  <c r="A363" i="15"/>
  <c r="H362" i="15"/>
  <c r="J360" i="15"/>
  <c r="AQ357" i="15"/>
  <c r="G357" i="15"/>
  <c r="I355" i="15"/>
  <c r="D354" i="15"/>
  <c r="M351" i="15"/>
  <c r="A351" i="15"/>
  <c r="H350" i="15"/>
  <c r="J348" i="15"/>
  <c r="AQ345" i="15"/>
  <c r="G345" i="15"/>
  <c r="I343" i="15"/>
  <c r="D342" i="15"/>
  <c r="M339" i="15"/>
  <c r="A339" i="15"/>
  <c r="H338" i="15"/>
  <c r="J336" i="15"/>
  <c r="AQ333" i="15"/>
  <c r="G333" i="15"/>
  <c r="I331" i="15"/>
  <c r="D330" i="15"/>
  <c r="M327" i="15"/>
  <c r="A327" i="15"/>
  <c r="H326" i="15"/>
  <c r="J324" i="15"/>
  <c r="J322" i="15"/>
  <c r="C321" i="15"/>
  <c r="J320" i="15"/>
  <c r="H318" i="15"/>
  <c r="A316" i="15"/>
  <c r="G315" i="15"/>
  <c r="J314" i="15"/>
  <c r="J310" i="15"/>
  <c r="A291" i="15"/>
  <c r="M291" i="15"/>
  <c r="B291" i="15"/>
  <c r="C291" i="15"/>
  <c r="D291" i="15"/>
  <c r="E291" i="15"/>
  <c r="F291" i="15"/>
  <c r="AP291" i="15"/>
  <c r="G291" i="15"/>
  <c r="AQ291" i="15"/>
  <c r="H291" i="15"/>
  <c r="I291" i="15"/>
  <c r="B284" i="15"/>
  <c r="C284" i="15"/>
  <c r="D284" i="15"/>
  <c r="E284" i="15"/>
  <c r="F284" i="15"/>
  <c r="AP284" i="15"/>
  <c r="G284" i="15"/>
  <c r="AQ284" i="15"/>
  <c r="H284" i="15"/>
  <c r="I284" i="15"/>
  <c r="J284" i="15"/>
  <c r="A284" i="15"/>
  <c r="M284" i="15"/>
  <c r="A96" i="15"/>
  <c r="M96" i="15"/>
  <c r="B96" i="15"/>
  <c r="C96" i="15"/>
  <c r="D96" i="15"/>
  <c r="E96" i="15"/>
  <c r="F96" i="15"/>
  <c r="AP96" i="15"/>
  <c r="G96" i="15"/>
  <c r="AQ96" i="15"/>
  <c r="H96" i="15"/>
  <c r="I96" i="15"/>
  <c r="J96" i="15"/>
  <c r="J326" i="15"/>
  <c r="I372" i="15"/>
  <c r="AP369" i="15"/>
  <c r="F369" i="15"/>
  <c r="H367" i="15"/>
  <c r="C366" i="15"/>
  <c r="AQ362" i="15"/>
  <c r="G362" i="15"/>
  <c r="I360" i="15"/>
  <c r="AP357" i="15"/>
  <c r="F357" i="15"/>
  <c r="H355" i="15"/>
  <c r="C354" i="15"/>
  <c r="J353" i="15"/>
  <c r="AQ350" i="15"/>
  <c r="G350" i="15"/>
  <c r="I348" i="15"/>
  <c r="AP345" i="15"/>
  <c r="F345" i="15"/>
  <c r="H343" i="15"/>
  <c r="C342" i="15"/>
  <c r="J341" i="15"/>
  <c r="AQ338" i="15"/>
  <c r="G338" i="15"/>
  <c r="I336" i="15"/>
  <c r="AP333" i="15"/>
  <c r="F333" i="15"/>
  <c r="H331" i="15"/>
  <c r="C330" i="15"/>
  <c r="AQ326" i="15"/>
  <c r="G326" i="15"/>
  <c r="I324" i="15"/>
  <c r="I322" i="15"/>
  <c r="B321" i="15"/>
  <c r="I320" i="15"/>
  <c r="AQ318" i="15"/>
  <c r="G318" i="15"/>
  <c r="AQ315" i="15"/>
  <c r="F315" i="15"/>
  <c r="G314" i="15"/>
  <c r="I310" i="15"/>
  <c r="J291" i="15"/>
  <c r="AQ367" i="15"/>
  <c r="G367" i="15"/>
  <c r="AP362" i="15"/>
  <c r="F362" i="15"/>
  <c r="AQ355" i="15"/>
  <c r="G355" i="15"/>
  <c r="B354" i="15"/>
  <c r="AP350" i="15"/>
  <c r="F350" i="15"/>
  <c r="AQ343" i="15"/>
  <c r="G343" i="15"/>
  <c r="B342" i="15"/>
  <c r="AP338" i="15"/>
  <c r="F338" i="15"/>
  <c r="AQ331" i="15"/>
  <c r="G331" i="15"/>
  <c r="B330" i="15"/>
  <c r="AP326" i="15"/>
  <c r="F326" i="15"/>
  <c r="A321" i="15"/>
  <c r="AP318" i="15"/>
  <c r="F318" i="15"/>
  <c r="D315" i="15"/>
  <c r="J350" i="15"/>
  <c r="AQ372" i="15"/>
  <c r="G372" i="15"/>
  <c r="I370" i="15"/>
  <c r="D369" i="15"/>
  <c r="AP367" i="15"/>
  <c r="F367" i="15"/>
  <c r="M366" i="15"/>
  <c r="A366" i="15"/>
  <c r="H365" i="15"/>
  <c r="C364" i="15"/>
  <c r="J363" i="15"/>
  <c r="E362" i="15"/>
  <c r="AQ360" i="15"/>
  <c r="G360" i="15"/>
  <c r="I358" i="15"/>
  <c r="D357" i="15"/>
  <c r="AP355" i="15"/>
  <c r="F355" i="15"/>
  <c r="M354" i="15"/>
  <c r="A354" i="15"/>
  <c r="H353" i="15"/>
  <c r="C352" i="15"/>
  <c r="J351" i="15"/>
  <c r="E350" i="15"/>
  <c r="AQ348" i="15"/>
  <c r="G348" i="15"/>
  <c r="I346" i="15"/>
  <c r="D345" i="15"/>
  <c r="AP343" i="15"/>
  <c r="F343" i="15"/>
  <c r="M342" i="15"/>
  <c r="A342" i="15"/>
  <c r="H341" i="15"/>
  <c r="C340" i="15"/>
  <c r="J339" i="15"/>
  <c r="E338" i="15"/>
  <c r="AQ336" i="15"/>
  <c r="G336" i="15"/>
  <c r="I334" i="15"/>
  <c r="D333" i="15"/>
  <c r="AP331" i="15"/>
  <c r="F331" i="15"/>
  <c r="M330" i="15"/>
  <c r="A330" i="15"/>
  <c r="H329" i="15"/>
  <c r="C328" i="15"/>
  <c r="J327" i="15"/>
  <c r="E326" i="15"/>
  <c r="AQ324" i="15"/>
  <c r="G324" i="15"/>
  <c r="A323" i="15"/>
  <c r="G322" i="15"/>
  <c r="M321" i="15"/>
  <c r="AQ320" i="15"/>
  <c r="G320" i="15"/>
  <c r="C318" i="15"/>
  <c r="C315" i="15"/>
  <c r="E314" i="15"/>
  <c r="C313" i="15"/>
  <c r="D313" i="15"/>
  <c r="G313" i="15"/>
  <c r="AQ313" i="15"/>
  <c r="E310" i="15"/>
  <c r="B308" i="15"/>
  <c r="C308" i="15"/>
  <c r="D308" i="15"/>
  <c r="F308" i="15"/>
  <c r="AP308" i="15"/>
  <c r="H308" i="15"/>
  <c r="J308" i="15"/>
  <c r="D306" i="15"/>
  <c r="E306" i="15"/>
  <c r="F306" i="15"/>
  <c r="AP306" i="15"/>
  <c r="H306" i="15"/>
  <c r="J306" i="15"/>
  <c r="C306" i="15"/>
  <c r="B257" i="15"/>
  <c r="C257" i="15"/>
  <c r="E257" i="15"/>
  <c r="F257" i="15"/>
  <c r="AP257" i="15"/>
  <c r="A257" i="15"/>
  <c r="D257" i="15"/>
  <c r="AQ257" i="15"/>
  <c r="G257" i="15"/>
  <c r="H257" i="15"/>
  <c r="I257" i="15"/>
  <c r="J257" i="15"/>
  <c r="M257" i="15"/>
  <c r="B221" i="15"/>
  <c r="C221" i="15"/>
  <c r="D221" i="15"/>
  <c r="E221" i="15"/>
  <c r="F221" i="15"/>
  <c r="AP221" i="15"/>
  <c r="G221" i="15"/>
  <c r="AQ221" i="15"/>
  <c r="H221" i="15"/>
  <c r="I221" i="15"/>
  <c r="J221" i="15"/>
  <c r="A221" i="15"/>
  <c r="M221" i="15"/>
  <c r="AP372" i="15"/>
  <c r="F372" i="15"/>
  <c r="H370" i="15"/>
  <c r="C369" i="15"/>
  <c r="E367" i="15"/>
  <c r="AQ365" i="15"/>
  <c r="G365" i="15"/>
  <c r="I363" i="15"/>
  <c r="D362" i="15"/>
  <c r="AP360" i="15"/>
  <c r="F360" i="15"/>
  <c r="H358" i="15"/>
  <c r="C357" i="15"/>
  <c r="E355" i="15"/>
  <c r="AQ353" i="15"/>
  <c r="G353" i="15"/>
  <c r="I351" i="15"/>
  <c r="D350" i="15"/>
  <c r="AP348" i="15"/>
  <c r="F348" i="15"/>
  <c r="H346" i="15"/>
  <c r="C345" i="15"/>
  <c r="E343" i="15"/>
  <c r="AQ341" i="15"/>
  <c r="G341" i="15"/>
  <c r="I339" i="15"/>
  <c r="D338" i="15"/>
  <c r="AP336" i="15"/>
  <c r="F336" i="15"/>
  <c r="H334" i="15"/>
  <c r="C333" i="15"/>
  <c r="E331" i="15"/>
  <c r="AQ329" i="15"/>
  <c r="G329" i="15"/>
  <c r="I327" i="15"/>
  <c r="D326" i="15"/>
  <c r="AP324" i="15"/>
  <c r="F324" i="15"/>
  <c r="AQ322" i="15"/>
  <c r="F322" i="15"/>
  <c r="AP320" i="15"/>
  <c r="F320" i="15"/>
  <c r="I319" i="15"/>
  <c r="J319" i="15"/>
  <c r="B318" i="15"/>
  <c r="AQ314" i="15"/>
  <c r="D314" i="15"/>
  <c r="C310" i="15"/>
  <c r="A303" i="15"/>
  <c r="M303" i="15"/>
  <c r="B303" i="15"/>
  <c r="C303" i="15"/>
  <c r="E303" i="15"/>
  <c r="F303" i="15"/>
  <c r="G303" i="15"/>
  <c r="AQ303" i="15"/>
  <c r="I303" i="15"/>
  <c r="D367" i="15"/>
  <c r="H363" i="15"/>
  <c r="C362" i="15"/>
  <c r="D355" i="15"/>
  <c r="C350" i="15"/>
  <c r="D343" i="15"/>
  <c r="C338" i="15"/>
  <c r="D331" i="15"/>
  <c r="C326" i="15"/>
  <c r="F316" i="15"/>
  <c r="AP316" i="15"/>
  <c r="G316" i="15"/>
  <c r="AQ316" i="15"/>
  <c r="J316" i="15"/>
  <c r="A279" i="15"/>
  <c r="M279" i="15"/>
  <c r="B279" i="15"/>
  <c r="C279" i="15"/>
  <c r="D279" i="15"/>
  <c r="E279" i="15"/>
  <c r="F279" i="15"/>
  <c r="AP279" i="15"/>
  <c r="G279" i="15"/>
  <c r="AQ279" i="15"/>
  <c r="H279" i="15"/>
  <c r="I279" i="15"/>
  <c r="B272" i="15"/>
  <c r="C272" i="15"/>
  <c r="D272" i="15"/>
  <c r="E272" i="15"/>
  <c r="F272" i="15"/>
  <c r="AP272" i="15"/>
  <c r="G272" i="15"/>
  <c r="AQ272" i="15"/>
  <c r="H272" i="15"/>
  <c r="I272" i="15"/>
  <c r="J272" i="15"/>
  <c r="A272" i="15"/>
  <c r="M272" i="15"/>
  <c r="A228" i="15"/>
  <c r="M228" i="15"/>
  <c r="B228" i="15"/>
  <c r="C228" i="15"/>
  <c r="D228" i="15"/>
  <c r="E228" i="15"/>
  <c r="F228" i="15"/>
  <c r="AP228" i="15"/>
  <c r="G228" i="15"/>
  <c r="AQ228" i="15"/>
  <c r="H228" i="15"/>
  <c r="I228" i="15"/>
  <c r="J228" i="15"/>
  <c r="J338" i="15"/>
  <c r="I373" i="15"/>
  <c r="D372" i="15"/>
  <c r="AP370" i="15"/>
  <c r="F370" i="15"/>
  <c r="M369" i="15"/>
  <c r="C367" i="15"/>
  <c r="J366" i="15"/>
  <c r="E365" i="15"/>
  <c r="AQ363" i="15"/>
  <c r="G363" i="15"/>
  <c r="B362" i="15"/>
  <c r="I361" i="15"/>
  <c r="D360" i="15"/>
  <c r="AP358" i="15"/>
  <c r="F358" i="15"/>
  <c r="M357" i="15"/>
  <c r="C355" i="15"/>
  <c r="J354" i="15"/>
  <c r="E353" i="15"/>
  <c r="AQ351" i="15"/>
  <c r="G351" i="15"/>
  <c r="B350" i="15"/>
  <c r="I349" i="15"/>
  <c r="D348" i="15"/>
  <c r="AP346" i="15"/>
  <c r="F346" i="15"/>
  <c r="M345" i="15"/>
  <c r="C343" i="15"/>
  <c r="J342" i="15"/>
  <c r="E341" i="15"/>
  <c r="AQ339" i="15"/>
  <c r="G339" i="15"/>
  <c r="B338" i="15"/>
  <c r="D336" i="15"/>
  <c r="AP334" i="15"/>
  <c r="F334" i="15"/>
  <c r="M333" i="15"/>
  <c r="C331" i="15"/>
  <c r="J330" i="15"/>
  <c r="E329" i="15"/>
  <c r="AQ327" i="15"/>
  <c r="G327" i="15"/>
  <c r="B326" i="15"/>
  <c r="I325" i="15"/>
  <c r="D324" i="15"/>
  <c r="D322" i="15"/>
  <c r="J321" i="15"/>
  <c r="D320" i="15"/>
  <c r="G319" i="15"/>
  <c r="I316" i="15"/>
  <c r="B314" i="15"/>
  <c r="AQ310" i="15"/>
  <c r="F304" i="15"/>
  <c r="AP304" i="15"/>
  <c r="G304" i="15"/>
  <c r="AQ304" i="15"/>
  <c r="H304" i="15"/>
  <c r="J304" i="15"/>
  <c r="B304" i="15"/>
  <c r="E304" i="15"/>
  <c r="H303" i="15"/>
  <c r="J279" i="15"/>
  <c r="F260" i="15"/>
  <c r="I260" i="15"/>
  <c r="M260" i="15"/>
  <c r="A260" i="15"/>
  <c r="B260" i="15"/>
  <c r="C260" i="15"/>
  <c r="D260" i="15"/>
  <c r="AP260" i="15"/>
  <c r="E260" i="15"/>
  <c r="AQ260" i="15"/>
  <c r="G260" i="15"/>
  <c r="H260" i="15"/>
  <c r="A252" i="15"/>
  <c r="M252" i="15"/>
  <c r="B252" i="15"/>
  <c r="D252" i="15"/>
  <c r="E252" i="15"/>
  <c r="C252" i="15"/>
  <c r="AP252" i="15"/>
  <c r="F252" i="15"/>
  <c r="AQ252" i="15"/>
  <c r="G252" i="15"/>
  <c r="H252" i="15"/>
  <c r="I252" i="15"/>
  <c r="D318" i="15"/>
  <c r="E318" i="15"/>
  <c r="AP363" i="15"/>
  <c r="M362" i="15"/>
  <c r="AP351" i="15"/>
  <c r="M350" i="15"/>
  <c r="AP339" i="15"/>
  <c r="M338" i="15"/>
  <c r="AP327" i="15"/>
  <c r="M326" i="15"/>
  <c r="C322" i="15"/>
  <c r="I321" i="15"/>
  <c r="A320" i="15"/>
  <c r="F319" i="15"/>
  <c r="M318" i="15"/>
  <c r="H316" i="15"/>
  <c r="A314" i="15"/>
  <c r="I304" i="15"/>
  <c r="D303" i="15"/>
  <c r="B296" i="15"/>
  <c r="C296" i="15"/>
  <c r="D296" i="15"/>
  <c r="E296" i="15"/>
  <c r="F296" i="15"/>
  <c r="AP296" i="15"/>
  <c r="G296" i="15"/>
  <c r="AQ296" i="15"/>
  <c r="H296" i="15"/>
  <c r="I296" i="15"/>
  <c r="J296" i="15"/>
  <c r="A296" i="15"/>
  <c r="M296" i="15"/>
  <c r="J260" i="15"/>
  <c r="J252" i="15"/>
  <c r="B245" i="15"/>
  <c r="C245" i="15"/>
  <c r="D245" i="15"/>
  <c r="E245" i="15"/>
  <c r="F245" i="15"/>
  <c r="AP245" i="15"/>
  <c r="H245" i="15"/>
  <c r="I245" i="15"/>
  <c r="J245" i="15"/>
  <c r="A245" i="15"/>
  <c r="M245" i="15"/>
  <c r="AQ245" i="15"/>
  <c r="AQ302" i="15"/>
  <c r="G302" i="15"/>
  <c r="C294" i="15"/>
  <c r="E292" i="15"/>
  <c r="AQ290" i="15"/>
  <c r="G290" i="15"/>
  <c r="C282" i="15"/>
  <c r="E280" i="15"/>
  <c r="AQ278" i="15"/>
  <c r="G278" i="15"/>
  <c r="C270" i="15"/>
  <c r="E268" i="15"/>
  <c r="AQ266" i="15"/>
  <c r="G266" i="15"/>
  <c r="F187" i="15"/>
  <c r="AP187" i="15"/>
  <c r="H187" i="15"/>
  <c r="J187" i="15"/>
  <c r="A187" i="15"/>
  <c r="M187" i="15"/>
  <c r="C187" i="15"/>
  <c r="AQ187" i="15"/>
  <c r="B187" i="15"/>
  <c r="D187" i="15"/>
  <c r="E187" i="15"/>
  <c r="G187" i="15"/>
  <c r="I187" i="15"/>
  <c r="M311" i="15"/>
  <c r="A311" i="15"/>
  <c r="E307" i="15"/>
  <c r="D302" i="15"/>
  <c r="M299" i="15"/>
  <c r="A299" i="15"/>
  <c r="H298" i="15"/>
  <c r="E295" i="15"/>
  <c r="B292" i="15"/>
  <c r="D290" i="15"/>
  <c r="M287" i="15"/>
  <c r="A287" i="15"/>
  <c r="H286" i="15"/>
  <c r="E283" i="15"/>
  <c r="B280" i="15"/>
  <c r="D278" i="15"/>
  <c r="M275" i="15"/>
  <c r="A275" i="15"/>
  <c r="H274" i="15"/>
  <c r="E271" i="15"/>
  <c r="B268" i="15"/>
  <c r="D266" i="15"/>
  <c r="M263" i="15"/>
  <c r="A263" i="15"/>
  <c r="H262" i="15"/>
  <c r="I256" i="15"/>
  <c r="J256" i="15"/>
  <c r="A256" i="15"/>
  <c r="M256" i="15"/>
  <c r="C307" i="15"/>
  <c r="B302" i="15"/>
  <c r="AP298" i="15"/>
  <c r="F298" i="15"/>
  <c r="C295" i="15"/>
  <c r="J294" i="15"/>
  <c r="B290" i="15"/>
  <c r="AP286" i="15"/>
  <c r="F286" i="15"/>
  <c r="C283" i="15"/>
  <c r="J282" i="15"/>
  <c r="B278" i="15"/>
  <c r="AP274" i="15"/>
  <c r="F274" i="15"/>
  <c r="C271" i="15"/>
  <c r="J270" i="15"/>
  <c r="B266" i="15"/>
  <c r="I265" i="15"/>
  <c r="AP262" i="15"/>
  <c r="F262" i="15"/>
  <c r="A259" i="15"/>
  <c r="M259" i="15"/>
  <c r="D259" i="15"/>
  <c r="G256" i="15"/>
  <c r="C250" i="15"/>
  <c r="D250" i="15"/>
  <c r="E250" i="15"/>
  <c r="F250" i="15"/>
  <c r="AP250" i="15"/>
  <c r="G250" i="15"/>
  <c r="AQ250" i="15"/>
  <c r="I250" i="15"/>
  <c r="B209" i="15"/>
  <c r="C209" i="15"/>
  <c r="D209" i="15"/>
  <c r="E209" i="15"/>
  <c r="F209" i="15"/>
  <c r="AP209" i="15"/>
  <c r="G209" i="15"/>
  <c r="AQ209" i="15"/>
  <c r="H209" i="15"/>
  <c r="I209" i="15"/>
  <c r="J209" i="15"/>
  <c r="A209" i="15"/>
  <c r="M209" i="15"/>
  <c r="M302" i="15"/>
  <c r="A302" i="15"/>
  <c r="I294" i="15"/>
  <c r="M290" i="15"/>
  <c r="A290" i="15"/>
  <c r="I282" i="15"/>
  <c r="M278" i="15"/>
  <c r="A278" i="15"/>
  <c r="I270" i="15"/>
  <c r="M266" i="15"/>
  <c r="A266" i="15"/>
  <c r="D255" i="15"/>
  <c r="E255" i="15"/>
  <c r="G255" i="15"/>
  <c r="AQ255" i="15"/>
  <c r="H255" i="15"/>
  <c r="A216" i="15"/>
  <c r="M216" i="15"/>
  <c r="B216" i="15"/>
  <c r="C216" i="15"/>
  <c r="D216" i="15"/>
  <c r="E216" i="15"/>
  <c r="F216" i="15"/>
  <c r="AP216" i="15"/>
  <c r="G216" i="15"/>
  <c r="AQ216" i="15"/>
  <c r="H216" i="15"/>
  <c r="I216" i="15"/>
  <c r="A186" i="15"/>
  <c r="M186" i="15"/>
  <c r="B186" i="15"/>
  <c r="C186" i="15"/>
  <c r="D186" i="15"/>
  <c r="E186" i="15"/>
  <c r="G186" i="15"/>
  <c r="AQ186" i="15"/>
  <c r="H186" i="15"/>
  <c r="J186" i="15"/>
  <c r="AP186" i="15"/>
  <c r="F186" i="15"/>
  <c r="I186" i="15"/>
  <c r="I311" i="15"/>
  <c r="M307" i="15"/>
  <c r="A307" i="15"/>
  <c r="AQ301" i="15"/>
  <c r="G301" i="15"/>
  <c r="I299" i="15"/>
  <c r="D298" i="15"/>
  <c r="M295" i="15"/>
  <c r="A295" i="15"/>
  <c r="H294" i="15"/>
  <c r="J292" i="15"/>
  <c r="AQ289" i="15"/>
  <c r="G289" i="15"/>
  <c r="I287" i="15"/>
  <c r="D286" i="15"/>
  <c r="M283" i="15"/>
  <c r="A283" i="15"/>
  <c r="H282" i="15"/>
  <c r="J280" i="15"/>
  <c r="AQ277" i="15"/>
  <c r="G277" i="15"/>
  <c r="I275" i="15"/>
  <c r="D274" i="15"/>
  <c r="M271" i="15"/>
  <c r="A271" i="15"/>
  <c r="H270" i="15"/>
  <c r="J268" i="15"/>
  <c r="AQ265" i="15"/>
  <c r="G265" i="15"/>
  <c r="I263" i="15"/>
  <c r="D262" i="15"/>
  <c r="I259" i="15"/>
  <c r="E256" i="15"/>
  <c r="J255" i="15"/>
  <c r="H250" i="15"/>
  <c r="A240" i="15"/>
  <c r="M240" i="15"/>
  <c r="B240" i="15"/>
  <c r="C240" i="15"/>
  <c r="D240" i="15"/>
  <c r="E240" i="15"/>
  <c r="G240" i="15"/>
  <c r="AQ240" i="15"/>
  <c r="H240" i="15"/>
  <c r="I240" i="15"/>
  <c r="J216" i="15"/>
  <c r="AQ294" i="15"/>
  <c r="G294" i="15"/>
  <c r="AQ282" i="15"/>
  <c r="G282" i="15"/>
  <c r="AQ270" i="15"/>
  <c r="G270" i="15"/>
  <c r="J240" i="15"/>
  <c r="B233" i="15"/>
  <c r="C233" i="15"/>
  <c r="D233" i="15"/>
  <c r="E233" i="15"/>
  <c r="F233" i="15"/>
  <c r="AP233" i="15"/>
  <c r="H233" i="15"/>
  <c r="I233" i="15"/>
  <c r="J233" i="15"/>
  <c r="A233" i="15"/>
  <c r="M233" i="15"/>
  <c r="J302" i="15"/>
  <c r="B298" i="15"/>
  <c r="AP294" i="15"/>
  <c r="F294" i="15"/>
  <c r="H292" i="15"/>
  <c r="J290" i="15"/>
  <c r="G287" i="15"/>
  <c r="B286" i="15"/>
  <c r="AP282" i="15"/>
  <c r="F282" i="15"/>
  <c r="H280" i="15"/>
  <c r="J278" i="15"/>
  <c r="G275" i="15"/>
  <c r="B274" i="15"/>
  <c r="AP270" i="15"/>
  <c r="F270" i="15"/>
  <c r="H268" i="15"/>
  <c r="J266" i="15"/>
  <c r="E265" i="15"/>
  <c r="G263" i="15"/>
  <c r="B262" i="15"/>
  <c r="G259" i="15"/>
  <c r="AQ256" i="15"/>
  <c r="C256" i="15"/>
  <c r="F255" i="15"/>
  <c r="A247" i="15"/>
  <c r="M247" i="15"/>
  <c r="B247" i="15"/>
  <c r="C247" i="15"/>
  <c r="D247" i="15"/>
  <c r="F247" i="15"/>
  <c r="AP247" i="15"/>
  <c r="G247" i="15"/>
  <c r="F240" i="15"/>
  <c r="G233" i="15"/>
  <c r="AP311" i="15"/>
  <c r="F311" i="15"/>
  <c r="H309" i="15"/>
  <c r="J307" i="15"/>
  <c r="I302" i="15"/>
  <c r="D301" i="15"/>
  <c r="AP299" i="15"/>
  <c r="F299" i="15"/>
  <c r="M298" i="15"/>
  <c r="H297" i="15"/>
  <c r="J295" i="15"/>
  <c r="E294" i="15"/>
  <c r="AQ292" i="15"/>
  <c r="G292" i="15"/>
  <c r="I290" i="15"/>
  <c r="D289" i="15"/>
  <c r="AP287" i="15"/>
  <c r="F287" i="15"/>
  <c r="M286" i="15"/>
  <c r="H285" i="15"/>
  <c r="J283" i="15"/>
  <c r="E282" i="15"/>
  <c r="AQ280" i="15"/>
  <c r="G280" i="15"/>
  <c r="I278" i="15"/>
  <c r="D277" i="15"/>
  <c r="AP275" i="15"/>
  <c r="F275" i="15"/>
  <c r="M274" i="15"/>
  <c r="H273" i="15"/>
  <c r="J271" i="15"/>
  <c r="E270" i="15"/>
  <c r="AQ268" i="15"/>
  <c r="G268" i="15"/>
  <c r="I266" i="15"/>
  <c r="D265" i="15"/>
  <c r="AP263" i="15"/>
  <c r="F263" i="15"/>
  <c r="M262" i="15"/>
  <c r="H261" i="15"/>
  <c r="AQ259" i="15"/>
  <c r="F259" i="15"/>
  <c r="AP256" i="15"/>
  <c r="B256" i="15"/>
  <c r="C255" i="15"/>
  <c r="J247" i="15"/>
  <c r="A204" i="15"/>
  <c r="M204" i="15"/>
  <c r="B204" i="15"/>
  <c r="C204" i="15"/>
  <c r="D204" i="15"/>
  <c r="E204" i="15"/>
  <c r="F204" i="15"/>
  <c r="AP204" i="15"/>
  <c r="G204" i="15"/>
  <c r="AQ204" i="15"/>
  <c r="H204" i="15"/>
  <c r="I204" i="15"/>
  <c r="AQ309" i="15"/>
  <c r="AQ297" i="15"/>
  <c r="AP292" i="15"/>
  <c r="AQ285" i="15"/>
  <c r="AP280" i="15"/>
  <c r="AQ273" i="15"/>
  <c r="AP268" i="15"/>
  <c r="AQ261" i="15"/>
  <c r="G261" i="15"/>
  <c r="AP259" i="15"/>
  <c r="E259" i="15"/>
  <c r="AP255" i="15"/>
  <c r="B255" i="15"/>
  <c r="F253" i="15"/>
  <c r="AP253" i="15"/>
  <c r="G253" i="15"/>
  <c r="AQ253" i="15"/>
  <c r="I253" i="15"/>
  <c r="J253" i="15"/>
  <c r="I247" i="15"/>
  <c r="F241" i="15"/>
  <c r="AP241" i="15"/>
  <c r="G241" i="15"/>
  <c r="AQ241" i="15"/>
  <c r="H241" i="15"/>
  <c r="I241" i="15"/>
  <c r="J241" i="15"/>
  <c r="A241" i="15"/>
  <c r="M241" i="15"/>
  <c r="B241" i="15"/>
  <c r="E241" i="15"/>
  <c r="J204" i="15"/>
  <c r="B238" i="15"/>
  <c r="E229" i="15"/>
  <c r="B226" i="15"/>
  <c r="E217" i="15"/>
  <c r="B214" i="15"/>
  <c r="E205" i="15"/>
  <c r="C197" i="15"/>
  <c r="G192" i="15"/>
  <c r="AQ192" i="15"/>
  <c r="I192" i="15"/>
  <c r="A192" i="15"/>
  <c r="M192" i="15"/>
  <c r="H235" i="15"/>
  <c r="B229" i="15"/>
  <c r="H223" i="15"/>
  <c r="B217" i="15"/>
  <c r="H211" i="15"/>
  <c r="B205" i="15"/>
  <c r="J195" i="15"/>
  <c r="D195" i="15"/>
  <c r="F192" i="15"/>
  <c r="A162" i="15"/>
  <c r="M162" i="15"/>
  <c r="B162" i="15"/>
  <c r="C162" i="15"/>
  <c r="D162" i="15"/>
  <c r="E162" i="15"/>
  <c r="F162" i="15"/>
  <c r="AP162" i="15"/>
  <c r="G162" i="15"/>
  <c r="AQ162" i="15"/>
  <c r="H162" i="15"/>
  <c r="I162" i="15"/>
  <c r="J162" i="15"/>
  <c r="J238" i="15"/>
  <c r="AQ235" i="15"/>
  <c r="G235" i="15"/>
  <c r="M229" i="15"/>
  <c r="A229" i="15"/>
  <c r="J226" i="15"/>
  <c r="AQ223" i="15"/>
  <c r="G223" i="15"/>
  <c r="M217" i="15"/>
  <c r="A217" i="15"/>
  <c r="J214" i="15"/>
  <c r="AQ211" i="15"/>
  <c r="G211" i="15"/>
  <c r="M205" i="15"/>
  <c r="A205" i="15"/>
  <c r="J202" i="15"/>
  <c r="I195" i="15"/>
  <c r="E192" i="15"/>
  <c r="C244" i="15"/>
  <c r="J243" i="15"/>
  <c r="I238" i="15"/>
  <c r="AP235" i="15"/>
  <c r="F235" i="15"/>
  <c r="J231" i="15"/>
  <c r="I226" i="15"/>
  <c r="AP223" i="15"/>
  <c r="F223" i="15"/>
  <c r="J219" i="15"/>
  <c r="I214" i="15"/>
  <c r="AP211" i="15"/>
  <c r="F211" i="15"/>
  <c r="J207" i="15"/>
  <c r="I202" i="15"/>
  <c r="H195" i="15"/>
  <c r="D192" i="15"/>
  <c r="A150" i="15"/>
  <c r="M150" i="15"/>
  <c r="B150" i="15"/>
  <c r="C150" i="15"/>
  <c r="D150" i="15"/>
  <c r="E150" i="15"/>
  <c r="F150" i="15"/>
  <c r="AP150" i="15"/>
  <c r="G150" i="15"/>
  <c r="AQ150" i="15"/>
  <c r="H150" i="15"/>
  <c r="I150" i="15"/>
  <c r="J150" i="15"/>
  <c r="H197" i="15"/>
  <c r="J197" i="15"/>
  <c r="C192" i="15"/>
  <c r="I248" i="15"/>
  <c r="M244" i="15"/>
  <c r="A244" i="15"/>
  <c r="H243" i="15"/>
  <c r="AQ238" i="15"/>
  <c r="G238" i="15"/>
  <c r="I236" i="15"/>
  <c r="D235" i="15"/>
  <c r="M232" i="15"/>
  <c r="A232" i="15"/>
  <c r="H231" i="15"/>
  <c r="J229" i="15"/>
  <c r="AQ226" i="15"/>
  <c r="G226" i="15"/>
  <c r="I224" i="15"/>
  <c r="D223" i="15"/>
  <c r="M220" i="15"/>
  <c r="A220" i="15"/>
  <c r="H219" i="15"/>
  <c r="J217" i="15"/>
  <c r="AQ214" i="15"/>
  <c r="G214" i="15"/>
  <c r="I212" i="15"/>
  <c r="D211" i="15"/>
  <c r="M208" i="15"/>
  <c r="A208" i="15"/>
  <c r="H207" i="15"/>
  <c r="J205" i="15"/>
  <c r="AQ202" i="15"/>
  <c r="G202" i="15"/>
  <c r="B201" i="15"/>
  <c r="I197" i="15"/>
  <c r="F195" i="15"/>
  <c r="B192" i="15"/>
  <c r="A181" i="15"/>
  <c r="M181" i="15"/>
  <c r="B181" i="15"/>
  <c r="C181" i="15"/>
  <c r="D181" i="15"/>
  <c r="E181" i="15"/>
  <c r="F181" i="15"/>
  <c r="AP181" i="15"/>
  <c r="G181" i="15"/>
  <c r="AQ181" i="15"/>
  <c r="I181" i="15"/>
  <c r="H248" i="15"/>
  <c r="AQ243" i="15"/>
  <c r="G243" i="15"/>
  <c r="AP238" i="15"/>
  <c r="F238" i="15"/>
  <c r="H236" i="15"/>
  <c r="C235" i="15"/>
  <c r="AQ231" i="15"/>
  <c r="G231" i="15"/>
  <c r="I229" i="15"/>
  <c r="AP226" i="15"/>
  <c r="F226" i="15"/>
  <c r="H224" i="15"/>
  <c r="C223" i="15"/>
  <c r="AQ219" i="15"/>
  <c r="G219" i="15"/>
  <c r="I217" i="15"/>
  <c r="AP214" i="15"/>
  <c r="F214" i="15"/>
  <c r="H212" i="15"/>
  <c r="C211" i="15"/>
  <c r="AQ207" i="15"/>
  <c r="G207" i="15"/>
  <c r="I205" i="15"/>
  <c r="AP202" i="15"/>
  <c r="F202" i="15"/>
  <c r="G197" i="15"/>
  <c r="AQ195" i="15"/>
  <c r="E195" i="15"/>
  <c r="J181" i="15"/>
  <c r="AP243" i="15"/>
  <c r="F243" i="15"/>
  <c r="E238" i="15"/>
  <c r="AQ236" i="15"/>
  <c r="G236" i="15"/>
  <c r="B235" i="15"/>
  <c r="AP231" i="15"/>
  <c r="F231" i="15"/>
  <c r="H229" i="15"/>
  <c r="E226" i="15"/>
  <c r="AQ224" i="15"/>
  <c r="G224" i="15"/>
  <c r="B223" i="15"/>
  <c r="AP219" i="15"/>
  <c r="F219" i="15"/>
  <c r="H217" i="15"/>
  <c r="E214" i="15"/>
  <c r="AQ212" i="15"/>
  <c r="G212" i="15"/>
  <c r="B211" i="15"/>
  <c r="AP207" i="15"/>
  <c r="F207" i="15"/>
  <c r="H205" i="15"/>
  <c r="J203" i="15"/>
  <c r="E202" i="15"/>
  <c r="F199" i="15"/>
  <c r="AP199" i="15"/>
  <c r="H199" i="15"/>
  <c r="F197" i="15"/>
  <c r="AP195" i="15"/>
  <c r="C195" i="15"/>
  <c r="B193" i="15"/>
  <c r="F193" i="15"/>
  <c r="AP193" i="15"/>
  <c r="H181" i="15"/>
  <c r="I251" i="15"/>
  <c r="AP248" i="15"/>
  <c r="F248" i="15"/>
  <c r="J244" i="15"/>
  <c r="E243" i="15"/>
  <c r="I239" i="15"/>
  <c r="D238" i="15"/>
  <c r="AP236" i="15"/>
  <c r="F236" i="15"/>
  <c r="M235" i="15"/>
  <c r="J232" i="15"/>
  <c r="E231" i="15"/>
  <c r="AQ229" i="15"/>
  <c r="G229" i="15"/>
  <c r="I227" i="15"/>
  <c r="D226" i="15"/>
  <c r="AP224" i="15"/>
  <c r="F224" i="15"/>
  <c r="M223" i="15"/>
  <c r="J220" i="15"/>
  <c r="E219" i="15"/>
  <c r="AQ217" i="15"/>
  <c r="G217" i="15"/>
  <c r="I215" i="15"/>
  <c r="D214" i="15"/>
  <c r="AP212" i="15"/>
  <c r="F212" i="15"/>
  <c r="M211" i="15"/>
  <c r="J208" i="15"/>
  <c r="E207" i="15"/>
  <c r="AQ205" i="15"/>
  <c r="G205" i="15"/>
  <c r="I203" i="15"/>
  <c r="D202" i="15"/>
  <c r="J199" i="15"/>
  <c r="AQ197" i="15"/>
  <c r="E197" i="15"/>
  <c r="B195" i="15"/>
  <c r="J193" i="15"/>
  <c r="A174" i="15"/>
  <c r="M174" i="15"/>
  <c r="B174" i="15"/>
  <c r="C174" i="15"/>
  <c r="D174" i="15"/>
  <c r="E174" i="15"/>
  <c r="F174" i="15"/>
  <c r="AP174" i="15"/>
  <c r="G174" i="15"/>
  <c r="AQ174" i="15"/>
  <c r="H174" i="15"/>
  <c r="I174" i="15"/>
  <c r="J174" i="15"/>
  <c r="AP229" i="15"/>
  <c r="AP217" i="15"/>
  <c r="AP205" i="15"/>
  <c r="I199" i="15"/>
  <c r="AP197" i="15"/>
  <c r="D197" i="15"/>
  <c r="C196" i="15"/>
  <c r="E196" i="15"/>
  <c r="A195" i="15"/>
  <c r="I193" i="15"/>
  <c r="D189" i="15"/>
  <c r="F189" i="15"/>
  <c r="AP189" i="15"/>
  <c r="H189" i="15"/>
  <c r="J189" i="15"/>
  <c r="A189" i="15"/>
  <c r="M189" i="15"/>
  <c r="C184" i="15"/>
  <c r="D184" i="15"/>
  <c r="E184" i="15"/>
  <c r="F184" i="15"/>
  <c r="AP184" i="15"/>
  <c r="G184" i="15"/>
  <c r="AQ184" i="15"/>
  <c r="H184" i="15"/>
  <c r="I184" i="15"/>
  <c r="J184" i="15"/>
  <c r="A138" i="15"/>
  <c r="M138" i="15"/>
  <c r="B138" i="15"/>
  <c r="C138" i="15"/>
  <c r="D138" i="15"/>
  <c r="E138" i="15"/>
  <c r="F138" i="15"/>
  <c r="AP138" i="15"/>
  <c r="G138" i="15"/>
  <c r="AQ138" i="15"/>
  <c r="H138" i="15"/>
  <c r="I138" i="15"/>
  <c r="J138" i="15"/>
  <c r="B172" i="15"/>
  <c r="B160" i="15"/>
  <c r="B68" i="15"/>
  <c r="H68" i="15"/>
  <c r="M68" i="15"/>
  <c r="A68" i="15"/>
  <c r="C68" i="15"/>
  <c r="D68" i="15"/>
  <c r="E68" i="15"/>
  <c r="AP68" i="15"/>
  <c r="F68" i="15"/>
  <c r="AQ68" i="15"/>
  <c r="G68" i="15"/>
  <c r="I68" i="15"/>
  <c r="J68" i="15"/>
  <c r="E185" i="15"/>
  <c r="AQ183" i="15"/>
  <c r="G183" i="15"/>
  <c r="D180" i="15"/>
  <c r="M177" i="15"/>
  <c r="A177" i="15"/>
  <c r="C175" i="15"/>
  <c r="E173" i="15"/>
  <c r="AQ171" i="15"/>
  <c r="G171" i="15"/>
  <c r="I169" i="15"/>
  <c r="D168" i="15"/>
  <c r="M165" i="15"/>
  <c r="A165" i="15"/>
  <c r="C163" i="15"/>
  <c r="E161" i="15"/>
  <c r="AQ159" i="15"/>
  <c r="G159" i="15"/>
  <c r="I157" i="15"/>
  <c r="D156" i="15"/>
  <c r="M153" i="15"/>
  <c r="A153" i="15"/>
  <c r="C151" i="15"/>
  <c r="E149" i="15"/>
  <c r="AQ147" i="15"/>
  <c r="G147" i="15"/>
  <c r="I145" i="15"/>
  <c r="D144" i="15"/>
  <c r="M141" i="15"/>
  <c r="A141" i="15"/>
  <c r="C139" i="15"/>
  <c r="E137" i="15"/>
  <c r="AQ135" i="15"/>
  <c r="G135" i="15"/>
  <c r="A133" i="15"/>
  <c r="G132" i="15"/>
  <c r="A84" i="15"/>
  <c r="M84" i="15"/>
  <c r="B84" i="15"/>
  <c r="C84" i="15"/>
  <c r="D84" i="15"/>
  <c r="E84" i="15"/>
  <c r="F84" i="15"/>
  <c r="AP84" i="15"/>
  <c r="G84" i="15"/>
  <c r="AQ84" i="15"/>
  <c r="H84" i="15"/>
  <c r="I84" i="15"/>
  <c r="J84" i="15"/>
  <c r="H169" i="15"/>
  <c r="H157" i="15"/>
  <c r="H145" i="15"/>
  <c r="C185" i="15"/>
  <c r="E183" i="15"/>
  <c r="M175" i="15"/>
  <c r="A175" i="15"/>
  <c r="C173" i="15"/>
  <c r="J172" i="15"/>
  <c r="E171" i="15"/>
  <c r="AQ169" i="15"/>
  <c r="G169" i="15"/>
  <c r="M163" i="15"/>
  <c r="A163" i="15"/>
  <c r="C161" i="15"/>
  <c r="J160" i="15"/>
  <c r="E159" i="15"/>
  <c r="AQ157" i="15"/>
  <c r="G157" i="15"/>
  <c r="B156" i="15"/>
  <c r="M151" i="15"/>
  <c r="A151" i="15"/>
  <c r="C149" i="15"/>
  <c r="J148" i="15"/>
  <c r="E147" i="15"/>
  <c r="AQ145" i="15"/>
  <c r="G145" i="15"/>
  <c r="B144" i="15"/>
  <c r="M139" i="15"/>
  <c r="A139" i="15"/>
  <c r="C137" i="15"/>
  <c r="J136" i="15"/>
  <c r="C135" i="15"/>
  <c r="AP132" i="15"/>
  <c r="E132" i="15"/>
  <c r="H191" i="15"/>
  <c r="B185" i="15"/>
  <c r="D183" i="15"/>
  <c r="M180" i="15"/>
  <c r="A180" i="15"/>
  <c r="H179" i="15"/>
  <c r="J177" i="15"/>
  <c r="B173" i="15"/>
  <c r="I172" i="15"/>
  <c r="D171" i="15"/>
  <c r="AP169" i="15"/>
  <c r="F169" i="15"/>
  <c r="M168" i="15"/>
  <c r="A168" i="15"/>
  <c r="H167" i="15"/>
  <c r="J165" i="15"/>
  <c r="B161" i="15"/>
  <c r="I160" i="15"/>
  <c r="D159" i="15"/>
  <c r="AP157" i="15"/>
  <c r="F157" i="15"/>
  <c r="M156" i="15"/>
  <c r="A156" i="15"/>
  <c r="H155" i="15"/>
  <c r="J153" i="15"/>
  <c r="B149" i="15"/>
  <c r="I148" i="15"/>
  <c r="D147" i="15"/>
  <c r="AP145" i="15"/>
  <c r="F145" i="15"/>
  <c r="M144" i="15"/>
  <c r="A144" i="15"/>
  <c r="H143" i="15"/>
  <c r="J141" i="15"/>
  <c r="B137" i="15"/>
  <c r="I136" i="15"/>
  <c r="B135" i="15"/>
  <c r="A72" i="15"/>
  <c r="M72" i="15"/>
  <c r="B72" i="15"/>
  <c r="C72" i="15"/>
  <c r="D72" i="15"/>
  <c r="E72" i="15"/>
  <c r="F72" i="15"/>
  <c r="AP72" i="15"/>
  <c r="G72" i="15"/>
  <c r="AQ72" i="15"/>
  <c r="H72" i="15"/>
  <c r="I72" i="15"/>
  <c r="J72" i="15"/>
  <c r="H172" i="15"/>
  <c r="E169" i="15"/>
  <c r="M161" i="15"/>
  <c r="A161" i="15"/>
  <c r="H160" i="15"/>
  <c r="C159" i="15"/>
  <c r="E157" i="15"/>
  <c r="M149" i="15"/>
  <c r="A149" i="15"/>
  <c r="H148" i="15"/>
  <c r="C147" i="15"/>
  <c r="E145" i="15"/>
  <c r="M137" i="15"/>
  <c r="A137" i="15"/>
  <c r="H136" i="15"/>
  <c r="F133" i="15"/>
  <c r="AP133" i="15"/>
  <c r="H133" i="15"/>
  <c r="C130" i="15"/>
  <c r="D130" i="15"/>
  <c r="E130" i="15"/>
  <c r="F130" i="15"/>
  <c r="AP130" i="15"/>
  <c r="F109" i="15"/>
  <c r="AP109" i="15"/>
  <c r="G109" i="15"/>
  <c r="AQ109" i="15"/>
  <c r="H109" i="15"/>
  <c r="I109" i="15"/>
  <c r="J109" i="15"/>
  <c r="A109" i="15"/>
  <c r="M109" i="15"/>
  <c r="B109" i="15"/>
  <c r="C109" i="15"/>
  <c r="E109" i="15"/>
  <c r="B183" i="15"/>
  <c r="F179" i="15"/>
  <c r="H177" i="15"/>
  <c r="J175" i="15"/>
  <c r="AQ172" i="15"/>
  <c r="G172" i="15"/>
  <c r="B171" i="15"/>
  <c r="D169" i="15"/>
  <c r="F167" i="15"/>
  <c r="H165" i="15"/>
  <c r="J163" i="15"/>
  <c r="AQ160" i="15"/>
  <c r="G160" i="15"/>
  <c r="B159" i="15"/>
  <c r="D157" i="15"/>
  <c r="H153" i="15"/>
  <c r="J151" i="15"/>
  <c r="AQ148" i="15"/>
  <c r="G148" i="15"/>
  <c r="B147" i="15"/>
  <c r="D145" i="15"/>
  <c r="J139" i="15"/>
  <c r="AQ136" i="15"/>
  <c r="G136" i="15"/>
  <c r="J133" i="15"/>
  <c r="M183" i="15"/>
  <c r="A183" i="15"/>
  <c r="I175" i="15"/>
  <c r="AP172" i="15"/>
  <c r="F172" i="15"/>
  <c r="M171" i="15"/>
  <c r="A171" i="15"/>
  <c r="C169" i="15"/>
  <c r="AP160" i="15"/>
  <c r="F160" i="15"/>
  <c r="M159" i="15"/>
  <c r="A159" i="15"/>
  <c r="C157" i="15"/>
  <c r="AP148" i="15"/>
  <c r="F148" i="15"/>
  <c r="A147" i="15"/>
  <c r="C145" i="15"/>
  <c r="AP136" i="15"/>
  <c r="F136" i="15"/>
  <c r="G126" i="15"/>
  <c r="AQ126" i="15"/>
  <c r="H126" i="15"/>
  <c r="I126" i="15"/>
  <c r="J126" i="15"/>
  <c r="A126" i="15"/>
  <c r="M126" i="15"/>
  <c r="D126" i="15"/>
  <c r="F126" i="15"/>
  <c r="AP126" i="15"/>
  <c r="D123" i="15"/>
  <c r="E123" i="15"/>
  <c r="F123" i="15"/>
  <c r="AP123" i="15"/>
  <c r="G123" i="15"/>
  <c r="AQ123" i="15"/>
  <c r="J123" i="15"/>
  <c r="A123" i="15"/>
  <c r="M123" i="15"/>
  <c r="C123" i="15"/>
  <c r="A120" i="15"/>
  <c r="M120" i="15"/>
  <c r="B120" i="15"/>
  <c r="C120" i="15"/>
  <c r="D120" i="15"/>
  <c r="G120" i="15"/>
  <c r="AQ120" i="15"/>
  <c r="I120" i="15"/>
  <c r="J120" i="15"/>
  <c r="M200" i="15"/>
  <c r="AQ194" i="15"/>
  <c r="G194" i="15"/>
  <c r="D191" i="15"/>
  <c r="M188" i="15"/>
  <c r="J185" i="15"/>
  <c r="AQ182" i="15"/>
  <c r="G182" i="15"/>
  <c r="I180" i="15"/>
  <c r="D179" i="15"/>
  <c r="AP177" i="15"/>
  <c r="F177" i="15"/>
  <c r="M176" i="15"/>
  <c r="H175" i="15"/>
  <c r="J173" i="15"/>
  <c r="E172" i="15"/>
  <c r="AQ170" i="15"/>
  <c r="G170" i="15"/>
  <c r="B169" i="15"/>
  <c r="I168" i="15"/>
  <c r="D167" i="15"/>
  <c r="AP165" i="15"/>
  <c r="F165" i="15"/>
  <c r="M164" i="15"/>
  <c r="H163" i="15"/>
  <c r="J161" i="15"/>
  <c r="E160" i="15"/>
  <c r="AQ158" i="15"/>
  <c r="G158" i="15"/>
  <c r="B157" i="15"/>
  <c r="I156" i="15"/>
  <c r="D155" i="15"/>
  <c r="AP153" i="15"/>
  <c r="F153" i="15"/>
  <c r="M152" i="15"/>
  <c r="H151" i="15"/>
  <c r="J149" i="15"/>
  <c r="E148" i="15"/>
  <c r="AQ146" i="15"/>
  <c r="G146" i="15"/>
  <c r="B145" i="15"/>
  <c r="I144" i="15"/>
  <c r="D143" i="15"/>
  <c r="AP141" i="15"/>
  <c r="F141" i="15"/>
  <c r="H139" i="15"/>
  <c r="J137" i="15"/>
  <c r="E136" i="15"/>
  <c r="G133" i="15"/>
  <c r="H130" i="15"/>
  <c r="E126" i="15"/>
  <c r="I123" i="15"/>
  <c r="H120" i="15"/>
  <c r="G175" i="15"/>
  <c r="D172" i="15"/>
  <c r="M169" i="15"/>
  <c r="D160" i="15"/>
  <c r="M157" i="15"/>
  <c r="I149" i="15"/>
  <c r="D148" i="15"/>
  <c r="M145" i="15"/>
  <c r="I137" i="15"/>
  <c r="D136" i="15"/>
  <c r="D135" i="15"/>
  <c r="F135" i="15"/>
  <c r="A132" i="15"/>
  <c r="M132" i="15"/>
  <c r="C132" i="15"/>
  <c r="D132" i="15"/>
  <c r="C126" i="15"/>
  <c r="H123" i="15"/>
  <c r="F121" i="15"/>
  <c r="AP121" i="15"/>
  <c r="G121" i="15"/>
  <c r="AQ121" i="15"/>
  <c r="H121" i="15"/>
  <c r="I121" i="15"/>
  <c r="C121" i="15"/>
  <c r="E121" i="15"/>
  <c r="F120" i="15"/>
  <c r="AQ180" i="15"/>
  <c r="AP175" i="15"/>
  <c r="AQ168" i="15"/>
  <c r="AP163" i="15"/>
  <c r="AQ156" i="15"/>
  <c r="AP151" i="15"/>
  <c r="AQ144" i="15"/>
  <c r="AP139" i="15"/>
  <c r="J135" i="15"/>
  <c r="AQ133" i="15"/>
  <c r="D133" i="15"/>
  <c r="J132" i="15"/>
  <c r="AQ130" i="15"/>
  <c r="B130" i="15"/>
  <c r="B126" i="15"/>
  <c r="B123" i="15"/>
  <c r="J121" i="15"/>
  <c r="E120" i="15"/>
  <c r="M125" i="15"/>
  <c r="A125" i="15"/>
  <c r="B118" i="15"/>
  <c r="AP114" i="15"/>
  <c r="F114" i="15"/>
  <c r="C111" i="15"/>
  <c r="B106" i="15"/>
  <c r="AP102" i="15"/>
  <c r="F102" i="15"/>
  <c r="C99" i="15"/>
  <c r="E97" i="15"/>
  <c r="B94" i="15"/>
  <c r="AP90" i="15"/>
  <c r="F90" i="15"/>
  <c r="C87" i="15"/>
  <c r="E85" i="15"/>
  <c r="B82" i="15"/>
  <c r="C75" i="15"/>
  <c r="E73" i="15"/>
  <c r="A70" i="15"/>
  <c r="A46" i="15"/>
  <c r="M46" i="15"/>
  <c r="B46" i="15"/>
  <c r="C46" i="15"/>
  <c r="D46" i="15"/>
  <c r="E46" i="15"/>
  <c r="F46" i="15"/>
  <c r="AP46" i="15"/>
  <c r="G46" i="15"/>
  <c r="AQ46" i="15"/>
  <c r="H46" i="15"/>
  <c r="I46" i="15"/>
  <c r="J46" i="15"/>
  <c r="A10" i="15"/>
  <c r="M10" i="15"/>
  <c r="B10" i="15"/>
  <c r="C10" i="15"/>
  <c r="D10" i="15"/>
  <c r="E10" i="15"/>
  <c r="F10" i="15"/>
  <c r="AP10" i="15"/>
  <c r="G10" i="15"/>
  <c r="AQ10" i="15"/>
  <c r="H10" i="15"/>
  <c r="I10" i="15"/>
  <c r="J10" i="15"/>
  <c r="I127" i="15"/>
  <c r="B116" i="15"/>
  <c r="I115" i="15"/>
  <c r="D114" i="15"/>
  <c r="M111" i="15"/>
  <c r="A111" i="15"/>
  <c r="B104" i="15"/>
  <c r="I103" i="15"/>
  <c r="D102" i="15"/>
  <c r="M99" i="15"/>
  <c r="A99" i="15"/>
  <c r="C97" i="15"/>
  <c r="B92" i="15"/>
  <c r="I91" i="15"/>
  <c r="D90" i="15"/>
  <c r="M87" i="15"/>
  <c r="A87" i="15"/>
  <c r="C85" i="15"/>
  <c r="B80" i="15"/>
  <c r="I79" i="15"/>
  <c r="D78" i="15"/>
  <c r="M75" i="15"/>
  <c r="A75" i="15"/>
  <c r="C73" i="15"/>
  <c r="A58" i="15"/>
  <c r="M58" i="15"/>
  <c r="B58" i="15"/>
  <c r="C58" i="15"/>
  <c r="D58" i="15"/>
  <c r="E58" i="15"/>
  <c r="F58" i="15"/>
  <c r="AP58" i="15"/>
  <c r="G58" i="15"/>
  <c r="AQ58" i="15"/>
  <c r="H58" i="15"/>
  <c r="C114" i="15"/>
  <c r="B97" i="15"/>
  <c r="B85" i="15"/>
  <c r="B73" i="15"/>
  <c r="F64" i="15"/>
  <c r="AP64" i="15"/>
  <c r="G64" i="15"/>
  <c r="AQ64" i="15"/>
  <c r="I64" i="15"/>
  <c r="A64" i="15"/>
  <c r="M64" i="15"/>
  <c r="B114" i="15"/>
  <c r="M97" i="15"/>
  <c r="A97" i="15"/>
  <c r="M85" i="15"/>
  <c r="A85" i="15"/>
  <c r="M73" i="15"/>
  <c r="A73" i="15"/>
  <c r="A63" i="15"/>
  <c r="M63" i="15"/>
  <c r="B63" i="15"/>
  <c r="D63" i="15"/>
  <c r="G63" i="15"/>
  <c r="AQ63" i="15"/>
  <c r="H63" i="15"/>
  <c r="AP127" i="15"/>
  <c r="F127" i="15"/>
  <c r="H125" i="15"/>
  <c r="I118" i="15"/>
  <c r="AP115" i="15"/>
  <c r="F115" i="15"/>
  <c r="M114" i="15"/>
  <c r="A114" i="15"/>
  <c r="J111" i="15"/>
  <c r="I106" i="15"/>
  <c r="AP103" i="15"/>
  <c r="F103" i="15"/>
  <c r="M102" i="15"/>
  <c r="A102" i="15"/>
  <c r="J99" i="15"/>
  <c r="I94" i="15"/>
  <c r="AP91" i="15"/>
  <c r="F91" i="15"/>
  <c r="M90" i="15"/>
  <c r="A90" i="15"/>
  <c r="J87" i="15"/>
  <c r="I82" i="15"/>
  <c r="AP79" i="15"/>
  <c r="F79" i="15"/>
  <c r="M78" i="15"/>
  <c r="A78" i="15"/>
  <c r="J75" i="15"/>
  <c r="I70" i="15"/>
  <c r="H64" i="15"/>
  <c r="J63" i="15"/>
  <c r="H70" i="15"/>
  <c r="I67" i="15"/>
  <c r="C67" i="15"/>
  <c r="E64" i="15"/>
  <c r="I63" i="15"/>
  <c r="A34" i="15"/>
  <c r="M34" i="15"/>
  <c r="B34" i="15"/>
  <c r="C34" i="15"/>
  <c r="D34" i="15"/>
  <c r="E34" i="15"/>
  <c r="F34" i="15"/>
  <c r="AP34" i="15"/>
  <c r="G34" i="15"/>
  <c r="AQ34" i="15"/>
  <c r="H34" i="15"/>
  <c r="I34" i="15"/>
  <c r="J34" i="15"/>
  <c r="H111" i="15"/>
  <c r="AQ106" i="15"/>
  <c r="G106" i="15"/>
  <c r="H99" i="15"/>
  <c r="J97" i="15"/>
  <c r="AQ94" i="15"/>
  <c r="G94" i="15"/>
  <c r="H87" i="15"/>
  <c r="J85" i="15"/>
  <c r="AQ82" i="15"/>
  <c r="G82" i="15"/>
  <c r="D79" i="15"/>
  <c r="H75" i="15"/>
  <c r="J73" i="15"/>
  <c r="AQ70" i="15"/>
  <c r="G70" i="15"/>
  <c r="D64" i="15"/>
  <c r="F63" i="15"/>
  <c r="M129" i="15"/>
  <c r="A129" i="15"/>
  <c r="H128" i="15"/>
  <c r="C127" i="15"/>
  <c r="E125" i="15"/>
  <c r="AP118" i="15"/>
  <c r="F118" i="15"/>
  <c r="M117" i="15"/>
  <c r="A117" i="15"/>
  <c r="H116" i="15"/>
  <c r="C115" i="15"/>
  <c r="J114" i="15"/>
  <c r="E113" i="15"/>
  <c r="AQ111" i="15"/>
  <c r="G111" i="15"/>
  <c r="B110" i="15"/>
  <c r="AP106" i="15"/>
  <c r="F106" i="15"/>
  <c r="M105" i="15"/>
  <c r="A105" i="15"/>
  <c r="H104" i="15"/>
  <c r="C103" i="15"/>
  <c r="J102" i="15"/>
  <c r="E101" i="15"/>
  <c r="AQ99" i="15"/>
  <c r="G99" i="15"/>
  <c r="B98" i="15"/>
  <c r="I97" i="15"/>
  <c r="AP94" i="15"/>
  <c r="F94" i="15"/>
  <c r="M93" i="15"/>
  <c r="A93" i="15"/>
  <c r="H92" i="15"/>
  <c r="C91" i="15"/>
  <c r="J90" i="15"/>
  <c r="E89" i="15"/>
  <c r="AQ87" i="15"/>
  <c r="G87" i="15"/>
  <c r="B86" i="15"/>
  <c r="I85" i="15"/>
  <c r="AP82" i="15"/>
  <c r="F82" i="15"/>
  <c r="M81" i="15"/>
  <c r="A81" i="15"/>
  <c r="H80" i="15"/>
  <c r="C79" i="15"/>
  <c r="J78" i="15"/>
  <c r="E77" i="15"/>
  <c r="AQ75" i="15"/>
  <c r="G75" i="15"/>
  <c r="I73" i="15"/>
  <c r="AP70" i="15"/>
  <c r="E70" i="15"/>
  <c r="G69" i="15"/>
  <c r="A69" i="15"/>
  <c r="M69" i="15"/>
  <c r="H67" i="15"/>
  <c r="C64" i="15"/>
  <c r="E63" i="15"/>
  <c r="M134" i="15"/>
  <c r="J131" i="15"/>
  <c r="AQ128" i="15"/>
  <c r="G128" i="15"/>
  <c r="B127" i="15"/>
  <c r="D125" i="15"/>
  <c r="E118" i="15"/>
  <c r="AQ116" i="15"/>
  <c r="G116" i="15"/>
  <c r="B115" i="15"/>
  <c r="I114" i="15"/>
  <c r="D113" i="15"/>
  <c r="AP111" i="15"/>
  <c r="F111" i="15"/>
  <c r="M110" i="15"/>
  <c r="E106" i="15"/>
  <c r="AQ104" i="15"/>
  <c r="G104" i="15"/>
  <c r="B103" i="15"/>
  <c r="I102" i="15"/>
  <c r="D101" i="15"/>
  <c r="AP99" i="15"/>
  <c r="F99" i="15"/>
  <c r="M98" i="15"/>
  <c r="H97" i="15"/>
  <c r="J95" i="15"/>
  <c r="E94" i="15"/>
  <c r="AQ92" i="15"/>
  <c r="G92" i="15"/>
  <c r="B91" i="15"/>
  <c r="I90" i="15"/>
  <c r="D89" i="15"/>
  <c r="AP87" i="15"/>
  <c r="F87" i="15"/>
  <c r="M86" i="15"/>
  <c r="H85" i="15"/>
  <c r="J83" i="15"/>
  <c r="E82" i="15"/>
  <c r="AQ80" i="15"/>
  <c r="G80" i="15"/>
  <c r="B79" i="15"/>
  <c r="I78" i="15"/>
  <c r="D77" i="15"/>
  <c r="AP75" i="15"/>
  <c r="F75" i="15"/>
  <c r="H73" i="15"/>
  <c r="D70" i="15"/>
  <c r="G67" i="15"/>
  <c r="B64" i="15"/>
  <c r="C63" i="15"/>
  <c r="C61" i="15"/>
  <c r="D61" i="15"/>
  <c r="F61" i="15"/>
  <c r="AP61" i="15"/>
  <c r="G61" i="15"/>
  <c r="I61" i="15"/>
  <c r="J61" i="15"/>
  <c r="AP128" i="15"/>
  <c r="F128" i="15"/>
  <c r="M127" i="15"/>
  <c r="C125" i="15"/>
  <c r="D118" i="15"/>
  <c r="AP116" i="15"/>
  <c r="F116" i="15"/>
  <c r="M115" i="15"/>
  <c r="H114" i="15"/>
  <c r="C113" i="15"/>
  <c r="E111" i="15"/>
  <c r="D106" i="15"/>
  <c r="AP104" i="15"/>
  <c r="F104" i="15"/>
  <c r="M103" i="15"/>
  <c r="H102" i="15"/>
  <c r="C101" i="15"/>
  <c r="E99" i="15"/>
  <c r="AQ97" i="15"/>
  <c r="G97" i="15"/>
  <c r="D94" i="15"/>
  <c r="AP92" i="15"/>
  <c r="F92" i="15"/>
  <c r="M91" i="15"/>
  <c r="H90" i="15"/>
  <c r="C89" i="15"/>
  <c r="E87" i="15"/>
  <c r="AQ85" i="15"/>
  <c r="G85" i="15"/>
  <c r="D82" i="15"/>
  <c r="AP80" i="15"/>
  <c r="F80" i="15"/>
  <c r="M79" i="15"/>
  <c r="H78" i="15"/>
  <c r="C77" i="15"/>
  <c r="E75" i="15"/>
  <c r="AQ73" i="15"/>
  <c r="G73" i="15"/>
  <c r="C70" i="15"/>
  <c r="AQ67" i="15"/>
  <c r="F67" i="15"/>
  <c r="D66" i="15"/>
  <c r="G66" i="15"/>
  <c r="AQ66" i="15"/>
  <c r="J66" i="15"/>
  <c r="AP63" i="15"/>
  <c r="A22" i="15"/>
  <c r="M22" i="15"/>
  <c r="B22" i="15"/>
  <c r="C22" i="15"/>
  <c r="D22" i="15"/>
  <c r="E22" i="15"/>
  <c r="F22" i="15"/>
  <c r="AP22" i="15"/>
  <c r="G22" i="15"/>
  <c r="AQ22" i="15"/>
  <c r="H22" i="15"/>
  <c r="I22" i="15"/>
  <c r="J22" i="15"/>
  <c r="AQ114" i="15"/>
  <c r="AQ102" i="15"/>
  <c r="AP97" i="15"/>
  <c r="AQ90" i="15"/>
  <c r="AP85" i="15"/>
  <c r="AQ78" i="15"/>
  <c r="AP73" i="15"/>
  <c r="B70" i="15"/>
  <c r="AP67" i="15"/>
  <c r="E67" i="15"/>
  <c r="I66" i="15"/>
  <c r="E61" i="15"/>
  <c r="D4" i="15"/>
  <c r="C4" i="15"/>
  <c r="J3" i="15"/>
  <c r="J56" i="15"/>
  <c r="E55" i="15"/>
  <c r="B52" i="15"/>
  <c r="I51" i="15"/>
  <c r="J44" i="15"/>
  <c r="E43" i="15"/>
  <c r="B40" i="15"/>
  <c r="I39" i="15"/>
  <c r="J32" i="15"/>
  <c r="E31" i="15"/>
  <c r="B28" i="15"/>
  <c r="I27" i="15"/>
  <c r="J20" i="15"/>
  <c r="E19" i="15"/>
  <c r="B16" i="15"/>
  <c r="I15" i="15"/>
  <c r="J8" i="15"/>
  <c r="E7" i="15"/>
  <c r="B4" i="15"/>
  <c r="I3" i="15"/>
  <c r="B57" i="15"/>
  <c r="I56" i="15"/>
  <c r="D55" i="15"/>
  <c r="M52" i="15"/>
  <c r="A52" i="15"/>
  <c r="H51" i="15"/>
  <c r="J49" i="15"/>
  <c r="B45" i="15"/>
  <c r="I44" i="15"/>
  <c r="D43" i="15"/>
  <c r="M40" i="15"/>
  <c r="A40" i="15"/>
  <c r="H39" i="15"/>
  <c r="J37" i="15"/>
  <c r="E36" i="15"/>
  <c r="B33" i="15"/>
  <c r="I32" i="15"/>
  <c r="D31" i="15"/>
  <c r="M28" i="15"/>
  <c r="A28" i="15"/>
  <c r="H27" i="15"/>
  <c r="J25" i="15"/>
  <c r="I20" i="15"/>
  <c r="D19" i="15"/>
  <c r="M16" i="15"/>
  <c r="A16" i="15"/>
  <c r="H15" i="15"/>
  <c r="J13" i="15"/>
  <c r="I8" i="15"/>
  <c r="D7" i="15"/>
  <c r="M4" i="15"/>
  <c r="A4" i="15"/>
  <c r="H3" i="15"/>
  <c r="B62" i="15"/>
  <c r="D60" i="15"/>
  <c r="M57" i="15"/>
  <c r="A57" i="15"/>
  <c r="H56" i="15"/>
  <c r="C55" i="15"/>
  <c r="J54" i="15"/>
  <c r="AQ51" i="15"/>
  <c r="G51" i="15"/>
  <c r="B50" i="15"/>
  <c r="I49" i="15"/>
  <c r="D48" i="15"/>
  <c r="M45" i="15"/>
  <c r="A45" i="15"/>
  <c r="H44" i="15"/>
  <c r="C43" i="15"/>
  <c r="J42" i="15"/>
  <c r="AQ39" i="15"/>
  <c r="G39" i="15"/>
  <c r="B38" i="15"/>
  <c r="I37" i="15"/>
  <c r="D36" i="15"/>
  <c r="M33" i="15"/>
  <c r="A33" i="15"/>
  <c r="H32" i="15"/>
  <c r="C31" i="15"/>
  <c r="J30" i="15"/>
  <c r="AQ27" i="15"/>
  <c r="G27" i="15"/>
  <c r="B26" i="15"/>
  <c r="I25" i="15"/>
  <c r="D24" i="15"/>
  <c r="M21" i="15"/>
  <c r="A21" i="15"/>
  <c r="H20" i="15"/>
  <c r="C19" i="15"/>
  <c r="J18" i="15"/>
  <c r="AQ15" i="15"/>
  <c r="G15" i="15"/>
  <c r="B14" i="15"/>
  <c r="I13" i="15"/>
  <c r="D12" i="15"/>
  <c r="M9" i="15"/>
  <c r="A9" i="15"/>
  <c r="H8" i="15"/>
  <c r="C7" i="15"/>
  <c r="J6" i="15"/>
  <c r="E5" i="15"/>
  <c r="AQ3" i="15"/>
  <c r="G3" i="15"/>
  <c r="AQ56" i="15"/>
  <c r="G56" i="15"/>
  <c r="B55" i="15"/>
  <c r="AP51" i="15"/>
  <c r="F51" i="15"/>
  <c r="AQ44" i="15"/>
  <c r="G44" i="15"/>
  <c r="B43" i="15"/>
  <c r="AP39" i="15"/>
  <c r="F39" i="15"/>
  <c r="AQ32" i="15"/>
  <c r="G32" i="15"/>
  <c r="B31" i="15"/>
  <c r="AP27" i="15"/>
  <c r="F27" i="15"/>
  <c r="AQ20" i="15"/>
  <c r="G20" i="15"/>
  <c r="AP15" i="15"/>
  <c r="F15" i="15"/>
  <c r="H13" i="15"/>
  <c r="AQ8" i="15"/>
  <c r="G8" i="15"/>
  <c r="B7" i="15"/>
  <c r="F3" i="15"/>
  <c r="AP56" i="15"/>
  <c r="F56" i="15"/>
  <c r="M55" i="15"/>
  <c r="A55" i="15"/>
  <c r="J52" i="15"/>
  <c r="E51" i="15"/>
  <c r="AQ49" i="15"/>
  <c r="G49" i="15"/>
  <c r="AP44" i="15"/>
  <c r="F44" i="15"/>
  <c r="M43" i="15"/>
  <c r="A43" i="15"/>
  <c r="J40" i="15"/>
  <c r="E39" i="15"/>
  <c r="AQ37" i="15"/>
  <c r="G37" i="15"/>
  <c r="AP32" i="15"/>
  <c r="F32" i="15"/>
  <c r="M31" i="15"/>
  <c r="A31" i="15"/>
  <c r="J28" i="15"/>
  <c r="E27" i="15"/>
  <c r="AQ25" i="15"/>
  <c r="G25" i="15"/>
  <c r="B24" i="15"/>
  <c r="AP20" i="15"/>
  <c r="F20" i="15"/>
  <c r="M19" i="15"/>
  <c r="A19" i="15"/>
  <c r="H18" i="15"/>
  <c r="J16" i="15"/>
  <c r="E15" i="15"/>
  <c r="AQ13" i="15"/>
  <c r="G13" i="15"/>
  <c r="B12" i="15"/>
  <c r="AP8" i="15"/>
  <c r="F8" i="15"/>
  <c r="M7" i="15"/>
  <c r="A7" i="15"/>
  <c r="H6" i="15"/>
  <c r="C5" i="15"/>
  <c r="J4" i="15"/>
  <c r="E3" i="15"/>
  <c r="M60" i="15"/>
  <c r="A60" i="15"/>
  <c r="J57" i="15"/>
  <c r="E56" i="15"/>
  <c r="AQ54" i="15"/>
  <c r="G54" i="15"/>
  <c r="I52" i="15"/>
  <c r="D51" i="15"/>
  <c r="AP49" i="15"/>
  <c r="F49" i="15"/>
  <c r="M48" i="15"/>
  <c r="A48" i="15"/>
  <c r="J45" i="15"/>
  <c r="E44" i="15"/>
  <c r="AQ42" i="15"/>
  <c r="G42" i="15"/>
  <c r="I40" i="15"/>
  <c r="D39" i="15"/>
  <c r="AP37" i="15"/>
  <c r="F37" i="15"/>
  <c r="M36" i="15"/>
  <c r="A36" i="15"/>
  <c r="J33" i="15"/>
  <c r="E32" i="15"/>
  <c r="AQ30" i="15"/>
  <c r="G30" i="15"/>
  <c r="I28" i="15"/>
  <c r="D27" i="15"/>
  <c r="AP25" i="15"/>
  <c r="F25" i="15"/>
  <c r="M24" i="15"/>
  <c r="A24" i="15"/>
  <c r="J21" i="15"/>
  <c r="E20" i="15"/>
  <c r="AQ18" i="15"/>
  <c r="G18" i="15"/>
  <c r="I16" i="15"/>
  <c r="D15" i="15"/>
  <c r="AP13" i="15"/>
  <c r="F13" i="15"/>
  <c r="M12" i="15"/>
  <c r="A12" i="15"/>
  <c r="J9" i="15"/>
  <c r="E8" i="15"/>
  <c r="AQ6" i="15"/>
  <c r="G6" i="15"/>
  <c r="I4" i="15"/>
  <c r="D3" i="15"/>
  <c r="D56" i="15"/>
  <c r="C51" i="15"/>
  <c r="D44" i="15"/>
  <c r="H40" i="15"/>
  <c r="C39" i="15"/>
  <c r="D32" i="15"/>
  <c r="H28" i="15"/>
  <c r="C27" i="15"/>
  <c r="E25" i="15"/>
  <c r="D20" i="15"/>
  <c r="H16" i="15"/>
  <c r="C15" i="15"/>
  <c r="E13" i="15"/>
  <c r="D8" i="15"/>
  <c r="H4" i="15"/>
  <c r="C3" i="15"/>
  <c r="H57" i="15"/>
  <c r="C56" i="15"/>
  <c r="J55" i="15"/>
  <c r="E54" i="15"/>
  <c r="AQ52" i="15"/>
  <c r="G52" i="15"/>
  <c r="B51" i="15"/>
  <c r="D49" i="15"/>
  <c r="H45" i="15"/>
  <c r="C44" i="15"/>
  <c r="J43" i="15"/>
  <c r="E42" i="15"/>
  <c r="AQ40" i="15"/>
  <c r="G40" i="15"/>
  <c r="B39" i="15"/>
  <c r="D37" i="15"/>
  <c r="H33" i="15"/>
  <c r="C32" i="15"/>
  <c r="J31" i="15"/>
  <c r="E30" i="15"/>
  <c r="AQ28" i="15"/>
  <c r="G28" i="15"/>
  <c r="B27" i="15"/>
  <c r="D25" i="15"/>
  <c r="C20" i="15"/>
  <c r="J19" i="15"/>
  <c r="E18" i="15"/>
  <c r="AQ16" i="15"/>
  <c r="G16" i="15"/>
  <c r="B15" i="15"/>
  <c r="I14" i="15"/>
  <c r="D13" i="15"/>
  <c r="C8" i="15"/>
  <c r="J7" i="15"/>
  <c r="E6" i="15"/>
  <c r="AQ4" i="15"/>
  <c r="G4" i="15"/>
  <c r="B3" i="15"/>
  <c r="AQ57" i="15"/>
  <c r="AP52" i="15"/>
  <c r="M51" i="15"/>
  <c r="AQ45" i="15"/>
  <c r="AP40" i="15"/>
  <c r="M39" i="15"/>
  <c r="AQ33" i="15"/>
  <c r="AP28" i="15"/>
  <c r="M27" i="15"/>
  <c r="AQ21" i="15"/>
  <c r="AP16" i="15"/>
  <c r="M15" i="15"/>
  <c r="AQ9" i="15"/>
  <c r="AP4" i="15"/>
  <c r="M3" i="15"/>
  <c r="R11" i="24" l="1"/>
  <c r="R12" i="24" s="1"/>
  <c r="T10" i="24"/>
  <c r="V10" i="24" s="1"/>
  <c r="AO2" i="15"/>
  <c r="AN2" i="15"/>
  <c r="AM2" i="15"/>
  <c r="AL2" i="15"/>
  <c r="AK2" i="15"/>
  <c r="AJ2" i="15"/>
  <c r="AG2" i="15"/>
  <c r="AE2" i="15"/>
  <c r="AC2" i="15"/>
  <c r="AB2" i="15"/>
  <c r="AA2" i="15"/>
  <c r="Z2" i="15"/>
  <c r="Y2" i="15"/>
  <c r="V2" i="15"/>
  <c r="U2" i="15"/>
  <c r="T2" i="15"/>
  <c r="S2" i="15"/>
  <c r="R2" i="15"/>
  <c r="Q2" i="15"/>
  <c r="P2" i="15"/>
  <c r="O2" i="15"/>
  <c r="N2" i="15"/>
  <c r="L2" i="15"/>
  <c r="K2" i="15"/>
  <c r="C10" i="11"/>
  <c r="C9" i="11"/>
  <c r="B3" i="11" a="1"/>
  <c r="B3" i="11" s="1"/>
  <c r="B3" i="2" a="1"/>
  <c r="B3" i="2" s="1"/>
  <c r="R13" i="24" l="1"/>
  <c r="T11" i="24"/>
  <c r="V11" i="24" s="1"/>
  <c r="T12" i="24" s="1"/>
  <c r="V12" i="24" s="1"/>
  <c r="H2" i="15"/>
  <c r="F2" i="15"/>
  <c r="D2" i="15"/>
  <c r="C2" i="15"/>
  <c r="T13" i="24" l="1"/>
  <c r="V13" i="24" s="1"/>
  <c r="R14" i="24"/>
  <c r="P2" i="16" a="1"/>
  <c r="P2" i="16" s="1"/>
  <c r="R16" i="24" l="1"/>
  <c r="R15" i="24"/>
  <c r="T14" i="24"/>
  <c r="V14" i="24" s="1"/>
  <c r="AQ2" i="15"/>
  <c r="AI2" i="15"/>
  <c r="X2" i="15"/>
  <c r="AP2" i="15"/>
  <c r="J2" i="15"/>
  <c r="I2" i="15"/>
  <c r="G2" i="15"/>
  <c r="B2" i="15"/>
  <c r="R17" i="24" l="1"/>
  <c r="T15" i="24"/>
  <c r="V15" i="24" s="1"/>
  <c r="T16" i="24" s="1"/>
  <c r="V16" i="24" s="1"/>
  <c r="A2" i="15"/>
  <c r="M2" i="15"/>
  <c r="E2" i="15"/>
  <c r="T17" i="24" l="1"/>
  <c r="V17" i="24" s="1"/>
  <c r="R18" i="24"/>
  <c r="R19" i="24" s="1"/>
  <c r="V2" i="16" a="1"/>
  <c r="V2" i="16" s="1"/>
  <c r="U2" i="16" a="1"/>
  <c r="U2" i="16" s="1"/>
  <c r="C8" i="11"/>
  <c r="M2" i="16" a="1"/>
  <c r="M2" i="16" s="1"/>
  <c r="T18" i="24" l="1"/>
  <c r="V18" i="24" s="1"/>
  <c r="T19" i="24" s="1"/>
  <c r="V19" i="24" s="1"/>
  <c r="R20" i="24"/>
  <c r="R21" i="24" s="1"/>
  <c r="R22" i="24" s="1"/>
  <c r="T20" i="24" l="1"/>
  <c r="V20" i="24" s="1"/>
  <c r="T21" i="24" s="1"/>
  <c r="V21" i="24" s="1"/>
  <c r="T22" i="24" s="1"/>
  <c r="V22" i="24" s="1"/>
  <c r="R23" i="24"/>
  <c r="T23" i="24" l="1"/>
  <c r="V23" i="24" s="1"/>
  <c r="R24" i="24"/>
  <c r="R25" i="24" l="1"/>
  <c r="R26" i="24" s="1"/>
  <c r="T24" i="24"/>
  <c r="V24" i="24" s="1"/>
  <c r="T25" i="24" l="1"/>
  <c r="V25" i="24" s="1"/>
  <c r="R27" i="24"/>
  <c r="T26" i="24" l="1"/>
  <c r="V26" i="24" s="1"/>
  <c r="T27" i="24" s="1"/>
  <c r="V27" i="24" s="1"/>
  <c r="K54" i="12" a="1"/>
  <c r="K54" i="12" s="1"/>
  <c r="K55" i="12" a="1"/>
  <c r="K55" i="12" s="1"/>
  <c r="K59" i="12" a="1"/>
  <c r="K59" i="12" s="1"/>
  <c r="K67" i="12" a="1"/>
  <c r="K67" i="12" s="1"/>
  <c r="K93" i="12" a="1"/>
  <c r="K93" i="12" s="1"/>
  <c r="K68" i="12" a="1"/>
  <c r="K68" i="12" s="1"/>
  <c r="K58" i="12" a="1"/>
  <c r="K58" i="12" s="1"/>
  <c r="K100" i="12" a="1"/>
  <c r="K100" i="12" s="1"/>
  <c r="K77" i="12" a="1"/>
  <c r="K77" i="12" s="1"/>
  <c r="K89" i="12" a="1"/>
  <c r="K89" i="12" s="1"/>
  <c r="K96" i="12" a="1"/>
  <c r="K96" i="12" s="1"/>
  <c r="K97" i="12" a="1"/>
  <c r="K97" i="12" s="1"/>
  <c r="K95" i="12" a="1"/>
  <c r="K95" i="12" s="1"/>
  <c r="K65" i="12" a="1"/>
  <c r="K65" i="12" s="1"/>
  <c r="K43" i="12" a="1"/>
  <c r="K43" i="12" s="1"/>
  <c r="K73" i="12" a="1"/>
  <c r="K73" i="12" s="1"/>
  <c r="K70" i="12" a="1"/>
  <c r="K70" i="12" s="1"/>
  <c r="K47" i="12" a="1"/>
  <c r="K47" i="12" s="1"/>
  <c r="K75" i="12" a="1"/>
  <c r="K75" i="12" s="1"/>
  <c r="K99" i="12" a="1"/>
  <c r="K99" i="12" s="1"/>
  <c r="K86" i="12" a="1"/>
  <c r="K86" i="12" s="1"/>
  <c r="K63" i="12" a="1"/>
  <c r="K63" i="12" s="1"/>
  <c r="K38" i="12" a="1"/>
  <c r="K38" i="12" s="1"/>
  <c r="K62" i="12" a="1"/>
  <c r="K62" i="12" s="1"/>
  <c r="K74" i="12" a="1"/>
  <c r="K74" i="12" s="1"/>
  <c r="K29" i="12" a="1"/>
  <c r="K29" i="12" s="1"/>
  <c r="K50" i="12" a="1"/>
  <c r="K50" i="12" s="1"/>
  <c r="K56" i="12" a="1"/>
  <c r="K56" i="12" s="1"/>
  <c r="K82" i="12" a="1"/>
  <c r="K82" i="12" s="1"/>
  <c r="K41" i="12" a="1"/>
  <c r="K41" i="12" s="1"/>
  <c r="K90" i="12" a="1"/>
  <c r="K90" i="12" s="1"/>
  <c r="K71" i="12" a="1"/>
  <c r="K71" i="12" s="1"/>
  <c r="K88" i="12" a="1"/>
  <c r="K88" i="12" s="1"/>
  <c r="K81" i="12" a="1"/>
  <c r="K81" i="12" s="1"/>
  <c r="R28" i="24"/>
  <c r="R29" i="24" s="1"/>
  <c r="R30" i="24" s="1"/>
  <c r="R31" i="24" s="1"/>
  <c r="R32" i="24" l="1"/>
  <c r="K48" i="12" a="1"/>
  <c r="K48" i="12" s="1"/>
  <c r="K102" i="12" a="1"/>
  <c r="K102" i="12" s="1"/>
  <c r="K76" i="12" a="1"/>
  <c r="K76" i="12" s="1"/>
  <c r="K35" i="12" a="1"/>
  <c r="K35" i="12" s="1"/>
  <c r="K101" i="12" a="1"/>
  <c r="K101" i="12" s="1"/>
  <c r="K34" i="12" a="1"/>
  <c r="K34" i="12" s="1"/>
  <c r="K39" i="12" a="1"/>
  <c r="K39" i="12" s="1"/>
  <c r="K31" i="12" a="1"/>
  <c r="K31" i="12" s="1"/>
  <c r="K28" i="12" a="1"/>
  <c r="K28" i="12" s="1"/>
  <c r="K30" i="12" a="1"/>
  <c r="K30" i="12" s="1"/>
  <c r="K66" i="12" a="1"/>
  <c r="K66" i="12" s="1"/>
  <c r="K45" i="12" a="1"/>
  <c r="K45" i="12" s="1"/>
  <c r="K84" i="12" a="1"/>
  <c r="K84" i="12" s="1"/>
  <c r="K92" i="12" a="1"/>
  <c r="K92" i="12" s="1"/>
  <c r="K57" i="12" a="1"/>
  <c r="K57" i="12" s="1"/>
  <c r="K91" i="12" a="1"/>
  <c r="K91" i="12" s="1"/>
  <c r="K46" i="12" a="1"/>
  <c r="K46" i="12" s="1"/>
  <c r="K37" i="12" a="1"/>
  <c r="K37" i="12" s="1"/>
  <c r="K32" i="12" a="1"/>
  <c r="K32" i="12" s="1"/>
  <c r="K61" i="12" a="1"/>
  <c r="K61" i="12" s="1"/>
  <c r="K83" i="12" a="1"/>
  <c r="K83" i="12" s="1"/>
  <c r="K42" i="12" a="1"/>
  <c r="K42" i="12" s="1"/>
  <c r="K69" i="12" a="1"/>
  <c r="K69" i="12" s="1"/>
  <c r="K94" i="12" a="1"/>
  <c r="K94" i="12" s="1"/>
  <c r="K60" i="12" a="1"/>
  <c r="K60" i="12" s="1"/>
  <c r="K103" i="12" a="1"/>
  <c r="K103" i="12" s="1"/>
  <c r="K72" i="12" a="1"/>
  <c r="K72" i="12" s="1"/>
  <c r="K78" i="12" a="1"/>
  <c r="K78" i="12" s="1"/>
  <c r="K87" i="12" a="1"/>
  <c r="K87" i="12" s="1"/>
  <c r="K80" i="12" a="1"/>
  <c r="K80" i="12" s="1"/>
  <c r="K53" i="12" a="1"/>
  <c r="K53" i="12" s="1"/>
  <c r="K85" i="12" a="1"/>
  <c r="K85" i="12" s="1"/>
  <c r="K33" i="12" a="1"/>
  <c r="K33" i="12" s="1"/>
  <c r="K98" i="12" a="1"/>
  <c r="K98" i="12" s="1"/>
  <c r="K26" i="12" a="1"/>
  <c r="K26" i="12" s="1"/>
  <c r="K40" i="12" a="1"/>
  <c r="K40" i="12" s="1"/>
  <c r="K49" i="12" a="1"/>
  <c r="K49" i="12" s="1"/>
  <c r="K51" i="12" a="1"/>
  <c r="K51" i="12" s="1"/>
  <c r="K44" i="12" a="1"/>
  <c r="K44" i="12" s="1"/>
  <c r="K36" i="12" a="1"/>
  <c r="K36" i="12" s="1"/>
  <c r="K64" i="12" a="1"/>
  <c r="K64" i="12" s="1"/>
  <c r="K52" i="12" a="1"/>
  <c r="K52" i="12" s="1"/>
  <c r="K79" i="12" a="1"/>
  <c r="K79" i="12" s="1"/>
  <c r="T28" i="24"/>
  <c r="V28" i="24" s="1"/>
  <c r="T29" i="24" s="1"/>
  <c r="V29" i="24" s="1"/>
  <c r="T30" i="24" s="1"/>
  <c r="V30" i="24" s="1"/>
  <c r="T31" i="24" s="1"/>
  <c r="V31" i="24" s="1"/>
  <c r="T32" i="24" l="1"/>
  <c r="V32" i="24" s="1"/>
  <c r="R33" i="24"/>
  <c r="R34" i="24" l="1"/>
  <c r="K20" i="12" s="1" a="1"/>
  <c r="K20" i="12" s="1"/>
  <c r="T33" i="24"/>
  <c r="V33" i="24" s="1"/>
  <c r="R35" i="24" l="1"/>
  <c r="K21" i="12" s="1" a="1"/>
  <c r="K21" i="12" s="1"/>
  <c r="T34" i="24"/>
  <c r="V34" i="24" s="1"/>
  <c r="T35" i="24" l="1"/>
  <c r="V35" i="24" s="1"/>
  <c r="R36" i="24"/>
  <c r="R37" i="24" s="1"/>
  <c r="R38" i="24" l="1"/>
  <c r="T36" i="24"/>
  <c r="V36" i="24" s="1"/>
  <c r="T37" i="24" s="1"/>
  <c r="V37" i="24" s="1"/>
  <c r="T38" i="24" l="1"/>
  <c r="V38" i="24" s="1"/>
  <c r="R39" i="24"/>
  <c r="T39" i="24" l="1"/>
  <c r="V39" i="24" s="1"/>
  <c r="R40" i="24"/>
  <c r="T40" i="24" l="1"/>
  <c r="V40" i="24" s="1"/>
  <c r="R41" i="24"/>
  <c r="K25" i="12" a="1"/>
  <c r="K25" i="12" s="1"/>
  <c r="T41" i="24" l="1"/>
  <c r="V41" i="24" s="1"/>
  <c r="R42" i="24"/>
  <c r="T42" i="24" l="1"/>
  <c r="V42" i="24" s="1"/>
  <c r="K18" i="12" l="1" a="1"/>
  <c r="K18" i="12" s="1"/>
  <c r="K19" i="12" a="1"/>
  <c r="K19" i="12" s="1"/>
  <c r="K22" i="12" l="1" a="1"/>
  <c r="K22" i="12" s="1"/>
  <c r="K23" i="12" a="1"/>
  <c r="K23" i="12" s="1"/>
  <c r="K24" i="12" a="1"/>
  <c r="K24" i="12" s="1"/>
  <c r="K27" i="12" l="1" a="1"/>
  <c r="K27" i="12" s="1"/>
  <c r="R43" i="24" l="1"/>
  <c r="T43" i="24" l="1"/>
  <c r="V43" i="24" s="1"/>
  <c r="R44" i="24"/>
  <c r="T44" i="24" l="1"/>
  <c r="V44" i="24" s="1"/>
  <c r="R45" i="24"/>
  <c r="K9" i="12" a="1"/>
  <c r="K9" i="12" s="1"/>
  <c r="R46" i="24" l="1"/>
  <c r="T45" i="24"/>
  <c r="V45" i="24" s="1"/>
  <c r="R47" i="24" l="1"/>
  <c r="R48" i="24" s="1"/>
  <c r="T46" i="24"/>
  <c r="V46" i="24" s="1"/>
  <c r="T47" i="24" l="1"/>
  <c r="V47" i="24" s="1"/>
  <c r="T48" i="24" s="1"/>
  <c r="V48" i="24" s="1"/>
  <c r="R49" i="24"/>
  <c r="R50" i="24" s="1"/>
  <c r="T49" i="24" l="1"/>
  <c r="V49" i="24" s="1"/>
  <c r="T50" i="24" s="1"/>
  <c r="V50" i="24" s="1"/>
  <c r="R51" i="24"/>
  <c r="R52" i="24" l="1"/>
  <c r="R53" i="24" s="1"/>
  <c r="R54" i="24" s="1"/>
  <c r="R55" i="24" s="1"/>
  <c r="T51" i="24"/>
  <c r="V51" i="24" s="1"/>
  <c r="K14" i="12" a="1"/>
  <c r="K14" i="12" s="1"/>
  <c r="R56" i="24" l="1"/>
  <c r="T52" i="24"/>
  <c r="V52" i="24" s="1"/>
  <c r="T53" i="24" s="1"/>
  <c r="V53" i="24" s="1"/>
  <c r="T54" i="24" s="1"/>
  <c r="V54" i="24" s="1"/>
  <c r="T55" i="24" s="1"/>
  <c r="V55" i="24" s="1"/>
  <c r="T56" i="24" s="1"/>
  <c r="V56" i="24" s="1"/>
  <c r="K4" i="12" l="1" a="1"/>
  <c r="K4" i="12" s="1"/>
  <c r="R57" i="24"/>
  <c r="K16" i="12" a="1"/>
  <c r="K16" i="12" s="1"/>
  <c r="T57" i="24" l="1"/>
  <c r="V57" i="24" s="1"/>
  <c r="K5" i="12" a="1"/>
  <c r="K5" i="12" s="1"/>
  <c r="R58" i="24"/>
  <c r="K17" i="12" a="1"/>
  <c r="K17" i="12" s="1"/>
  <c r="K6" i="12" l="1" a="1"/>
  <c r="K6" i="12" s="1"/>
  <c r="R59" i="24"/>
  <c r="T58" i="24"/>
  <c r="V58" i="24" s="1"/>
  <c r="R60" i="24" l="1"/>
  <c r="K7" i="12" a="1"/>
  <c r="K7" i="12" s="1"/>
  <c r="T59" i="24"/>
  <c r="V59" i="24" s="1"/>
  <c r="T60" i="24" l="1"/>
  <c r="V60" i="24" s="1"/>
  <c r="K8" i="12" a="1"/>
  <c r="K8" i="12" s="1"/>
  <c r="R61" i="24"/>
  <c r="K10" i="12" l="1" a="1"/>
  <c r="K10" i="12" s="1"/>
  <c r="R62" i="24"/>
  <c r="T61" i="24"/>
  <c r="V61" i="24" s="1"/>
  <c r="K11" i="12" l="1" a="1"/>
  <c r="K11" i="12" s="1"/>
  <c r="T62" i="24"/>
  <c r="V62" i="24" s="1"/>
  <c r="R63" i="24"/>
  <c r="R64" i="24" l="1"/>
  <c r="T63" i="24"/>
  <c r="V63" i="24" s="1"/>
  <c r="K12" i="12" a="1"/>
  <c r="K12" i="12" s="1"/>
  <c r="T64" i="24" l="1"/>
  <c r="V64" i="24" s="1"/>
  <c r="K13" i="12" a="1"/>
  <c r="K13" i="12" s="1"/>
  <c r="R65" i="24"/>
  <c r="L12" i="12" s="1" a="1"/>
  <c r="L12" i="12" s="1"/>
  <c r="M12" i="12" s="1" a="1"/>
  <c r="M12" i="12" s="1"/>
  <c r="N12" i="12" s="1" a="1"/>
  <c r="N12" i="12" s="1"/>
  <c r="O12" i="12" s="1" a="1"/>
  <c r="O12" i="12" s="1"/>
  <c r="P12" i="12" s="1" a="1"/>
  <c r="P12" i="12" s="1"/>
  <c r="L9" i="12" a="1"/>
  <c r="L9" i="12" s="1"/>
  <c r="M9" i="12" s="1" a="1"/>
  <c r="M9" i="12" s="1"/>
  <c r="N9" i="12" s="1" a="1"/>
  <c r="N9" i="12" s="1"/>
  <c r="O9" i="12" s="1" a="1"/>
  <c r="O9" i="12" s="1"/>
  <c r="P9" i="12" s="1" a="1"/>
  <c r="P9" i="12" s="1"/>
  <c r="L70" i="12" l="1" a="1"/>
  <c r="L70" i="12" s="1"/>
  <c r="M70" i="12" s="1" a="1"/>
  <c r="M70" i="12" s="1"/>
  <c r="N70" i="12" s="1" a="1"/>
  <c r="N70" i="12" s="1"/>
  <c r="O70" i="12" s="1" a="1"/>
  <c r="O70" i="12" s="1"/>
  <c r="P70" i="12" s="1" a="1"/>
  <c r="P70" i="12" s="1"/>
  <c r="L71" i="12" a="1"/>
  <c r="L71" i="12" s="1"/>
  <c r="M71" i="12" s="1" a="1"/>
  <c r="M71" i="12" s="1"/>
  <c r="N71" i="12" s="1" a="1"/>
  <c r="N71" i="12" s="1"/>
  <c r="O71" i="12" s="1" a="1"/>
  <c r="O71" i="12" s="1"/>
  <c r="P71" i="12" s="1" a="1"/>
  <c r="P71" i="12" s="1"/>
  <c r="L77" i="12" a="1"/>
  <c r="L77" i="12" s="1"/>
  <c r="M77" i="12" s="1" a="1"/>
  <c r="M77" i="12" s="1"/>
  <c r="N77" i="12" s="1" a="1"/>
  <c r="N77" i="12" s="1"/>
  <c r="O77" i="12" s="1" a="1"/>
  <c r="O77" i="12" s="1"/>
  <c r="P77" i="12" s="1" a="1"/>
  <c r="P77" i="12" s="1"/>
  <c r="L32" i="12" a="1"/>
  <c r="L32" i="12" s="1"/>
  <c r="M32" i="12" s="1" a="1"/>
  <c r="M32" i="12" s="1"/>
  <c r="N32" i="12" s="1" a="1"/>
  <c r="N32" i="12" s="1"/>
  <c r="O32" i="12" s="1" a="1"/>
  <c r="O32" i="12" s="1"/>
  <c r="P32" i="12" s="1" a="1"/>
  <c r="P32" i="12" s="1"/>
  <c r="L5" i="12" a="1"/>
  <c r="L5" i="12" s="1"/>
  <c r="M5" i="12" s="1" a="1"/>
  <c r="M5" i="12" s="1"/>
  <c r="N5" i="12" s="1" a="1"/>
  <c r="N5" i="12" s="1"/>
  <c r="O5" i="12" s="1" a="1"/>
  <c r="O5" i="12" s="1"/>
  <c r="P5" i="12" s="1" a="1"/>
  <c r="P5" i="12" s="1"/>
  <c r="L38" i="12" a="1"/>
  <c r="L38" i="12" s="1"/>
  <c r="M38" i="12" s="1" a="1"/>
  <c r="M38" i="12" s="1"/>
  <c r="N38" i="12" s="1" a="1"/>
  <c r="N38" i="12" s="1"/>
  <c r="O38" i="12" s="1" a="1"/>
  <c r="O38" i="12" s="1"/>
  <c r="P38" i="12" s="1" a="1"/>
  <c r="P38" i="12" s="1"/>
  <c r="L42" i="12" a="1"/>
  <c r="L42" i="12" s="1"/>
  <c r="M42" i="12" s="1" a="1"/>
  <c r="M42" i="12" s="1"/>
  <c r="N42" i="12" s="1" a="1"/>
  <c r="N42" i="12" s="1"/>
  <c r="O42" i="12" s="1" a="1"/>
  <c r="O42" i="12" s="1"/>
  <c r="P42" i="12" s="1" a="1"/>
  <c r="P42" i="12" s="1"/>
  <c r="L62" i="12" a="1"/>
  <c r="L62" i="12" s="1"/>
  <c r="M62" i="12" s="1" a="1"/>
  <c r="M62" i="12" s="1"/>
  <c r="N62" i="12" s="1" a="1"/>
  <c r="N62" i="12" s="1"/>
  <c r="O62" i="12" s="1" a="1"/>
  <c r="O62" i="12" s="1"/>
  <c r="P62" i="12" s="1" a="1"/>
  <c r="P62" i="12" s="1"/>
  <c r="L36" i="12" a="1"/>
  <c r="L36" i="12" s="1"/>
  <c r="M36" i="12" s="1" a="1"/>
  <c r="M36" i="12" s="1"/>
  <c r="N36" i="12" s="1" a="1"/>
  <c r="N36" i="12" s="1"/>
  <c r="O36" i="12" s="1" a="1"/>
  <c r="O36" i="12" s="1"/>
  <c r="P36" i="12" s="1" a="1"/>
  <c r="P36" i="12" s="1"/>
  <c r="L14" i="12" a="1"/>
  <c r="L14" i="12" s="1"/>
  <c r="M14" i="12" s="1" a="1"/>
  <c r="M14" i="12" s="1"/>
  <c r="N14" i="12" s="1" a="1"/>
  <c r="N14" i="12" s="1"/>
  <c r="O14" i="12" s="1" a="1"/>
  <c r="O14" i="12" s="1"/>
  <c r="P14" i="12" s="1" a="1"/>
  <c r="P14" i="12" s="1"/>
  <c r="L99" i="12" a="1"/>
  <c r="L99" i="12" s="1"/>
  <c r="M99" i="12" s="1" a="1"/>
  <c r="M99" i="12" s="1"/>
  <c r="N99" i="12" s="1" a="1"/>
  <c r="N99" i="12" s="1"/>
  <c r="O99" i="12" s="1" a="1"/>
  <c r="O99" i="12" s="1"/>
  <c r="P99" i="12" s="1" a="1"/>
  <c r="P99" i="12" s="1"/>
  <c r="L49" i="12" a="1"/>
  <c r="L49" i="12" s="1"/>
  <c r="M49" i="12" s="1" a="1"/>
  <c r="M49" i="12" s="1"/>
  <c r="N49" i="12" s="1" a="1"/>
  <c r="N49" i="12" s="1"/>
  <c r="O49" i="12" s="1" a="1"/>
  <c r="O49" i="12" s="1"/>
  <c r="P49" i="12" s="1" a="1"/>
  <c r="P49" i="12" s="1"/>
  <c r="L76" i="12" a="1"/>
  <c r="L76" i="12" s="1"/>
  <c r="M76" i="12" s="1" a="1"/>
  <c r="M76" i="12" s="1"/>
  <c r="N76" i="12" s="1" a="1"/>
  <c r="N76" i="12" s="1"/>
  <c r="O76" i="12" s="1" a="1"/>
  <c r="O76" i="12" s="1"/>
  <c r="P76" i="12" s="1" a="1"/>
  <c r="P76" i="12" s="1"/>
  <c r="L16" i="12" a="1"/>
  <c r="L16" i="12" s="1"/>
  <c r="M16" i="12" s="1" a="1"/>
  <c r="M16" i="12" s="1"/>
  <c r="N16" i="12" s="1" a="1"/>
  <c r="N16" i="12" s="1"/>
  <c r="O16" i="12" s="1" a="1"/>
  <c r="O16" i="12" s="1"/>
  <c r="P16" i="12" s="1" a="1"/>
  <c r="P16" i="12" s="1"/>
  <c r="L45" i="12" a="1"/>
  <c r="L45" i="12" s="1"/>
  <c r="M45" i="12" s="1" a="1"/>
  <c r="M45" i="12" s="1"/>
  <c r="N45" i="12" s="1" a="1"/>
  <c r="N45" i="12" s="1"/>
  <c r="O45" i="12" s="1" a="1"/>
  <c r="O45" i="12" s="1"/>
  <c r="P45" i="12" s="1" a="1"/>
  <c r="P45" i="12" s="1"/>
  <c r="L82" i="12" a="1"/>
  <c r="L82" i="12" s="1"/>
  <c r="M82" i="12" s="1" a="1"/>
  <c r="M82" i="12" s="1"/>
  <c r="N82" i="12" s="1" a="1"/>
  <c r="N82" i="12" s="1"/>
  <c r="O82" i="12" s="1" a="1"/>
  <c r="O82" i="12" s="1"/>
  <c r="P82" i="12" s="1" a="1"/>
  <c r="P82" i="12" s="1"/>
  <c r="L74" i="12" a="1"/>
  <c r="L74" i="12" s="1"/>
  <c r="M74" i="12" s="1" a="1"/>
  <c r="M74" i="12" s="1"/>
  <c r="N74" i="12" s="1" a="1"/>
  <c r="N74" i="12" s="1"/>
  <c r="O74" i="12" s="1" a="1"/>
  <c r="O74" i="12" s="1"/>
  <c r="P74" i="12" s="1" a="1"/>
  <c r="P74" i="12" s="1"/>
  <c r="L84" i="12" a="1"/>
  <c r="L84" i="12" s="1"/>
  <c r="M84" i="12" s="1" a="1"/>
  <c r="M84" i="12" s="1"/>
  <c r="N84" i="12" s="1" a="1"/>
  <c r="N84" i="12" s="1"/>
  <c r="O84" i="12" s="1" a="1"/>
  <c r="O84" i="12" s="1"/>
  <c r="P84" i="12" s="1" a="1"/>
  <c r="P84" i="12" s="1"/>
  <c r="L40" i="12" a="1"/>
  <c r="L40" i="12" s="1"/>
  <c r="M40" i="12" s="1" a="1"/>
  <c r="M40" i="12" s="1"/>
  <c r="N40" i="12" s="1" a="1"/>
  <c r="N40" i="12" s="1"/>
  <c r="O40" i="12" s="1" a="1"/>
  <c r="O40" i="12" s="1"/>
  <c r="P40" i="12" s="1" a="1"/>
  <c r="P40" i="12" s="1"/>
  <c r="L48" i="12" a="1"/>
  <c r="L48" i="12" s="1"/>
  <c r="M48" i="12" s="1" a="1"/>
  <c r="M48" i="12" s="1"/>
  <c r="N48" i="12" s="1" a="1"/>
  <c r="N48" i="12" s="1"/>
  <c r="O48" i="12" s="1" a="1"/>
  <c r="O48" i="12" s="1"/>
  <c r="P48" i="12" s="1" a="1"/>
  <c r="P48" i="12" s="1"/>
  <c r="L98" i="12" a="1"/>
  <c r="L98" i="12" s="1"/>
  <c r="M98" i="12" s="1" a="1"/>
  <c r="M98" i="12" s="1"/>
  <c r="N98" i="12" s="1" a="1"/>
  <c r="N98" i="12" s="1"/>
  <c r="O98" i="12" s="1" a="1"/>
  <c r="O98" i="12" s="1"/>
  <c r="P98" i="12" s="1" a="1"/>
  <c r="P98" i="12" s="1"/>
  <c r="L101" i="12" a="1"/>
  <c r="L101" i="12" s="1"/>
  <c r="M101" i="12" s="1" a="1"/>
  <c r="M101" i="12" s="1"/>
  <c r="N101" i="12" s="1" a="1"/>
  <c r="N101" i="12" s="1"/>
  <c r="O101" i="12" s="1" a="1"/>
  <c r="O101" i="12" s="1"/>
  <c r="P101" i="12" s="1" a="1"/>
  <c r="P101" i="12" s="1"/>
  <c r="L25" i="12" a="1"/>
  <c r="L25" i="12" s="1"/>
  <c r="M25" i="12" s="1" a="1"/>
  <c r="M25" i="12" s="1"/>
  <c r="N25" i="12" s="1" a="1"/>
  <c r="N25" i="12" s="1"/>
  <c r="O25" i="12" s="1" a="1"/>
  <c r="O25" i="12" s="1"/>
  <c r="P25" i="12" s="1" a="1"/>
  <c r="P25" i="12" s="1"/>
  <c r="L33" i="12" a="1"/>
  <c r="L33" i="12" s="1"/>
  <c r="M33" i="12" s="1" a="1"/>
  <c r="M33" i="12" s="1"/>
  <c r="N33" i="12" s="1" a="1"/>
  <c r="N33" i="12" s="1"/>
  <c r="O33" i="12" s="1" a="1"/>
  <c r="O33" i="12" s="1"/>
  <c r="P33" i="12" s="1" a="1"/>
  <c r="P33" i="12" s="1"/>
  <c r="L95" i="12" a="1"/>
  <c r="L95" i="12" s="1"/>
  <c r="M95" i="12" s="1" a="1"/>
  <c r="M95" i="12" s="1"/>
  <c r="N95" i="12" s="1" a="1"/>
  <c r="N95" i="12" s="1"/>
  <c r="O95" i="12" s="1" a="1"/>
  <c r="O95" i="12" s="1"/>
  <c r="P95" i="12" s="1" a="1"/>
  <c r="P95" i="12" s="1"/>
  <c r="L41" i="12" a="1"/>
  <c r="L41" i="12" s="1"/>
  <c r="M41" i="12" s="1" a="1"/>
  <c r="M41" i="12" s="1"/>
  <c r="N41" i="12" s="1" a="1"/>
  <c r="N41" i="12" s="1"/>
  <c r="O41" i="12" s="1" a="1"/>
  <c r="O41" i="12" s="1"/>
  <c r="P41" i="12" s="1" a="1"/>
  <c r="P41" i="12" s="1"/>
  <c r="L78" i="12" a="1"/>
  <c r="L78" i="12" s="1"/>
  <c r="M78" i="12" s="1" a="1"/>
  <c r="M78" i="12" s="1"/>
  <c r="N78" i="12" s="1" a="1"/>
  <c r="N78" i="12" s="1"/>
  <c r="O78" i="12" s="1" a="1"/>
  <c r="O78" i="12" s="1"/>
  <c r="P78" i="12" s="1" a="1"/>
  <c r="P78" i="12" s="1"/>
  <c r="L26" i="12" a="1"/>
  <c r="L26" i="12" s="1"/>
  <c r="M26" i="12" s="1" a="1"/>
  <c r="M26" i="12" s="1"/>
  <c r="N26" i="12" s="1" a="1"/>
  <c r="N26" i="12" s="1"/>
  <c r="O26" i="12" s="1" a="1"/>
  <c r="O26" i="12" s="1"/>
  <c r="P26" i="12" s="1" a="1"/>
  <c r="P26" i="12" s="1"/>
  <c r="L83" i="12" a="1"/>
  <c r="L83" i="12" s="1"/>
  <c r="M83" i="12" s="1" a="1"/>
  <c r="M83" i="12" s="1"/>
  <c r="N83" i="12" s="1" a="1"/>
  <c r="N83" i="12" s="1"/>
  <c r="O83" i="12" s="1" a="1"/>
  <c r="O83" i="12" s="1"/>
  <c r="P83" i="12" s="1" a="1"/>
  <c r="P83" i="12" s="1"/>
  <c r="L61" i="12" a="1"/>
  <c r="L61" i="12" s="1"/>
  <c r="M61" i="12" s="1" a="1"/>
  <c r="M61" i="12" s="1"/>
  <c r="N61" i="12" s="1" a="1"/>
  <c r="N61" i="12" s="1"/>
  <c r="O61" i="12" s="1" a="1"/>
  <c r="O61" i="12" s="1"/>
  <c r="P61" i="12" s="1" a="1"/>
  <c r="P61" i="12" s="1"/>
  <c r="L34" i="12" a="1"/>
  <c r="L34" i="12" s="1"/>
  <c r="M34" i="12" s="1" a="1"/>
  <c r="M34" i="12" s="1"/>
  <c r="N34" i="12" s="1" a="1"/>
  <c r="N34" i="12" s="1"/>
  <c r="O34" i="12" s="1" a="1"/>
  <c r="O34" i="12" s="1"/>
  <c r="P34" i="12" s="1" a="1"/>
  <c r="P34" i="12" s="1"/>
  <c r="L68" i="12" a="1"/>
  <c r="L68" i="12" s="1"/>
  <c r="M68" i="12" s="1" a="1"/>
  <c r="M68" i="12" s="1"/>
  <c r="N68" i="12" s="1" a="1"/>
  <c r="N68" i="12" s="1"/>
  <c r="O68" i="12" s="1" a="1"/>
  <c r="O68" i="12" s="1"/>
  <c r="P68" i="12" s="1" a="1"/>
  <c r="P68" i="12" s="1"/>
  <c r="L72" i="12" a="1"/>
  <c r="L72" i="12" s="1"/>
  <c r="M72" i="12" s="1" a="1"/>
  <c r="M72" i="12" s="1"/>
  <c r="N72" i="12" s="1" a="1"/>
  <c r="N72" i="12" s="1"/>
  <c r="O72" i="12" s="1" a="1"/>
  <c r="O72" i="12" s="1"/>
  <c r="P72" i="12" s="1" a="1"/>
  <c r="P72" i="12" s="1"/>
  <c r="L63" i="12" a="1"/>
  <c r="L63" i="12" s="1"/>
  <c r="M63" i="12" s="1" a="1"/>
  <c r="M63" i="12" s="1"/>
  <c r="N63" i="12" s="1" a="1"/>
  <c r="N63" i="12" s="1"/>
  <c r="O63" i="12" s="1" a="1"/>
  <c r="O63" i="12" s="1"/>
  <c r="P63" i="12" s="1" a="1"/>
  <c r="P63" i="12" s="1"/>
  <c r="L10" i="12" a="1"/>
  <c r="L10" i="12" s="1"/>
  <c r="M10" i="12" s="1" a="1"/>
  <c r="M10" i="12" s="1"/>
  <c r="N10" i="12" s="1" a="1"/>
  <c r="N10" i="12" s="1"/>
  <c r="O10" i="12" s="1" a="1"/>
  <c r="O10" i="12" s="1"/>
  <c r="P10" i="12" s="1" a="1"/>
  <c r="P10" i="12" s="1"/>
  <c r="L17" i="12" a="1"/>
  <c r="L17" i="12" s="1"/>
  <c r="M17" i="12" s="1" a="1"/>
  <c r="M17" i="12" s="1"/>
  <c r="N17" i="12" s="1" a="1"/>
  <c r="N17" i="12" s="1"/>
  <c r="O17" i="12" s="1" a="1"/>
  <c r="O17" i="12" s="1"/>
  <c r="P17" i="12" s="1" a="1"/>
  <c r="P17" i="12" s="1"/>
  <c r="L58" i="12" a="1"/>
  <c r="L58" i="12" s="1"/>
  <c r="M58" i="12" s="1" a="1"/>
  <c r="M58" i="12" s="1"/>
  <c r="N58" i="12" s="1" a="1"/>
  <c r="N58" i="12" s="1"/>
  <c r="O58" i="12" s="1" a="1"/>
  <c r="O58" i="12" s="1"/>
  <c r="P58" i="12" s="1" a="1"/>
  <c r="P58" i="12" s="1"/>
  <c r="L29" i="12" a="1"/>
  <c r="L29" i="12" s="1"/>
  <c r="M29" i="12" s="1" a="1"/>
  <c r="M29" i="12" s="1"/>
  <c r="N29" i="12" s="1" a="1"/>
  <c r="N29" i="12" s="1"/>
  <c r="O29" i="12" s="1" a="1"/>
  <c r="O29" i="12" s="1"/>
  <c r="P29" i="12" s="1" a="1"/>
  <c r="P29" i="12" s="1"/>
  <c r="L28" i="12" a="1"/>
  <c r="L28" i="12" s="1"/>
  <c r="M28" i="12" s="1" a="1"/>
  <c r="M28" i="12" s="1"/>
  <c r="N28" i="12" s="1" a="1"/>
  <c r="N28" i="12" s="1"/>
  <c r="O28" i="12" s="1" a="1"/>
  <c r="O28" i="12" s="1"/>
  <c r="P28" i="12" s="1" a="1"/>
  <c r="P28" i="12" s="1"/>
  <c r="L60" i="12" a="1"/>
  <c r="L60" i="12" s="1"/>
  <c r="M60" i="12" s="1" a="1"/>
  <c r="M60" i="12" s="1"/>
  <c r="N60" i="12" s="1" a="1"/>
  <c r="N60" i="12" s="1"/>
  <c r="O60" i="12" s="1" a="1"/>
  <c r="O60" i="12" s="1"/>
  <c r="P60" i="12" s="1" a="1"/>
  <c r="P60" i="12" s="1"/>
  <c r="L69" i="12" a="1"/>
  <c r="L69" i="12" s="1"/>
  <c r="M69" i="12" s="1" a="1"/>
  <c r="M69" i="12" s="1"/>
  <c r="N69" i="12" s="1" a="1"/>
  <c r="N69" i="12" s="1"/>
  <c r="O69" i="12" s="1" a="1"/>
  <c r="O69" i="12" s="1"/>
  <c r="P69" i="12" s="1" a="1"/>
  <c r="P69" i="12" s="1"/>
  <c r="L13" i="12" a="1"/>
  <c r="L13" i="12" s="1"/>
  <c r="M13" i="12" s="1" a="1"/>
  <c r="M13" i="12" s="1"/>
  <c r="N13" i="12" s="1" a="1"/>
  <c r="N13" i="12" s="1"/>
  <c r="O13" i="12" s="1" a="1"/>
  <c r="O13" i="12" s="1"/>
  <c r="P13" i="12" s="1" a="1"/>
  <c r="P13" i="12" s="1"/>
  <c r="L65" i="12" a="1"/>
  <c r="L65" i="12" s="1"/>
  <c r="M65" i="12" s="1" a="1"/>
  <c r="M65" i="12" s="1"/>
  <c r="N65" i="12" s="1" a="1"/>
  <c r="N65" i="12" s="1"/>
  <c r="O65" i="12" s="1" a="1"/>
  <c r="O65" i="12" s="1"/>
  <c r="P65" i="12" s="1" a="1"/>
  <c r="P65" i="12" s="1"/>
  <c r="L37" i="12" a="1"/>
  <c r="L37" i="12" s="1"/>
  <c r="M37" i="12" s="1" a="1"/>
  <c r="M37" i="12" s="1"/>
  <c r="N37" i="12" s="1" a="1"/>
  <c r="N37" i="12" s="1"/>
  <c r="O37" i="12" s="1" a="1"/>
  <c r="O37" i="12" s="1"/>
  <c r="P37" i="12" s="1" a="1"/>
  <c r="P37" i="12" s="1"/>
  <c r="L19" i="12" a="1"/>
  <c r="L19" i="12" s="1"/>
  <c r="M19" i="12" s="1" a="1"/>
  <c r="M19" i="12" s="1"/>
  <c r="N19" i="12" s="1" a="1"/>
  <c r="N19" i="12" s="1"/>
  <c r="O19" i="12" s="1" a="1"/>
  <c r="O19" i="12" s="1"/>
  <c r="P19" i="12" s="1" a="1"/>
  <c r="P19" i="12" s="1"/>
  <c r="L30" i="12" a="1"/>
  <c r="L30" i="12" s="1"/>
  <c r="M30" i="12" s="1" a="1"/>
  <c r="M30" i="12" s="1"/>
  <c r="N30" i="12" s="1" a="1"/>
  <c r="N30" i="12" s="1"/>
  <c r="O30" i="12" s="1" a="1"/>
  <c r="O30" i="12" s="1"/>
  <c r="P30" i="12" s="1" a="1"/>
  <c r="P30" i="12" s="1"/>
  <c r="L23" i="12" a="1"/>
  <c r="L23" i="12" s="1"/>
  <c r="M23" i="12" s="1" a="1"/>
  <c r="M23" i="12" s="1"/>
  <c r="N23" i="12" s="1" a="1"/>
  <c r="N23" i="12" s="1"/>
  <c r="O23" i="12" s="1" a="1"/>
  <c r="O23" i="12" s="1"/>
  <c r="P23" i="12" s="1" a="1"/>
  <c r="P23" i="12" s="1"/>
  <c r="L100" i="12" a="1"/>
  <c r="L100" i="12" s="1"/>
  <c r="M100" i="12" s="1" a="1"/>
  <c r="M100" i="12" s="1"/>
  <c r="N100" i="12" s="1" a="1"/>
  <c r="N100" i="12" s="1"/>
  <c r="O100" i="12" s="1" a="1"/>
  <c r="O100" i="12" s="1"/>
  <c r="P100" i="12" s="1" a="1"/>
  <c r="P100" i="12" s="1"/>
  <c r="T65" i="24"/>
  <c r="V65" i="24" s="1"/>
  <c r="T66" i="24" s="1"/>
  <c r="V66" i="24" s="1"/>
  <c r="T67" i="24" s="1"/>
  <c r="K15" i="12" a="1"/>
  <c r="K15" i="12" s="1"/>
  <c r="L15" i="12" s="1" a="1"/>
  <c r="L15" i="12" s="1"/>
  <c r="M15" i="12" s="1" a="1"/>
  <c r="M15" i="12" s="1"/>
  <c r="N15" i="12" s="1" a="1"/>
  <c r="N15" i="12" s="1"/>
  <c r="O15" i="12" s="1" a="1"/>
  <c r="O15" i="12" s="1"/>
  <c r="P15" i="12" s="1" a="1"/>
  <c r="P15" i="12" s="1"/>
  <c r="L85" i="12" a="1"/>
  <c r="L85" i="12" s="1"/>
  <c r="M85" i="12" s="1" a="1"/>
  <c r="M85" i="12" s="1"/>
  <c r="N85" i="12" s="1" a="1"/>
  <c r="N85" i="12" s="1"/>
  <c r="O85" i="12" s="1" a="1"/>
  <c r="O85" i="12" s="1"/>
  <c r="P85" i="12" s="1" a="1"/>
  <c r="P85" i="12" s="1"/>
  <c r="L27" i="12" a="1"/>
  <c r="L27" i="12" s="1"/>
  <c r="M27" i="12" s="1" a="1"/>
  <c r="M27" i="12" s="1"/>
  <c r="N27" i="12" s="1" a="1"/>
  <c r="N27" i="12" s="1"/>
  <c r="O27" i="12" s="1" a="1"/>
  <c r="O27" i="12" s="1"/>
  <c r="P27" i="12" s="1" a="1"/>
  <c r="P27" i="12" s="1"/>
  <c r="L24" i="12" a="1"/>
  <c r="L24" i="12" s="1"/>
  <c r="M24" i="12" s="1" a="1"/>
  <c r="M24" i="12" s="1"/>
  <c r="N24" i="12" s="1" a="1"/>
  <c r="N24" i="12" s="1"/>
  <c r="O24" i="12" s="1" a="1"/>
  <c r="O24" i="12" s="1"/>
  <c r="P24" i="12" s="1" a="1"/>
  <c r="P24" i="12" s="1"/>
  <c r="L4" i="12" a="1"/>
  <c r="L4" i="12" s="1"/>
  <c r="M4" i="12" s="1" a="1"/>
  <c r="M4" i="12" s="1"/>
  <c r="N4" i="12" s="1" a="1"/>
  <c r="N4" i="12" s="1"/>
  <c r="O4" i="12" s="1" a="1"/>
  <c r="O4" i="12" s="1"/>
  <c r="P4" i="12" s="1" a="1"/>
  <c r="P4" i="12" s="1"/>
  <c r="L47" i="12" a="1"/>
  <c r="L47" i="12" s="1"/>
  <c r="M47" i="12" s="1" a="1"/>
  <c r="M47" i="12" s="1"/>
  <c r="N47" i="12" s="1" a="1"/>
  <c r="N47" i="12" s="1"/>
  <c r="O47" i="12" s="1" a="1"/>
  <c r="O47" i="12" s="1"/>
  <c r="P47" i="12" s="1" a="1"/>
  <c r="P47" i="12" s="1"/>
  <c r="L56" i="12" a="1"/>
  <c r="L56" i="12" s="1"/>
  <c r="M56" i="12" s="1" a="1"/>
  <c r="M56" i="12" s="1"/>
  <c r="N56" i="12" s="1" a="1"/>
  <c r="N56" i="12" s="1"/>
  <c r="O56" i="12" s="1" a="1"/>
  <c r="O56" i="12" s="1"/>
  <c r="P56" i="12" s="1" a="1"/>
  <c r="P56" i="12" s="1"/>
  <c r="L87" i="12" a="1"/>
  <c r="L87" i="12" s="1"/>
  <c r="M87" i="12" s="1" a="1"/>
  <c r="M87" i="12" s="1"/>
  <c r="N87" i="12" s="1" a="1"/>
  <c r="N87" i="12" s="1"/>
  <c r="O87" i="12" s="1" a="1"/>
  <c r="O87" i="12" s="1"/>
  <c r="P87" i="12" s="1" a="1"/>
  <c r="P87" i="12" s="1"/>
  <c r="L93" i="12" a="1"/>
  <c r="L93" i="12" s="1"/>
  <c r="M93" i="12" s="1" a="1"/>
  <c r="M93" i="12" s="1"/>
  <c r="N93" i="12" s="1" a="1"/>
  <c r="N93" i="12" s="1"/>
  <c r="O93" i="12" s="1" a="1"/>
  <c r="O93" i="12" s="1"/>
  <c r="P93" i="12" s="1" a="1"/>
  <c r="P93" i="12" s="1"/>
  <c r="L31" i="12" a="1"/>
  <c r="L31" i="12" s="1"/>
  <c r="M31" i="12" s="1" a="1"/>
  <c r="M31" i="12" s="1"/>
  <c r="N31" i="12" s="1" a="1"/>
  <c r="N31" i="12" s="1"/>
  <c r="O31" i="12" s="1" a="1"/>
  <c r="O31" i="12" s="1"/>
  <c r="P31" i="12" s="1" a="1"/>
  <c r="P31" i="12" s="1"/>
  <c r="L89" i="12" a="1"/>
  <c r="L89" i="12" s="1"/>
  <c r="M89" i="12" s="1" a="1"/>
  <c r="M89" i="12" s="1"/>
  <c r="N89" i="12" s="1" a="1"/>
  <c r="N89" i="12" s="1"/>
  <c r="O89" i="12" s="1" a="1"/>
  <c r="O89" i="12" s="1"/>
  <c r="P89" i="12" s="1" a="1"/>
  <c r="P89" i="12" s="1"/>
  <c r="L54" i="12" a="1"/>
  <c r="L54" i="12" s="1"/>
  <c r="M54" i="12" s="1" a="1"/>
  <c r="M54" i="12" s="1"/>
  <c r="N54" i="12" s="1" a="1"/>
  <c r="N54" i="12" s="1"/>
  <c r="O54" i="12" s="1" a="1"/>
  <c r="O54" i="12" s="1"/>
  <c r="P54" i="12" s="1" a="1"/>
  <c r="P54" i="12" s="1"/>
  <c r="L57" i="12" a="1"/>
  <c r="L57" i="12" s="1"/>
  <c r="M57" i="12" s="1" a="1"/>
  <c r="M57" i="12" s="1"/>
  <c r="N57" i="12" s="1" a="1"/>
  <c r="N57" i="12" s="1"/>
  <c r="O57" i="12" s="1" a="1"/>
  <c r="O57" i="12" s="1"/>
  <c r="P57" i="12" s="1" a="1"/>
  <c r="P57" i="12" s="1"/>
  <c r="L79" i="12" a="1"/>
  <c r="L79" i="12" s="1"/>
  <c r="M79" i="12" s="1" a="1"/>
  <c r="M79" i="12" s="1"/>
  <c r="N79" i="12" s="1" a="1"/>
  <c r="N79" i="12" s="1"/>
  <c r="O79" i="12" s="1" a="1"/>
  <c r="O79" i="12" s="1"/>
  <c r="P79" i="12" s="1" a="1"/>
  <c r="P79" i="12" s="1"/>
  <c r="L8" i="12" a="1"/>
  <c r="L8" i="12" s="1"/>
  <c r="M8" i="12" s="1" a="1"/>
  <c r="M8" i="12" s="1"/>
  <c r="N8" i="12" s="1" a="1"/>
  <c r="N8" i="12" s="1"/>
  <c r="O8" i="12" s="1" a="1"/>
  <c r="O8" i="12" s="1"/>
  <c r="P8" i="12" s="1" a="1"/>
  <c r="P8" i="12" s="1"/>
  <c r="L80" i="12" a="1"/>
  <c r="L80" i="12" s="1"/>
  <c r="M80" i="12" s="1" a="1"/>
  <c r="M80" i="12" s="1"/>
  <c r="N80" i="12" s="1" a="1"/>
  <c r="N80" i="12" s="1"/>
  <c r="O80" i="12" s="1" a="1"/>
  <c r="O80" i="12" s="1"/>
  <c r="P80" i="12" s="1" a="1"/>
  <c r="P80" i="12" s="1"/>
  <c r="L81" i="12" a="1"/>
  <c r="L81" i="12" s="1"/>
  <c r="M81" i="12" s="1" a="1"/>
  <c r="M81" i="12" s="1"/>
  <c r="N81" i="12" s="1" a="1"/>
  <c r="N81" i="12" s="1"/>
  <c r="O81" i="12" s="1" a="1"/>
  <c r="O81" i="12" s="1"/>
  <c r="P81" i="12" s="1" a="1"/>
  <c r="P81" i="12" s="1"/>
  <c r="L75" i="12" a="1"/>
  <c r="L75" i="12" s="1"/>
  <c r="M75" i="12" s="1" a="1"/>
  <c r="M75" i="12" s="1"/>
  <c r="N75" i="12" s="1" a="1"/>
  <c r="N75" i="12" s="1"/>
  <c r="O75" i="12" s="1" a="1"/>
  <c r="O75" i="12" s="1"/>
  <c r="P75" i="12" s="1" a="1"/>
  <c r="P75" i="12" s="1"/>
  <c r="L20" i="12" a="1"/>
  <c r="L20" i="12" s="1"/>
  <c r="M20" i="12" s="1" a="1"/>
  <c r="M20" i="12" s="1"/>
  <c r="N20" i="12" s="1" a="1"/>
  <c r="N20" i="12" s="1"/>
  <c r="O20" i="12" s="1" a="1"/>
  <c r="O20" i="12" s="1"/>
  <c r="P20" i="12" s="1" a="1"/>
  <c r="P20" i="12" s="1"/>
  <c r="L44" i="12" a="1"/>
  <c r="L44" i="12" s="1"/>
  <c r="M44" i="12" s="1" a="1"/>
  <c r="M44" i="12" s="1"/>
  <c r="N44" i="12" s="1" a="1"/>
  <c r="N44" i="12" s="1"/>
  <c r="O44" i="12" s="1" a="1"/>
  <c r="O44" i="12" s="1"/>
  <c r="P44" i="12" s="1" a="1"/>
  <c r="P44" i="12" s="1"/>
  <c r="L21" i="12" a="1"/>
  <c r="L21" i="12" s="1"/>
  <c r="M21" i="12" s="1" a="1"/>
  <c r="M21" i="12" s="1"/>
  <c r="N21" i="12" s="1" a="1"/>
  <c r="N21" i="12" s="1"/>
  <c r="O21" i="12" s="1" a="1"/>
  <c r="O21" i="12" s="1"/>
  <c r="P21" i="12" s="1" a="1"/>
  <c r="P21" i="12" s="1"/>
  <c r="L50" i="12" a="1"/>
  <c r="L50" i="12" s="1"/>
  <c r="M50" i="12" s="1" a="1"/>
  <c r="M50" i="12" s="1"/>
  <c r="N50" i="12" s="1" a="1"/>
  <c r="N50" i="12" s="1"/>
  <c r="O50" i="12" s="1" a="1"/>
  <c r="O50" i="12" s="1"/>
  <c r="P50" i="12" s="1" a="1"/>
  <c r="P50" i="12" s="1"/>
  <c r="L64" i="12" a="1"/>
  <c r="L64" i="12" s="1"/>
  <c r="M64" i="12" s="1" a="1"/>
  <c r="M64" i="12" s="1"/>
  <c r="N64" i="12" s="1" a="1"/>
  <c r="N64" i="12" s="1"/>
  <c r="O64" i="12" s="1" a="1"/>
  <c r="O64" i="12" s="1"/>
  <c r="P64" i="12" s="1" a="1"/>
  <c r="P64" i="12" s="1"/>
  <c r="L6" i="12" a="1"/>
  <c r="L6" i="12" s="1"/>
  <c r="M6" i="12" s="1" a="1"/>
  <c r="M6" i="12" s="1"/>
  <c r="N6" i="12" s="1" a="1"/>
  <c r="N6" i="12" s="1"/>
  <c r="O6" i="12" s="1" a="1"/>
  <c r="O6" i="12" s="1"/>
  <c r="P6" i="12" s="1" a="1"/>
  <c r="P6" i="12" s="1"/>
  <c r="L73" i="12" a="1"/>
  <c r="L73" i="12" s="1"/>
  <c r="M73" i="12" s="1" a="1"/>
  <c r="M73" i="12" s="1"/>
  <c r="N73" i="12" s="1" a="1"/>
  <c r="N73" i="12" s="1"/>
  <c r="O73" i="12" s="1" a="1"/>
  <c r="O73" i="12" s="1"/>
  <c r="P73" i="12" s="1" a="1"/>
  <c r="P73" i="12" s="1"/>
  <c r="L52" i="12" a="1"/>
  <c r="L52" i="12" s="1"/>
  <c r="M52" i="12" s="1" a="1"/>
  <c r="M52" i="12" s="1"/>
  <c r="N52" i="12" s="1" a="1"/>
  <c r="N52" i="12" s="1"/>
  <c r="O52" i="12" s="1" a="1"/>
  <c r="O52" i="12" s="1"/>
  <c r="P52" i="12" s="1" a="1"/>
  <c r="P52" i="12" s="1"/>
  <c r="L7" i="12" a="1"/>
  <c r="L7" i="12" s="1"/>
  <c r="M7" i="12" s="1" a="1"/>
  <c r="M7" i="12" s="1"/>
  <c r="N7" i="12" s="1" a="1"/>
  <c r="N7" i="12" s="1"/>
  <c r="O7" i="12" s="1" a="1"/>
  <c r="O7" i="12" s="1"/>
  <c r="P7" i="12" s="1" a="1"/>
  <c r="P7" i="12" s="1"/>
  <c r="L103" i="12" a="1"/>
  <c r="L103" i="12" s="1"/>
  <c r="M103" i="12" s="1" a="1"/>
  <c r="M103" i="12" s="1"/>
  <c r="N103" i="12" s="1" a="1"/>
  <c r="N103" i="12" s="1"/>
  <c r="O103" i="12" s="1" a="1"/>
  <c r="O103" i="12" s="1"/>
  <c r="P103" i="12" s="1" a="1"/>
  <c r="P103" i="12" s="1"/>
  <c r="L18" i="12" a="1"/>
  <c r="L18" i="12" s="1"/>
  <c r="M18" i="12" s="1" a="1"/>
  <c r="M18" i="12" s="1"/>
  <c r="N18" i="12" s="1" a="1"/>
  <c r="N18" i="12" s="1"/>
  <c r="O18" i="12" s="1" a="1"/>
  <c r="O18" i="12" s="1"/>
  <c r="P18" i="12" s="1" a="1"/>
  <c r="P18" i="12" s="1"/>
  <c r="L97" i="12" a="1"/>
  <c r="L97" i="12" s="1"/>
  <c r="M97" i="12" s="1" a="1"/>
  <c r="M97" i="12" s="1"/>
  <c r="N97" i="12" s="1" a="1"/>
  <c r="N97" i="12" s="1"/>
  <c r="O97" i="12" s="1" a="1"/>
  <c r="O97" i="12" s="1"/>
  <c r="P97" i="12" s="1" a="1"/>
  <c r="P97" i="12" s="1"/>
  <c r="L67" i="12" a="1"/>
  <c r="L67" i="12" s="1"/>
  <c r="M67" i="12" s="1" a="1"/>
  <c r="M67" i="12" s="1"/>
  <c r="N67" i="12" s="1" a="1"/>
  <c r="N67" i="12" s="1"/>
  <c r="O67" i="12" s="1" a="1"/>
  <c r="O67" i="12" s="1"/>
  <c r="P67" i="12" s="1" a="1"/>
  <c r="P67" i="12" s="1"/>
  <c r="L91" i="12" a="1"/>
  <c r="L91" i="12" s="1"/>
  <c r="M91" i="12" s="1" a="1"/>
  <c r="M91" i="12" s="1"/>
  <c r="N91" i="12" s="1" a="1"/>
  <c r="N91" i="12" s="1"/>
  <c r="O91" i="12" s="1" a="1"/>
  <c r="O91" i="12" s="1"/>
  <c r="P91" i="12" s="1" a="1"/>
  <c r="P91" i="12" s="1"/>
  <c r="L66" i="12" a="1"/>
  <c r="L66" i="12" s="1"/>
  <c r="M66" i="12" s="1" a="1"/>
  <c r="M66" i="12" s="1"/>
  <c r="N66" i="12" s="1" a="1"/>
  <c r="N66" i="12" s="1"/>
  <c r="O66" i="12" s="1" a="1"/>
  <c r="O66" i="12" s="1"/>
  <c r="P66" i="12" s="1" a="1"/>
  <c r="P66" i="12" s="1"/>
  <c r="L102" i="12" a="1"/>
  <c r="L102" i="12" s="1"/>
  <c r="M102" i="12" s="1" a="1"/>
  <c r="M102" i="12" s="1"/>
  <c r="N102" i="12" s="1" a="1"/>
  <c r="N102" i="12" s="1"/>
  <c r="O102" i="12" s="1" a="1"/>
  <c r="O102" i="12" s="1"/>
  <c r="P102" i="12" s="1" a="1"/>
  <c r="P102" i="12" s="1"/>
  <c r="L53" i="12" a="1"/>
  <c r="L53" i="12" s="1"/>
  <c r="M53" i="12" s="1" a="1"/>
  <c r="M53" i="12" s="1"/>
  <c r="N53" i="12" s="1" a="1"/>
  <c r="N53" i="12" s="1"/>
  <c r="O53" i="12" s="1" a="1"/>
  <c r="O53" i="12" s="1"/>
  <c r="P53" i="12" s="1" a="1"/>
  <c r="P53" i="12" s="1"/>
  <c r="L22" i="12" a="1"/>
  <c r="L22" i="12" s="1"/>
  <c r="M22" i="12" s="1" a="1"/>
  <c r="M22" i="12" s="1"/>
  <c r="N22" i="12" s="1" a="1"/>
  <c r="N22" i="12" s="1"/>
  <c r="O22" i="12" s="1" a="1"/>
  <c r="O22" i="12" s="1"/>
  <c r="P22" i="12" s="1" a="1"/>
  <c r="P22" i="12" s="1"/>
  <c r="L46" i="12" a="1"/>
  <c r="L46" i="12" s="1"/>
  <c r="M46" i="12" s="1" a="1"/>
  <c r="M46" i="12" s="1"/>
  <c r="N46" i="12" s="1" a="1"/>
  <c r="N46" i="12" s="1"/>
  <c r="O46" i="12" s="1" a="1"/>
  <c r="O46" i="12" s="1"/>
  <c r="P46" i="12" s="1" a="1"/>
  <c r="P46" i="12" s="1"/>
  <c r="L90" i="12" a="1"/>
  <c r="L90" i="12" s="1"/>
  <c r="M90" i="12" s="1" a="1"/>
  <c r="M90" i="12" s="1"/>
  <c r="N90" i="12" s="1" a="1"/>
  <c r="N90" i="12" s="1"/>
  <c r="O90" i="12" s="1" a="1"/>
  <c r="O90" i="12" s="1"/>
  <c r="P90" i="12" s="1" a="1"/>
  <c r="P90" i="12" s="1"/>
  <c r="L39" i="12" a="1"/>
  <c r="L39" i="12" s="1"/>
  <c r="M39" i="12" s="1" a="1"/>
  <c r="M39" i="12" s="1"/>
  <c r="N39" i="12" s="1" a="1"/>
  <c r="N39" i="12" s="1"/>
  <c r="O39" i="12" s="1" a="1"/>
  <c r="O39" i="12" s="1"/>
  <c r="P39" i="12" s="1" a="1"/>
  <c r="P39" i="12" s="1"/>
  <c r="L94" i="12" a="1"/>
  <c r="L94" i="12" s="1"/>
  <c r="M94" i="12" s="1" a="1"/>
  <c r="M94" i="12" s="1"/>
  <c r="N94" i="12" s="1" a="1"/>
  <c r="N94" i="12" s="1"/>
  <c r="O94" i="12" s="1" a="1"/>
  <c r="O94" i="12" s="1"/>
  <c r="P94" i="12" s="1" a="1"/>
  <c r="P94" i="12" s="1"/>
  <c r="L55" i="12" a="1"/>
  <c r="L55" i="12" s="1"/>
  <c r="M55" i="12" s="1" a="1"/>
  <c r="M55" i="12" s="1"/>
  <c r="N55" i="12" s="1" a="1"/>
  <c r="N55" i="12" s="1"/>
  <c r="O55" i="12" s="1" a="1"/>
  <c r="O55" i="12" s="1"/>
  <c r="P55" i="12" s="1" a="1"/>
  <c r="P55" i="12" s="1"/>
  <c r="L86" i="12" a="1"/>
  <c r="L86" i="12" s="1"/>
  <c r="M86" i="12" s="1" a="1"/>
  <c r="M86" i="12" s="1"/>
  <c r="N86" i="12" s="1" a="1"/>
  <c r="N86" i="12" s="1"/>
  <c r="O86" i="12" s="1" a="1"/>
  <c r="O86" i="12" s="1"/>
  <c r="P86" i="12" s="1" a="1"/>
  <c r="P86" i="12" s="1"/>
  <c r="L59" i="12" a="1"/>
  <c r="L59" i="12" s="1"/>
  <c r="M59" i="12" s="1" a="1"/>
  <c r="M59" i="12" s="1"/>
  <c r="N59" i="12" s="1" a="1"/>
  <c r="N59" i="12" s="1"/>
  <c r="O59" i="12" s="1" a="1"/>
  <c r="O59" i="12" s="1"/>
  <c r="P59" i="12" s="1" a="1"/>
  <c r="P59" i="12" s="1"/>
  <c r="L92" i="12" a="1"/>
  <c r="L92" i="12" s="1"/>
  <c r="M92" i="12" s="1" a="1"/>
  <c r="M92" i="12" s="1"/>
  <c r="N92" i="12" s="1" a="1"/>
  <c r="N92" i="12" s="1"/>
  <c r="O92" i="12" s="1" a="1"/>
  <c r="O92" i="12" s="1"/>
  <c r="P92" i="12" s="1" a="1"/>
  <c r="P92" i="12" s="1"/>
  <c r="L96" i="12" a="1"/>
  <c r="L96" i="12" s="1"/>
  <c r="M96" i="12" s="1" a="1"/>
  <c r="M96" i="12" s="1"/>
  <c r="N96" i="12" s="1" a="1"/>
  <c r="N96" i="12" s="1"/>
  <c r="O96" i="12" s="1" a="1"/>
  <c r="O96" i="12" s="1"/>
  <c r="P96" i="12" s="1" a="1"/>
  <c r="P96" i="12" s="1"/>
  <c r="L88" i="12" a="1"/>
  <c r="L88" i="12" s="1"/>
  <c r="M88" i="12" s="1" a="1"/>
  <c r="M88" i="12" s="1"/>
  <c r="N88" i="12" s="1" a="1"/>
  <c r="N88" i="12" s="1"/>
  <c r="O88" i="12" s="1" a="1"/>
  <c r="O88" i="12" s="1"/>
  <c r="P88" i="12" s="1" a="1"/>
  <c r="P88" i="12" s="1"/>
  <c r="L43" i="12" a="1"/>
  <c r="L43" i="12" s="1"/>
  <c r="M43" i="12" s="1" a="1"/>
  <c r="M43" i="12" s="1"/>
  <c r="N43" i="12" s="1" a="1"/>
  <c r="N43" i="12" s="1"/>
  <c r="O43" i="12" s="1" a="1"/>
  <c r="O43" i="12" s="1"/>
  <c r="P43" i="12" s="1" a="1"/>
  <c r="P43" i="12" s="1"/>
  <c r="L51" i="12" a="1"/>
  <c r="L51" i="12" s="1"/>
  <c r="M51" i="12" s="1" a="1"/>
  <c r="M51" i="12" s="1"/>
  <c r="N51" i="12" s="1" a="1"/>
  <c r="N51" i="12" s="1"/>
  <c r="O51" i="12" s="1" a="1"/>
  <c r="O51" i="12" s="1"/>
  <c r="P51" i="12" s="1" a="1"/>
  <c r="P51" i="12" s="1"/>
  <c r="L11" i="12" a="1"/>
  <c r="L11" i="12" s="1"/>
  <c r="M11" i="12" s="1" a="1"/>
  <c r="M11" i="12" s="1"/>
  <c r="N11" i="12" s="1" a="1"/>
  <c r="N11" i="12" s="1"/>
  <c r="O11" i="12" s="1" a="1"/>
  <c r="O11" i="12" s="1"/>
  <c r="P11" i="12" s="1" a="1"/>
  <c r="P11" i="12" s="1"/>
  <c r="L35" i="12" a="1"/>
  <c r="L35" i="12" s="1"/>
  <c r="M35" i="12" s="1" a="1"/>
  <c r="M35" i="12" s="1"/>
  <c r="N35" i="12" s="1" a="1"/>
  <c r="N35" i="12" s="1"/>
  <c r="O35" i="12" s="1" a="1"/>
  <c r="O35" i="12" s="1"/>
  <c r="P35" i="12" s="1" a="1"/>
  <c r="P35" i="12" s="1"/>
  <c r="V67" i="24" l="1"/>
  <c r="T68" i="24"/>
  <c r="V68" i="24" l="1"/>
  <c r="T69" i="24"/>
  <c r="V69" i="24" s="1"/>
  <c r="T70" i="24" s="1"/>
  <c r="V70" i="24" s="1"/>
  <c r="T71" i="24" s="1"/>
  <c r="T72" i="24" l="1"/>
  <c r="V72" i="24" s="1"/>
  <c r="T73" i="24" s="1"/>
  <c r="V73" i="24" s="1"/>
  <c r="T74" i="24" s="1"/>
  <c r="V74" i="24" s="1"/>
  <c r="T75" i="24" s="1"/>
  <c r="V75" i="24" s="1"/>
  <c r="T76" i="24" s="1"/>
  <c r="V76" i="24" s="1"/>
  <c r="T77" i="24" s="1"/>
  <c r="V77" i="24" s="1"/>
  <c r="T78" i="24" s="1"/>
  <c r="V78" i="24" s="1"/>
  <c r="T79" i="24" s="1"/>
  <c r="V79" i="24" s="1"/>
  <c r="T80" i="24" s="1"/>
  <c r="V80" i="24" s="1"/>
  <c r="T81" i="24" s="1"/>
  <c r="V81" i="24" s="1"/>
  <c r="T82" i="24" s="1"/>
  <c r="V82" i="24" s="1"/>
  <c r="T83" i="24" s="1"/>
  <c r="V83" i="24" s="1"/>
  <c r="T84" i="24" s="1"/>
  <c r="V84" i="24" s="1"/>
  <c r="T85" i="24" s="1"/>
  <c r="V85" i="24" s="1"/>
  <c r="T86" i="24" s="1"/>
  <c r="V86" i="24" s="1"/>
  <c r="T87" i="24" s="1"/>
  <c r="V87" i="24" s="1"/>
  <c r="T88" i="24" s="1"/>
  <c r="V88" i="24" s="1"/>
  <c r="T89" i="24" s="1"/>
  <c r="V89" i="24" s="1"/>
  <c r="T90" i="24" s="1"/>
  <c r="V71" i="24"/>
  <c r="V90" i="24" l="1"/>
  <c r="T91" i="24" s="1"/>
  <c r="V91" i="24" l="1"/>
  <c r="T92" i="24" s="1"/>
  <c r="V92" i="24" l="1"/>
  <c r="T93" i="24" s="1"/>
  <c r="V93" i="24" l="1"/>
  <c r="T94" i="24" s="1"/>
  <c r="V94" i="24" s="1"/>
  <c r="T95" i="24" s="1"/>
  <c r="V95" i="24" s="1"/>
  <c r="T96" i="24" s="1"/>
  <c r="V96" i="24" l="1"/>
  <c r="T97" i="24" s="1"/>
  <c r="V97" i="24" l="1"/>
  <c r="T98" i="24" s="1"/>
  <c r="V98" i="24" s="1"/>
  <c r="T99" i="24" s="1"/>
  <c r="V99" i="24" l="1"/>
  <c r="T100" i="24" s="1"/>
  <c r="V100" i="24" l="1"/>
  <c r="T101" i="24" s="1"/>
  <c r="V101" i="24" l="1"/>
  <c r="T102" i="24" s="1"/>
  <c r="V102" i="24" l="1"/>
  <c r="T103" i="24" s="1"/>
  <c r="V103" i="24" l="1"/>
  <c r="T104" i="24" s="1"/>
  <c r="V104" i="24" l="1"/>
  <c r="T105" i="24" s="1"/>
  <c r="V105" i="24" l="1"/>
  <c r="T106" i="24" s="1"/>
  <c r="V106" i="24" l="1"/>
  <c r="T107" i="24" s="1"/>
  <c r="V107" i="24" l="1"/>
  <c r="T108" i="24" s="1"/>
  <c r="V108" i="24" l="1"/>
  <c r="T109" i="24" s="1"/>
  <c r="V109"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Mykel Braswell</author>
    <author>Jonathan Wilson</author>
  </authors>
  <commentList>
    <comment ref="C9" authorId="0" shapeId="0" xr:uid="{A9DD203F-4675-4840-951B-40141B1654C0}">
      <text>
        <r>
          <rPr>
            <sz val="9"/>
            <color indexed="81"/>
            <rFont val="Tahoma"/>
            <family val="2"/>
          </rPr>
          <t>The System and System Description cells are optional</t>
        </r>
      </text>
    </comment>
    <comment ref="C18" authorId="1" shapeId="0" xr:uid="{41597115-58C6-4FB7-BE12-2115F019A9CB}">
      <text>
        <r>
          <rPr>
            <sz val="9"/>
            <color indexed="81"/>
            <rFont val="Tahoma"/>
            <family val="2"/>
          </rPr>
          <t xml:space="preserve">Select the type of manifold electrical connection. Typically 7/8" 4-pin for robots, and M12 5-pin for fixtures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Abraham Reyes [C]</author>
  </authors>
  <commentList>
    <comment ref="E3" authorId="0" shapeId="0" xr:uid="{1D78A0A5-FA9C-4627-B2D0-CFA80C4FEBD2}">
      <text>
        <r>
          <rPr>
            <b/>
            <sz val="9"/>
            <color indexed="81"/>
            <rFont val="Tahoma"/>
            <family val="2"/>
          </rPr>
          <t xml:space="preserve">Mechanical Unit Name 
MUST be unique
</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<sst xmlns="http://schemas.openxmlformats.org/spreadsheetml/2006/main" count="1601" uniqueCount="637">
  <si>
    <t>Tooling Workbook</t>
  </si>
  <si>
    <t>DOC ID: ME-RSTD-0227</t>
  </si>
  <si>
    <t>Shop</t>
  </si>
  <si>
    <t>Integrator</t>
  </si>
  <si>
    <t>Line Description</t>
  </si>
  <si>
    <t>Date</t>
  </si>
  <si>
    <t>Line</t>
  </si>
  <si>
    <t>Design Status</t>
  </si>
  <si>
    <t>Station</t>
  </si>
  <si>
    <t>Integrator Responsible Engineer</t>
  </si>
  <si>
    <t>Station Description</t>
  </si>
  <si>
    <t>Rivian Responsible Engineer</t>
  </si>
  <si>
    <t>System (Eg, robot, turntable etc)</t>
  </si>
  <si>
    <t>Tool</t>
  </si>
  <si>
    <t>Type of Manifold Connection</t>
  </si>
  <si>
    <t>M12 5-Pin</t>
  </si>
  <si>
    <t>Tool Description</t>
  </si>
  <si>
    <t>Type of Tool</t>
  </si>
  <si>
    <t>Fixture</t>
  </si>
  <si>
    <t>Author</t>
  </si>
  <si>
    <t>Revision Note</t>
  </si>
  <si>
    <t>ISO View for HMI</t>
  </si>
  <si>
    <t>Top View</t>
  </si>
  <si>
    <t>Bore (mm)</t>
  </si>
  <si>
    <t>Stroke (mm)</t>
  </si>
  <si>
    <t>Cylinder Part #</t>
  </si>
  <si>
    <t>Home Position</t>
  </si>
  <si>
    <t>External Home Switch Part #</t>
  </si>
  <si>
    <t>External Work Switch Part #</t>
  </si>
  <si>
    <t>Clamp with two external sensors</t>
  </si>
  <si>
    <t>SY5000</t>
  </si>
  <si>
    <t>Extended</t>
  </si>
  <si>
    <t>Sensor Type</t>
  </si>
  <si>
    <t>Output Type</t>
  </si>
  <si>
    <t>Light Operate</t>
  </si>
  <si>
    <t>Version History</t>
  </si>
  <si>
    <t>Revision No.</t>
  </si>
  <si>
    <t>Revision Description (Reason for Change)</t>
  </si>
  <si>
    <t>Author(s)</t>
  </si>
  <si>
    <t>Revision Date</t>
  </si>
  <si>
    <t>Initial template release.</t>
  </si>
  <si>
    <t>Leon Soto</t>
  </si>
  <si>
    <t>Update template to new Rivian branding.
Add more cylinder and sensor detail columns.
Add EEC import functionality and Dropdown lists.</t>
  </si>
  <si>
    <t>Mykel Braswell
Matt Bowman
Jonny Wilson</t>
  </si>
  <si>
    <t>Integrator_name</t>
  </si>
  <si>
    <t>Integrator_engineer_name</t>
  </si>
  <si>
    <t>Shop_name</t>
  </si>
  <si>
    <t>Line_name</t>
  </si>
  <si>
    <t>Line_description</t>
  </si>
  <si>
    <t>Station_name</t>
  </si>
  <si>
    <t>Station_description</t>
  </si>
  <si>
    <t>Tool_name</t>
  </si>
  <si>
    <t>Tool_description</t>
  </si>
  <si>
    <t>Tool_type</t>
  </si>
  <si>
    <t>Manifold_group_name</t>
  </si>
  <si>
    <t>Manifold_valve_series</t>
  </si>
  <si>
    <t>Manifold_power_connector_type</t>
  </si>
  <si>
    <t>Valve_name</t>
  </si>
  <si>
    <t>Valve_type</t>
  </si>
  <si>
    <t>Valve_part_number</t>
  </si>
  <si>
    <t>Actuator_group_name</t>
  </si>
  <si>
    <t>Actuator_group_description</t>
  </si>
  <si>
    <t>Actuator_name</t>
  </si>
  <si>
    <t>Actuator_type</t>
  </si>
  <si>
    <t>Actuator_home_position</t>
  </si>
  <si>
    <t>Actuator_part_number</t>
  </si>
  <si>
    <t>Actuator_location_name</t>
  </si>
  <si>
    <t>Actuator_location_description</t>
  </si>
  <si>
    <t>Actuator_home_switch_part_number</t>
  </si>
  <si>
    <t>Actuator_work_switch_part_number</t>
  </si>
  <si>
    <t>Actuator_bore</t>
  </si>
  <si>
    <t>Actuator_stroke</t>
  </si>
  <si>
    <t>Actuator_port_size</t>
  </si>
  <si>
    <t>Part_present_group_name</t>
  </si>
  <si>
    <t>Part_present_group_description</t>
  </si>
  <si>
    <t>Part_present_sensor_name</t>
  </si>
  <si>
    <t>Part_present_sensor_description</t>
  </si>
  <si>
    <t>Part_present_sensor_location_name</t>
  </si>
  <si>
    <t>Part_present_sensor_location_description</t>
  </si>
  <si>
    <t>Part_present_sensor_part_number</t>
  </si>
  <si>
    <t>Part_present_sensor_type</t>
  </si>
  <si>
    <t>Part_present_sensor_logic</t>
  </si>
  <si>
    <t>Part_present_sensor_operation</t>
  </si>
  <si>
    <t>Part_present_sensor_range</t>
  </si>
  <si>
    <t>Part_present_body_style</t>
  </si>
  <si>
    <t>Robot_name</t>
  </si>
  <si>
    <t>Robot_description</t>
  </si>
  <si>
    <t>TypeOfManifoldConnections</t>
  </si>
  <si>
    <t>TypeOfTool</t>
  </si>
  <si>
    <t>ValveType</t>
  </si>
  <si>
    <t>ActuatorType</t>
  </si>
  <si>
    <t>HomePosition</t>
  </si>
  <si>
    <t>7/8" 4-Pin</t>
  </si>
  <si>
    <t>EOAT</t>
  </si>
  <si>
    <t>Clamp with two internal sensors</t>
  </si>
  <si>
    <t>Retracted</t>
  </si>
  <si>
    <t>SY7000</t>
  </si>
  <si>
    <t>Shotpin with two internal sensors</t>
  </si>
  <si>
    <t>Shotpin with two external sensors</t>
  </si>
  <si>
    <t>Slide with two internal sensors</t>
  </si>
  <si>
    <t>Slide with two external sensors</t>
  </si>
  <si>
    <t>Dump with two internal sensors</t>
  </si>
  <si>
    <t>Dump with two external sensors</t>
  </si>
  <si>
    <t>Spare</t>
  </si>
  <si>
    <t>Pin with two internal sensors</t>
  </si>
  <si>
    <t>Pin with two external sensors</t>
  </si>
  <si>
    <t>Slide - Type 3</t>
  </si>
  <si>
    <t>Slide - Type 4</t>
  </si>
  <si>
    <t>Dump - Type 3</t>
  </si>
  <si>
    <t>Dump - Type 4</t>
  </si>
  <si>
    <t>Vacuum cup</t>
  </si>
  <si>
    <t>Backup</t>
  </si>
  <si>
    <t>Manual clamp</t>
  </si>
  <si>
    <t>Pin clamp</t>
  </si>
  <si>
    <t>Gripper</t>
  </si>
  <si>
    <t>User Defined - Type 1</t>
  </si>
  <si>
    <t>User Defined - Type 2</t>
  </si>
  <si>
    <t>User Defined - Type 3</t>
  </si>
  <si>
    <t>User Defined - Type 4</t>
  </si>
  <si>
    <t>User Defined - Type 5</t>
  </si>
  <si>
    <t>User Defined - Type 6</t>
  </si>
  <si>
    <t>User Defined - Type 7</t>
  </si>
  <si>
    <t>User Defined - Type 8</t>
  </si>
  <si>
    <t>User Defined - Type 9</t>
  </si>
  <si>
    <t>User Defined - Type 10</t>
  </si>
  <si>
    <t>User Defined - Type 11</t>
  </si>
  <si>
    <t>User Defined - Type 12</t>
  </si>
  <si>
    <t>User Defined - Type 13</t>
  </si>
  <si>
    <t>User Defined - Type 14</t>
  </si>
  <si>
    <t>User Defined - Type 15</t>
  </si>
  <si>
    <t>Rod lock</t>
  </si>
  <si>
    <t>User defined</t>
  </si>
  <si>
    <t>SY5000, 2 position, single</t>
  </si>
  <si>
    <t>SY5000, 2 position, double</t>
  </si>
  <si>
    <t>SY5000, 3 position, Closed Center</t>
  </si>
  <si>
    <t>SY5000, 3 position, Exhaust Center</t>
  </si>
  <si>
    <t>SY5000, 3 position, Pressure Center</t>
  </si>
  <si>
    <t>SY5000, 4 position, Dual 3 port, N.C./N.C.</t>
  </si>
  <si>
    <t>SY5000, 4 position, Dual 3 port, N.O./N.O.</t>
  </si>
  <si>
    <t>SY5000, 4 position, Dual 3 port, N.C./N.O.</t>
  </si>
  <si>
    <t>SY5000, 3 position, Exhaust Center, A side detent</t>
  </si>
  <si>
    <t>SY7000, 2 position, single</t>
  </si>
  <si>
    <t>SY7000, 2 position, double</t>
  </si>
  <si>
    <t>SY7000, 3 position, Closed Center</t>
  </si>
  <si>
    <t>SY7000, 3 position, Exhaust Center</t>
  </si>
  <si>
    <t>SY7000, 3 position, Pressure Center</t>
  </si>
  <si>
    <t>SY7000, 4 position, Dual 3 port, N.C./N.C.</t>
  </si>
  <si>
    <t>SY7000, 4 position, Dual 3 port, N.O./N.O.</t>
  </si>
  <si>
    <t>SY7000, 4 position, Dual 3 port, N.C./N.O.</t>
  </si>
  <si>
    <t>SY7000, 3 position, Exhaust Center, A side detent</t>
  </si>
  <si>
    <t>Duration</t>
  </si>
  <si>
    <t>ID</t>
  </si>
  <si>
    <t>Start</t>
  </si>
  <si>
    <t>TO WORK</t>
  </si>
  <si>
    <t>Sensor Description</t>
  </si>
  <si>
    <t>Operator 1</t>
  </si>
  <si>
    <t>ON</t>
  </si>
  <si>
    <t>Robot 1</t>
  </si>
  <si>
    <t>Robot 2</t>
  </si>
  <si>
    <t>Robot 3</t>
  </si>
  <si>
    <t>OFF</t>
  </si>
  <si>
    <t>TO HOME</t>
  </si>
  <si>
    <t>Operators</t>
  </si>
  <si>
    <t>Operator 2</t>
  </si>
  <si>
    <t>Operator 3</t>
  </si>
  <si>
    <t>Operator 4</t>
  </si>
  <si>
    <t>Operator 5</t>
  </si>
  <si>
    <t>Operator 6</t>
  </si>
  <si>
    <t>Operator 7</t>
  </si>
  <si>
    <t>Operator 8</t>
  </si>
  <si>
    <t>Operator 9</t>
  </si>
  <si>
    <t>Operator 10</t>
  </si>
  <si>
    <t>Robots</t>
  </si>
  <si>
    <t>Robot 4</t>
  </si>
  <si>
    <t>Robot 5</t>
  </si>
  <si>
    <t>Robot 6</t>
  </si>
  <si>
    <t>Robot 7</t>
  </si>
  <si>
    <t>Robot 8</t>
  </si>
  <si>
    <t>Robot 9</t>
  </si>
  <si>
    <t>Robot 10</t>
  </si>
  <si>
    <t>Motion Group Actions</t>
  </si>
  <si>
    <t>Sensor Group Statuses</t>
  </si>
  <si>
    <t>John Smith</t>
  </si>
  <si>
    <t>Rev</t>
  </si>
  <si>
    <t>Manual Input (Copy-Paste Values to Pneumatic Calculator)</t>
  </si>
  <si>
    <t>Manual Input (Not required for Pneumatic Calculator)</t>
  </si>
  <si>
    <t>Input from Pneumatic Worksheet (Copy-Paste Values from Pneumatic Calculator)</t>
  </si>
  <si>
    <t>Mykel Braswell</t>
  </si>
  <si>
    <t>Alternate View 1 (optional)</t>
  </si>
  <si>
    <t>Nest</t>
  </si>
  <si>
    <t>Cylinder Units</t>
  </si>
  <si>
    <t>Sensor Units</t>
  </si>
  <si>
    <t>SensorType</t>
  </si>
  <si>
    <t>Photoelectric</t>
  </si>
  <si>
    <t>Inductive Proximity</t>
  </si>
  <si>
    <t>Capacitive Proximity</t>
  </si>
  <si>
    <t>Magnetic Field</t>
  </si>
  <si>
    <t>Fiberoptic</t>
  </si>
  <si>
    <t>Normally Open (N.O.)</t>
  </si>
  <si>
    <t>Normally Closed (N.C.)</t>
  </si>
  <si>
    <t>Style</t>
  </si>
  <si>
    <t>Common</t>
  </si>
  <si>
    <t>Mechanical Switch</t>
  </si>
  <si>
    <t>IO-Link</t>
  </si>
  <si>
    <t>Roof Bow Subs Cell</t>
  </si>
  <si>
    <t>Station 1300</t>
  </si>
  <si>
    <t>AT HOME</t>
  </si>
  <si>
    <t>AT WORK</t>
  </si>
  <si>
    <t>Sensor Group Descriptions</t>
  </si>
  <si>
    <t>Available Sensor Names</t>
  </si>
  <si>
    <t>Available Sensor Group Names</t>
  </si>
  <si>
    <t>Motion Group Statuses</t>
  </si>
  <si>
    <t>End</t>
  </si>
  <si>
    <t>Examples:</t>
  </si>
  <si>
    <t>BL02</t>
  </si>
  <si>
    <t>RR1</t>
  </si>
  <si>
    <t>HL1</t>
  </si>
  <si>
    <t>UA1</t>
  </si>
  <si>
    <t>Material Handler EOAT</t>
  </si>
  <si>
    <t>Company Name</t>
  </si>
  <si>
    <t>BG1</t>
  </si>
  <si>
    <t>BG2</t>
  </si>
  <si>
    <t>BG3</t>
  </si>
  <si>
    <t>BG4</t>
  </si>
  <si>
    <t>BG5</t>
  </si>
  <si>
    <t>BG6</t>
  </si>
  <si>
    <t>BG7</t>
  </si>
  <si>
    <t>BG8</t>
  </si>
  <si>
    <t>BG9</t>
  </si>
  <si>
    <t>BG10</t>
  </si>
  <si>
    <t>BG11</t>
  </si>
  <si>
    <t>BG12</t>
  </si>
  <si>
    <t>BG13</t>
  </si>
  <si>
    <t>BG14</t>
  </si>
  <si>
    <t>BG15</t>
  </si>
  <si>
    <t>BG16</t>
  </si>
  <si>
    <t>BG17</t>
  </si>
  <si>
    <t>BG18</t>
  </si>
  <si>
    <t>BG19</t>
  </si>
  <si>
    <t>BG20</t>
  </si>
  <si>
    <t>BG21</t>
  </si>
  <si>
    <t>BG22</t>
  </si>
  <si>
    <t>BG23</t>
  </si>
  <si>
    <t>BG24</t>
  </si>
  <si>
    <t>BG25</t>
  </si>
  <si>
    <t>BG26</t>
  </si>
  <si>
    <t>BG27</t>
  </si>
  <si>
    <t>BG28</t>
  </si>
  <si>
    <t>BG29</t>
  </si>
  <si>
    <t>BG30</t>
  </si>
  <si>
    <t>BG31</t>
  </si>
  <si>
    <t>BG32</t>
  </si>
  <si>
    <t>BG33</t>
  </si>
  <si>
    <t>BG34</t>
  </si>
  <si>
    <t>BG35</t>
  </si>
  <si>
    <t>BG36</t>
  </si>
  <si>
    <t>BG37</t>
  </si>
  <si>
    <t>BG38</t>
  </si>
  <si>
    <t>BG39</t>
  </si>
  <si>
    <t>BG40</t>
  </si>
  <si>
    <t>BG41</t>
  </si>
  <si>
    <t>BG42</t>
  </si>
  <si>
    <t>BG43</t>
  </si>
  <si>
    <t>BG44</t>
  </si>
  <si>
    <t>BG45</t>
  </si>
  <si>
    <t>BG46</t>
  </si>
  <si>
    <t>BG47</t>
  </si>
  <si>
    <t>BG48</t>
  </si>
  <si>
    <t>BG49</t>
  </si>
  <si>
    <t>BG50</t>
  </si>
  <si>
    <t>BG51</t>
  </si>
  <si>
    <t>BG52</t>
  </si>
  <si>
    <t>BG53</t>
  </si>
  <si>
    <t>BG54</t>
  </si>
  <si>
    <t>BG55</t>
  </si>
  <si>
    <t>BG56</t>
  </si>
  <si>
    <t>BG57</t>
  </si>
  <si>
    <t>BG58</t>
  </si>
  <si>
    <t>BG59</t>
  </si>
  <si>
    <t>BG60</t>
  </si>
  <si>
    <t>BG61</t>
  </si>
  <si>
    <t>BG62</t>
  </si>
  <si>
    <t>BG63</t>
  </si>
  <si>
    <t>BG64</t>
  </si>
  <si>
    <t>BG65</t>
  </si>
  <si>
    <t>BG66</t>
  </si>
  <si>
    <t>BG67</t>
  </si>
  <si>
    <t>BG68</t>
  </si>
  <si>
    <t>BG69</t>
  </si>
  <si>
    <t>BG70</t>
  </si>
  <si>
    <t>BG71</t>
  </si>
  <si>
    <t>BG72</t>
  </si>
  <si>
    <t>BG73</t>
  </si>
  <si>
    <t>BG74</t>
  </si>
  <si>
    <t>BG75</t>
  </si>
  <si>
    <t>BG76</t>
  </si>
  <si>
    <t>BG77</t>
  </si>
  <si>
    <t>BG78</t>
  </si>
  <si>
    <t>BG79</t>
  </si>
  <si>
    <t>BG80</t>
  </si>
  <si>
    <t>BG81</t>
  </si>
  <si>
    <t>BG82</t>
  </si>
  <si>
    <t>BG83</t>
  </si>
  <si>
    <t>BG84</t>
  </si>
  <si>
    <t>BG85</t>
  </si>
  <si>
    <t>BG86</t>
  </si>
  <si>
    <t>BG87</t>
  </si>
  <si>
    <t>BG88</t>
  </si>
  <si>
    <t>BG89</t>
  </si>
  <si>
    <t>BG90</t>
  </si>
  <si>
    <t>BG91</t>
  </si>
  <si>
    <t>BG92</t>
  </si>
  <si>
    <t>BG93</t>
  </si>
  <si>
    <t>BG94</t>
  </si>
  <si>
    <t>BG95</t>
  </si>
  <si>
    <t>BG96</t>
  </si>
  <si>
    <t>BG97</t>
  </si>
  <si>
    <t>BG98</t>
  </si>
  <si>
    <t>BG99</t>
  </si>
  <si>
    <t>BGB1</t>
  </si>
  <si>
    <t>BGB2</t>
  </si>
  <si>
    <t>BGB3</t>
  </si>
  <si>
    <t>BGB4</t>
  </si>
  <si>
    <t>BGB5</t>
  </si>
  <si>
    <t>BGB6</t>
  </si>
  <si>
    <t>BGB7</t>
  </si>
  <si>
    <t>BGB8</t>
  </si>
  <si>
    <t>BGB9</t>
  </si>
  <si>
    <t>BGB10</t>
  </si>
  <si>
    <t>BGB11</t>
  </si>
  <si>
    <t>BGB12</t>
  </si>
  <si>
    <t>BGB13</t>
  </si>
  <si>
    <t>BGB14</t>
  </si>
  <si>
    <t>BGB15</t>
  </si>
  <si>
    <t>BGB16</t>
  </si>
  <si>
    <t>BGB17</t>
  </si>
  <si>
    <t>BGB18</t>
  </si>
  <si>
    <t>BGB19</t>
  </si>
  <si>
    <t>BGB20</t>
  </si>
  <si>
    <t>BGB21</t>
  </si>
  <si>
    <t>BGB22</t>
  </si>
  <si>
    <t>BGB23</t>
  </si>
  <si>
    <t>BGB24</t>
  </si>
  <si>
    <t>BGB25</t>
  </si>
  <si>
    <t>BGB26</t>
  </si>
  <si>
    <t>BGB27</t>
  </si>
  <si>
    <t>BGB28</t>
  </si>
  <si>
    <t>BGB29</t>
  </si>
  <si>
    <t>BGB30</t>
  </si>
  <si>
    <t>BGB31</t>
  </si>
  <si>
    <t>BGB32</t>
  </si>
  <si>
    <t>BGB33</t>
  </si>
  <si>
    <t>BGB34</t>
  </si>
  <si>
    <t>BGB35</t>
  </si>
  <si>
    <t>BGB36</t>
  </si>
  <si>
    <t>BGB37</t>
  </si>
  <si>
    <t>BGB38</t>
  </si>
  <si>
    <t>BGB39</t>
  </si>
  <si>
    <t>BGB40</t>
  </si>
  <si>
    <t>BGB41</t>
  </si>
  <si>
    <t>BGB42</t>
  </si>
  <si>
    <t>BGB43</t>
  </si>
  <si>
    <t>BGB44</t>
  </si>
  <si>
    <t>BGB45</t>
  </si>
  <si>
    <t>BGB46</t>
  </si>
  <si>
    <t>BGB47</t>
  </si>
  <si>
    <t>BGB48</t>
  </si>
  <si>
    <t>BGB49</t>
  </si>
  <si>
    <t>BGB50</t>
  </si>
  <si>
    <t>BGB51</t>
  </si>
  <si>
    <t>BGB52</t>
  </si>
  <si>
    <t>BGB53</t>
  </si>
  <si>
    <t>BGB54</t>
  </si>
  <si>
    <t>BGB55</t>
  </si>
  <si>
    <t>BGB56</t>
  </si>
  <si>
    <t>BGB57</t>
  </si>
  <si>
    <t>BGB58</t>
  </si>
  <si>
    <t>BGB59</t>
  </si>
  <si>
    <t>BGB60</t>
  </si>
  <si>
    <t>BGB61</t>
  </si>
  <si>
    <t>BGB62</t>
  </si>
  <si>
    <t>BGB63</t>
  </si>
  <si>
    <t>BGB64</t>
  </si>
  <si>
    <t>BGB65</t>
  </si>
  <si>
    <t>BGB66</t>
  </si>
  <si>
    <t>BGB67</t>
  </si>
  <si>
    <t>BGB68</t>
  </si>
  <si>
    <t>BGB69</t>
  </si>
  <si>
    <t>BGB70</t>
  </si>
  <si>
    <t>BGB71</t>
  </si>
  <si>
    <t>BGB72</t>
  </si>
  <si>
    <t>BGB73</t>
  </si>
  <si>
    <t>BGB74</t>
  </si>
  <si>
    <t>BGB75</t>
  </si>
  <si>
    <t>BGB76</t>
  </si>
  <si>
    <t>BGB77</t>
  </si>
  <si>
    <t>BGB78</t>
  </si>
  <si>
    <t>BGB79</t>
  </si>
  <si>
    <t>BGB80</t>
  </si>
  <si>
    <t>BGB81</t>
  </si>
  <si>
    <t>BGB82</t>
  </si>
  <si>
    <t>BGB83</t>
  </si>
  <si>
    <t>BGB84</t>
  </si>
  <si>
    <t>BGB85</t>
  </si>
  <si>
    <t>BGB86</t>
  </si>
  <si>
    <t>BGB87</t>
  </si>
  <si>
    <t>BGB88</t>
  </si>
  <si>
    <t>BGB89</t>
  </si>
  <si>
    <t>BGB90</t>
  </si>
  <si>
    <t>BGB91</t>
  </si>
  <si>
    <t>BGB92</t>
  </si>
  <si>
    <t>BGB93</t>
  </si>
  <si>
    <t>BGB94</t>
  </si>
  <si>
    <t>BGB95</t>
  </si>
  <si>
    <t>BGB96</t>
  </si>
  <si>
    <t>BGB97</t>
  </si>
  <si>
    <t>BGB98</t>
  </si>
  <si>
    <t>BGB99</t>
  </si>
  <si>
    <t>Mechanical
Unit Type</t>
  </si>
  <si>
    <t>Part Number</t>
  </si>
  <si>
    <t>Styles</t>
  </si>
  <si>
    <t>Sequence Header</t>
  </si>
  <si>
    <t>Row Type</t>
  </si>
  <si>
    <t>Start Conditions Header</t>
  </si>
  <si>
    <t>Custom Description</t>
  </si>
  <si>
    <t>Start Conditions</t>
  </si>
  <si>
    <t>Populate sequence sheet
Add conditional formatting to cells to guide user
Add dropdowns for style, sensor type, output, body
Rearrange content of sheets
Protect various cells
Add instructions</t>
  </si>
  <si>
    <t>Style List</t>
  </si>
  <si>
    <t>System Description</t>
  </si>
  <si>
    <t>R2S</t>
  </si>
  <si>
    <t>R2X</t>
  </si>
  <si>
    <t>Actuation Time(s)</t>
  </si>
  <si>
    <t>Abraham Reyes</t>
  </si>
  <si>
    <t>Input from Sequence Detail 
(Copy-Paste Values to Pneumatic Calculator)</t>
  </si>
  <si>
    <t>Controls
Motion 
Group</t>
  </si>
  <si>
    <t>Controls
Unit 
Name</t>
  </si>
  <si>
    <t>Valve 
Part 
Description</t>
  </si>
  <si>
    <t>Valve 
Part 
Number</t>
  </si>
  <si>
    <t>Port 
Size 
(mm)</t>
  </si>
  <si>
    <t>Sensor Group 
Description</t>
  </si>
  <si>
    <t>Range 
(mm)</t>
  </si>
  <si>
    <t>Body 
Style</t>
  </si>
  <si>
    <t>Custom 
Duration</t>
  </si>
  <si>
    <t>Standard 
Action/
Status</t>
  </si>
  <si>
    <t>Actor/Group 
Description</t>
  </si>
  <si>
    <t>Actor/
Group 
Name</t>
  </si>
  <si>
    <t>Valve 
Name</t>
  </si>
  <si>
    <t>Ind. 
Start</t>
  </si>
  <si>
    <t>Motor</t>
  </si>
  <si>
    <t>Cylinder Name</t>
  </si>
  <si>
    <t>Valve Name</t>
  </si>
  <si>
    <t>Sensor Name</t>
  </si>
  <si>
    <t>Mechanical Unit Name</t>
  </si>
  <si>
    <t>Controls Sensor Group</t>
  </si>
  <si>
    <t>Controls Unit Name</t>
  </si>
  <si>
    <t>MotionGroup Description</t>
  </si>
  <si>
    <t>Controls Manifold Name</t>
  </si>
  <si>
    <t>Controls Valve Name</t>
  </si>
  <si>
    <t>Unit Name</t>
  </si>
  <si>
    <t>Step1</t>
  </si>
  <si>
    <t>Step2</t>
  </si>
  <si>
    <t>Step3</t>
  </si>
  <si>
    <t>Step4</t>
  </si>
  <si>
    <t>Step5</t>
  </si>
  <si>
    <t>Fixed State</t>
  </si>
  <si>
    <t>Transition State</t>
  </si>
  <si>
    <t>Aux</t>
  </si>
  <si>
    <t>Wait Conditions</t>
  </si>
  <si>
    <t>PRB</t>
  </si>
  <si>
    <t>VDL</t>
  </si>
  <si>
    <t>Lifter</t>
  </si>
  <si>
    <t>Turntable</t>
  </si>
  <si>
    <t>Trunnion</t>
  </si>
  <si>
    <t>Slide</t>
  </si>
  <si>
    <t>Type</t>
  </si>
  <si>
    <t>Other</t>
  </si>
  <si>
    <t>RoRo</t>
  </si>
  <si>
    <t>APC</t>
  </si>
  <si>
    <t>HomePos</t>
  </si>
  <si>
    <t>MotionGroups</t>
  </si>
  <si>
    <t>Standard Duration</t>
  </si>
  <si>
    <t>Transition States</t>
  </si>
  <si>
    <t>Fixed States</t>
  </si>
  <si>
    <t>Verification</t>
  </si>
  <si>
    <t>Motion Group Name</t>
  </si>
  <si>
    <t>Dep. ID</t>
  </si>
  <si>
    <t>Actor Type</t>
  </si>
  <si>
    <t>Actor/Unit</t>
  </si>
  <si>
    <t>1st Motion</t>
  </si>
  <si>
    <t>2nd Motion</t>
  </si>
  <si>
    <t>3rd Motion</t>
  </si>
  <si>
    <t>4th Motion</t>
  </si>
  <si>
    <t>5th Motion</t>
  </si>
  <si>
    <t>6th Motion</t>
  </si>
  <si>
    <t>.</t>
  </si>
  <si>
    <t>Tubular</t>
  </si>
  <si>
    <t>CylinderUnits</t>
  </si>
  <si>
    <t>SensorUnits</t>
  </si>
  <si>
    <t>R2S Sequence</t>
  </si>
  <si>
    <t>End Of Sequence</t>
  </si>
  <si>
    <t>SY7200-5U1-NA</t>
  </si>
  <si>
    <t>=KJ1</t>
  </si>
  <si>
    <t>-QMB1</t>
  </si>
  <si>
    <t>-QMB2</t>
  </si>
  <si>
    <t>-QMB3</t>
  </si>
  <si>
    <t>-QMB4</t>
  </si>
  <si>
    <t>=MM1</t>
  </si>
  <si>
    <t>=MM2</t>
  </si>
  <si>
    <t>=MM3</t>
  </si>
  <si>
    <t>=MM4</t>
  </si>
  <si>
    <t>-MMB1</t>
  </si>
  <si>
    <t>-MMB2</t>
  </si>
  <si>
    <t>Select this cell if changes were made in existing units on Cylinders/Sensors tables</t>
  </si>
  <si>
    <t>Add more recommendations on Intructions Tab, 
Update Cover Page with a colum with Date info,
Remove Tooling View from Cylinder and Sensor Detail Tabs,
Add Motion (orange section) into Cylinders Table, 
Add Valve Name and Cylinder Name into Cylinders Table,
Add Sensor Name into Sensors Table,
Adjust column size for visual aid overall,
Add Tooling Detail tab and add buttons to auto generate Cylinder and Sensor Indicators,
Adjust formulas and dropdown selections on Sequence Detail,
Add Validation tab and Verification PB.</t>
  </si>
  <si>
    <t>Add password protection on Cylinder Detail and Sensor Detail tabs to prevent malfunction on the EEC import</t>
  </si>
  <si>
    <t>Allow edit cells content on Cylinder Detail and Sensor Detail, Add Clear Indicators button on Tooling Detail Tab</t>
  </si>
  <si>
    <t>Comments</t>
  </si>
  <si>
    <t>Front Floor</t>
  </si>
  <si>
    <t>wei  jiang</t>
  </si>
  <si>
    <t>U5.1L</t>
  </si>
  <si>
    <t>U5.1R</t>
  </si>
  <si>
    <t>OK</t>
    <phoneticPr fontId="24" type="noConversion"/>
  </si>
  <si>
    <t>U2.1L</t>
  </si>
  <si>
    <t>U3.1L</t>
  </si>
  <si>
    <t>U4.1L</t>
  </si>
  <si>
    <t>U6.1L</t>
  </si>
  <si>
    <t>U7.1L</t>
  </si>
  <si>
    <t>U10.1</t>
  </si>
  <si>
    <t>U11.1</t>
  </si>
  <si>
    <t>U2.1R</t>
  </si>
  <si>
    <t>U3.1R</t>
  </si>
  <si>
    <t>U4.1R</t>
  </si>
  <si>
    <t>U6.1R</t>
  </si>
  <si>
    <t>U7.1R</t>
  </si>
  <si>
    <t>U6.2L</t>
  </si>
  <si>
    <t>U6.2R</t>
  </si>
  <si>
    <t>-MMB3</t>
  </si>
  <si>
    <t>-MMB4</t>
  </si>
  <si>
    <t>-MMB5</t>
  </si>
  <si>
    <t>-MMB6</t>
  </si>
  <si>
    <t>010</t>
  </si>
  <si>
    <t>Station 010</t>
  </si>
  <si>
    <t>U8.1L</t>
  </si>
  <si>
    <t>U9.1L</t>
  </si>
  <si>
    <t>U8.1R</t>
  </si>
  <si>
    <t>U9.1R</t>
  </si>
  <si>
    <t>CKZP57LTF-50P</t>
  </si>
  <si>
    <t>U10.2</t>
  </si>
  <si>
    <t>U11.2</t>
  </si>
  <si>
    <t>FFLR</t>
    <phoneticPr fontId="46" type="noConversion"/>
  </si>
  <si>
    <t>BL03</t>
    <phoneticPr fontId="46" type="noConversion"/>
  </si>
  <si>
    <t>Mino</t>
    <phoneticPr fontId="46" type="noConversion"/>
  </si>
  <si>
    <t>Abraham Reyes</t>
    <phoneticPr fontId="46" type="noConversion"/>
  </si>
  <si>
    <t>1/15/2025</t>
  </si>
  <si>
    <t>wei jiang</t>
  </si>
  <si>
    <t>Release Version</t>
  </si>
  <si>
    <t>1/15/2025</t>
    <phoneticPr fontId="46" type="noConversion"/>
  </si>
  <si>
    <t>U3.1L</t>
    <phoneticPr fontId="24" type="noConversion"/>
  </si>
  <si>
    <t>CKZ5N63TF-105DTF</t>
  </si>
  <si>
    <t>CKZ5N63TF-105DTF</t>
    <phoneticPr fontId="24" type="noConversion"/>
  </si>
  <si>
    <t>CKZ5N63TF-120DTF</t>
  </si>
  <si>
    <t>CKZ5N63TF-120DTF</t>
    <phoneticPr fontId="24" type="noConversion"/>
  </si>
  <si>
    <t>U4.1L</t>
    <phoneticPr fontId="24" type="noConversion"/>
  </si>
  <si>
    <t>U5.1L</t>
    <phoneticPr fontId="24" type="noConversion"/>
  </si>
  <si>
    <t>U6.1L</t>
    <phoneticPr fontId="24" type="noConversion"/>
  </si>
  <si>
    <t>U6.2L</t>
    <phoneticPr fontId="24" type="noConversion"/>
  </si>
  <si>
    <t>CKZP57LTF-50P</t>
    <phoneticPr fontId="24" type="noConversion"/>
  </si>
  <si>
    <t>CKZ5N63TF-90DTF</t>
  </si>
  <si>
    <t>CKZ5N63TF-90DTF</t>
    <phoneticPr fontId="24" type="noConversion"/>
  </si>
  <si>
    <t>U8.1L</t>
    <phoneticPr fontId="24" type="noConversion"/>
  </si>
  <si>
    <t>U7.1L</t>
    <phoneticPr fontId="24" type="noConversion"/>
  </si>
  <si>
    <t>U9.1L</t>
    <phoneticPr fontId="24" type="noConversion"/>
  </si>
  <si>
    <t>U12.1L</t>
  </si>
  <si>
    <t>U12.1L</t>
    <phoneticPr fontId="24" type="noConversion"/>
  </si>
  <si>
    <t>U10.1</t>
    <phoneticPr fontId="24" type="noConversion"/>
  </si>
  <si>
    <t>U10.2</t>
    <phoneticPr fontId="24" type="noConversion"/>
  </si>
  <si>
    <t>U11.1</t>
    <phoneticPr fontId="24" type="noConversion"/>
  </si>
  <si>
    <t>U11.2</t>
    <phoneticPr fontId="24" type="noConversion"/>
  </si>
  <si>
    <t>U12.2L</t>
  </si>
  <si>
    <t>U12.2L</t>
    <phoneticPr fontId="24" type="noConversion"/>
  </si>
  <si>
    <t>U6.3L</t>
  </si>
  <si>
    <t>U6.3L</t>
    <phoneticPr fontId="24" type="noConversion"/>
  </si>
  <si>
    <t>U12.2R</t>
  </si>
  <si>
    <t>U12.2R</t>
    <phoneticPr fontId="24" type="noConversion"/>
  </si>
  <si>
    <t>U6.3R</t>
  </si>
  <si>
    <t>U6.3R</t>
    <phoneticPr fontId="24" type="noConversion"/>
  </si>
  <si>
    <t>U2.1R</t>
    <phoneticPr fontId="24" type="noConversion"/>
  </si>
  <si>
    <t>U3.1R</t>
    <phoneticPr fontId="24" type="noConversion"/>
  </si>
  <si>
    <t>U4.1R</t>
    <phoneticPr fontId="24" type="noConversion"/>
  </si>
  <si>
    <t>U5.1R</t>
    <phoneticPr fontId="24" type="noConversion"/>
  </si>
  <si>
    <t>U6.1R</t>
    <phoneticPr fontId="24" type="noConversion"/>
  </si>
  <si>
    <t>U6.2R</t>
    <phoneticPr fontId="24" type="noConversion"/>
  </si>
  <si>
    <t>U7.1R</t>
    <phoneticPr fontId="24" type="noConversion"/>
  </si>
  <si>
    <t>U8.1R</t>
    <phoneticPr fontId="24" type="noConversion"/>
  </si>
  <si>
    <t>U9.1R</t>
    <phoneticPr fontId="24" type="noConversion"/>
  </si>
  <si>
    <t>U12.1R</t>
  </si>
  <si>
    <t>U12.1R</t>
    <phoneticPr fontId="24" type="noConversion"/>
  </si>
  <si>
    <t>Robots</t>
    <phoneticPr fontId="24" type="noConversion"/>
  </si>
  <si>
    <t>Robot System 1</t>
    <phoneticPr fontId="46" type="noConversion"/>
  </si>
  <si>
    <t>U10.3</t>
  </si>
  <si>
    <t>U10.3</t>
    <phoneticPr fontId="24" type="noConversion"/>
  </si>
  <si>
    <t>U11.3</t>
  </si>
  <si>
    <t>U11.3</t>
    <phoneticPr fontId="24" type="noConversion"/>
  </si>
  <si>
    <t>2/17/2025</t>
    <phoneticPr fontId="46" type="noConversion"/>
  </si>
  <si>
    <t>Jian Peng</t>
    <phoneticPr fontId="46" type="noConversion"/>
  </si>
  <si>
    <t>Update Sequence Detail</t>
    <phoneticPr fontId="46" type="noConversion"/>
  </si>
  <si>
    <t>Robot +FFLR.007=HL9_UB1 Leave</t>
    <phoneticPr fontId="24" type="noConversion"/>
  </si>
  <si>
    <t>Robot +FFLR.006=HL9_UB1 Leave</t>
    <phoneticPr fontId="24" type="noConversion"/>
  </si>
  <si>
    <t>2/22/2025</t>
    <phoneticPr fontId="46" type="noConversion"/>
  </si>
  <si>
    <t>Update Cylinder Detail</t>
    <phoneticPr fontId="46" type="noConversion"/>
  </si>
  <si>
    <t>D-P3DWASE</t>
    <phoneticPr fontId="24" type="noConversion"/>
  </si>
  <si>
    <t>MGPM50TF-50Z</t>
    <phoneticPr fontId="24" type="noConversion"/>
  </si>
  <si>
    <t>Group 1 Clamps</t>
  </si>
  <si>
    <t>Group 4 Pins</t>
  </si>
  <si>
    <t>-MMB7</t>
  </si>
  <si>
    <t>-MMB8</t>
  </si>
  <si>
    <t>Group 2 Clamps</t>
  </si>
  <si>
    <t>Group 3 Clamps</t>
  </si>
  <si>
    <t>HomePos_R2S</t>
    <phoneticPr fontId="24" type="noConversion"/>
  </si>
  <si>
    <t>ToHomePos_R2S</t>
    <phoneticPr fontId="24" type="noConversion"/>
  </si>
  <si>
    <t>BGB1</t>
    <phoneticPr fontId="24" type="noConversion"/>
  </si>
  <si>
    <t>ToWorkPos1_R2S</t>
    <phoneticPr fontId="24" type="noConversion"/>
  </si>
  <si>
    <t>WorkPos1_R2S</t>
    <phoneticPr fontId="24" type="noConversion"/>
  </si>
  <si>
    <t>Robot FFLR.010=HL1 welding</t>
    <phoneticPr fontId="24" type="noConversion"/>
  </si>
  <si>
    <t>Robot FFLR.010=HL2 welding</t>
    <phoneticPr fontId="24" type="noConversion"/>
  </si>
  <si>
    <t>PANEL - ROCKER LOWER INNER ASSY; LH</t>
    <phoneticPr fontId="24" type="noConversion"/>
  </si>
  <si>
    <t>PANEL - ROCKER LOWER INNER ASSY; RH</t>
    <phoneticPr fontId="24" type="noConversion"/>
  </si>
  <si>
    <t>PANEL - FFLR</t>
    <phoneticPr fontId="24" type="noConversion"/>
  </si>
  <si>
    <t>Robot +FFLR.006=HL9_UB1 Drops PANEL - ROCKER LOWER INNER ASSY; LH</t>
    <phoneticPr fontId="24" type="noConversion"/>
  </si>
  <si>
    <t>Robot +FFLR.006=HL9_UB1 Drops PANEL - ROCKER LOWER INNER ASSY; RH</t>
    <phoneticPr fontId="24" type="noConversion"/>
  </si>
  <si>
    <t>Robot +FFLR.007=HL9_UB1 Drops PANEL - FFLR</t>
    <phoneticPr fontId="24" type="noConversion"/>
  </si>
  <si>
    <t>Robot +FFLR.015=HL9_UB1 pick part FFLR SUB ASM 1 Leave</t>
    <phoneticPr fontId="24" type="noConversion"/>
  </si>
  <si>
    <t>ToToHomePos</t>
    <phoneticPr fontId="24" type="noConversion"/>
  </si>
  <si>
    <t>ToHomePos</t>
    <phoneticPr fontId="24" type="noConversion"/>
  </si>
  <si>
    <t>6/30/2025</t>
    <phoneticPr fontId="46" type="noConversion"/>
  </si>
  <si>
    <t>Wang Jiacheng</t>
    <phoneticPr fontId="46" type="noConversion"/>
  </si>
  <si>
    <t>Changed the sensor sensing name and removed the R2S model</t>
    <phoneticPr fontId="4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</si>
</sst>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47">
    <font>
      <sz val="12"/>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0"/>
      <name val="Arial"/>
      <family val="2"/>
    </font>
    <font>
      <b/>
      <sz val="12"/>
      <color theme="1"/>
      <name val="等线"/>
      <family val="2"/>
      <scheme val="minor"/>
    </font>
    <font>
      <sz val="8"/>
      <color theme="1"/>
      <name val="Arial"/>
      <family val="2"/>
    </font>
    <font>
      <b/>
      <sz val="8"/>
      <color theme="0"/>
      <name val="Arial"/>
      <family val="2"/>
    </font>
    <font>
      <b/>
      <sz val="10"/>
      <name val="Arial"/>
      <family val="2"/>
    </font>
    <font>
      <sz val="9"/>
      <name val="Arial"/>
      <family val="2"/>
    </font>
    <font>
      <b/>
      <sz val="10"/>
      <color theme="0"/>
      <name val="Arial"/>
      <family val="2"/>
    </font>
    <font>
      <b/>
      <sz val="18"/>
      <color theme="1" tint="0.14999847407452621"/>
      <name val="Arial"/>
      <family val="2"/>
    </font>
    <font>
      <sz val="9"/>
      <color theme="0"/>
      <name val="Arial"/>
      <family val="2"/>
    </font>
    <font>
      <sz val="9"/>
      <name val="Larsseit"/>
      <family val="3"/>
    </font>
    <font>
      <sz val="12"/>
      <color theme="1"/>
      <name val="Larsseit"/>
      <family val="3"/>
    </font>
    <font>
      <sz val="12"/>
      <color theme="1"/>
      <name val="Larsseit Light"/>
      <family val="3"/>
    </font>
    <font>
      <sz val="12"/>
      <color theme="1"/>
      <name val="Söhne Kräftig"/>
      <family val="2"/>
    </font>
    <font>
      <sz val="12"/>
      <color theme="1"/>
      <name val="Söhne Leicht"/>
      <family val="2"/>
    </font>
    <font>
      <sz val="9"/>
      <name val="Söhne Kräftig"/>
      <family val="2"/>
    </font>
    <font>
      <sz val="20"/>
      <color theme="1" tint="0.14999847407452621"/>
      <name val="Söhne Halbfett"/>
      <family val="2"/>
    </font>
    <font>
      <sz val="20"/>
      <color theme="1" tint="0.14999847407452621"/>
      <name val="Söhne Kräftig"/>
      <family val="2"/>
    </font>
    <font>
      <sz val="20"/>
      <color theme="1"/>
      <name val="Söhne Kräftig"/>
      <family val="2"/>
    </font>
    <font>
      <sz val="8"/>
      <name val="等线"/>
      <family val="2"/>
      <scheme val="minor"/>
    </font>
    <font>
      <b/>
      <sz val="12"/>
      <color theme="0"/>
      <name val="等线"/>
      <family val="2"/>
      <scheme val="minor"/>
    </font>
    <font>
      <sz val="12"/>
      <color theme="0"/>
      <name val="等线"/>
      <family val="2"/>
      <scheme val="minor"/>
    </font>
    <font>
      <sz val="8"/>
      <name val="Arial"/>
      <family val="2"/>
    </font>
    <font>
      <sz val="9"/>
      <color indexed="81"/>
      <name val="Tahoma"/>
      <family val="2"/>
    </font>
    <font>
      <sz val="8"/>
      <name val="Söhne Kräftig"/>
      <family val="2"/>
    </font>
    <font>
      <sz val="9"/>
      <color theme="1"/>
      <name val="Arial"/>
      <family val="2"/>
    </font>
    <font>
      <b/>
      <sz val="9"/>
      <name val="Arial"/>
      <family val="2"/>
    </font>
    <font>
      <sz val="8"/>
      <color rgb="FF000000"/>
      <name val="Arial"/>
      <family val="2"/>
    </font>
    <font>
      <b/>
      <sz val="10"/>
      <color theme="0" tint="-0.249977111117893"/>
      <name val="Arial"/>
      <family val="2"/>
    </font>
    <font>
      <sz val="8"/>
      <color theme="0" tint="-0.249977111117893"/>
      <name val="Arial"/>
      <family val="2"/>
    </font>
    <font>
      <b/>
      <sz val="9"/>
      <color theme="0"/>
      <name val="Arial"/>
      <family val="2"/>
    </font>
    <font>
      <b/>
      <sz val="12"/>
      <color theme="0"/>
      <name val="Arial"/>
      <family val="2"/>
    </font>
    <font>
      <b/>
      <sz val="16"/>
      <color theme="1"/>
      <name val="等线"/>
      <family val="2"/>
      <scheme val="minor"/>
    </font>
    <font>
      <b/>
      <sz val="9"/>
      <color indexed="81"/>
      <name val="Tahoma"/>
      <family val="2"/>
    </font>
    <font>
      <b/>
      <sz val="8"/>
      <name val="Arial"/>
      <family val="2"/>
    </font>
    <font>
      <b/>
      <sz val="16"/>
      <name val="等线"/>
      <family val="2"/>
      <scheme val="minor"/>
    </font>
    <font>
      <sz val="8"/>
      <color theme="1"/>
      <name val="等线"/>
      <family val="2"/>
      <scheme val="minor"/>
    </font>
    <font>
      <sz val="9"/>
      <color theme="1"/>
      <name val="等线"/>
      <family val="2"/>
      <scheme val="minor"/>
    </font>
    <font>
      <sz val="12"/>
      <name val="等线"/>
      <family val="2"/>
      <scheme val="minor"/>
    </font>
    <font>
      <b/>
      <sz val="12"/>
      <name val="等线"/>
      <family val="2"/>
      <scheme val="minor"/>
    </font>
    <font>
      <b/>
      <sz val="12"/>
      <color rgb="FF000000"/>
      <name val="Calibri"/>
      <family val="2"/>
    </font>
    <font>
      <sz val="9"/>
      <name val="等线"/>
      <family val="3"/>
      <charset val="134"/>
      <scheme val="minor"/>
    </font>
  </fonts>
  <fills count="22">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1" tint="0.249977111117893"/>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7" tint="-0.499984740745262"/>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39997558519241921"/>
        <bgColor indexed="64"/>
      </patternFill>
    </fill>
    <fill>
      <patternFill patternType="solid">
        <fgColor theme="5"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00B0F0"/>
        <bgColor indexed="64"/>
      </patternFill>
    </fill>
    <fill>
      <patternFill patternType="solid">
        <fgColor rgb="FF92D050"/>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7999816888943144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1"/>
      </left>
      <right/>
      <top/>
      <bottom/>
      <diagonal/>
    </border>
    <border>
      <left/>
      <right/>
      <top style="thin">
        <color auto="1"/>
      </top>
      <bottom style="thin">
        <color auto="1"/>
      </bottom>
      <diagonal/>
    </border>
    <border>
      <left/>
      <right style="thin">
        <color indexed="64"/>
      </right>
      <top/>
      <bottom/>
      <diagonal/>
    </border>
    <border>
      <left style="thin">
        <color indexed="64"/>
      </left>
      <right style="thin">
        <color indexed="64"/>
      </right>
      <top style="thin">
        <color indexed="64"/>
      </top>
      <bottom/>
      <diagonal/>
    </border>
    <border>
      <left style="thin">
        <color theme="1"/>
      </left>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tint="0.499984740745262"/>
      </left>
      <right style="thin">
        <color theme="1" tint="0.499984740745262"/>
      </right>
      <top/>
      <bottom/>
      <diagonal/>
    </border>
    <border>
      <left/>
      <right/>
      <top style="thin">
        <color theme="1" tint="0.499984740745262"/>
      </top>
      <bottom style="thin">
        <color theme="1" tint="0.499984740745262"/>
      </bottom>
      <diagonal/>
    </border>
    <border>
      <left/>
      <right style="thin">
        <color indexed="64"/>
      </right>
      <top style="thin">
        <color indexed="64"/>
      </top>
      <bottom style="thin">
        <color indexed="64"/>
      </bottom>
      <diagonal/>
    </border>
    <border>
      <left style="thin">
        <color theme="1" tint="0.499984740745262"/>
      </left>
      <right style="thin">
        <color theme="1" tint="0.499984740745262"/>
      </right>
      <top/>
      <bottom style="thin">
        <color rgb="FF808080"/>
      </bottom>
      <diagonal/>
    </border>
    <border>
      <left style="thin">
        <color theme="1"/>
      </left>
      <right style="thin">
        <color theme="1"/>
      </right>
      <top style="thin">
        <color theme="1"/>
      </top>
      <bottom/>
      <diagonal/>
    </border>
    <border>
      <left style="thin">
        <color indexed="64"/>
      </left>
      <right style="thin">
        <color indexed="64"/>
      </right>
      <top style="thin">
        <color theme="1"/>
      </top>
      <bottom/>
      <diagonal/>
    </border>
    <border>
      <left style="thin">
        <color indexed="64"/>
      </left>
      <right style="thin">
        <color indexed="64"/>
      </right>
      <top style="thin">
        <color theme="1"/>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style="thin">
        <color theme="1"/>
      </right>
      <top/>
      <bottom style="thin">
        <color theme="1"/>
      </bottom>
      <diagonal/>
    </border>
    <border>
      <left style="thin">
        <color theme="1" tint="0.499984740745262"/>
      </left>
      <right style="thin">
        <color theme="1" tint="0.499984740745262"/>
      </right>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s>
  <cellStyleXfs count="14">
    <xf numFmtId="0" fontId="0" fillId="0" borderId="0"/>
    <xf numFmtId="0" fontId="6" fillId="0" borderId="0"/>
    <xf numFmtId="0" fontId="5" fillId="0" borderId="0"/>
    <xf numFmtId="0" fontId="4" fillId="0" borderId="0"/>
    <xf numFmtId="0" fontId="3"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56">
    <xf numFmtId="0" fontId="0" fillId="0" borderId="0" xfId="0"/>
    <xf numFmtId="0" fontId="0" fillId="2" borderId="0" xfId="0" applyFill="1"/>
    <xf numFmtId="0" fontId="7" fillId="0" borderId="0" xfId="0" applyFont="1" applyAlignment="1">
      <alignment textRotation="45"/>
    </xf>
    <xf numFmtId="0" fontId="10" fillId="2" borderId="0" xfId="1" applyFont="1" applyFill="1" applyAlignment="1" applyProtection="1">
      <alignment horizontal="left" vertical="center" wrapText="1" indent="1"/>
      <protection locked="0"/>
    </xf>
    <xf numFmtId="0" fontId="11" fillId="2" borderId="0" xfId="1" applyFont="1" applyFill="1" applyAlignment="1" applyProtection="1">
      <alignment horizontal="left" indent="1"/>
      <protection locked="0"/>
    </xf>
    <xf numFmtId="0" fontId="0" fillId="0" borderId="12" xfId="0" applyBorder="1"/>
    <xf numFmtId="0" fontId="0" fillId="0" borderId="8" xfId="0" applyBorder="1"/>
    <xf numFmtId="0" fontId="10" fillId="2" borderId="14" xfId="1" applyFont="1" applyFill="1" applyBorder="1" applyAlignment="1" applyProtection="1">
      <alignment horizontal="left" vertical="center" wrapText="1" indent="1"/>
      <protection locked="0"/>
    </xf>
    <xf numFmtId="0" fontId="11" fillId="2" borderId="4" xfId="1" applyFont="1" applyFill="1" applyBorder="1" applyAlignment="1" applyProtection="1">
      <alignment horizontal="left" vertical="center" indent="1"/>
      <protection locked="0"/>
    </xf>
    <xf numFmtId="0" fontId="11" fillId="2" borderId="14" xfId="1" applyFont="1" applyFill="1" applyBorder="1" applyAlignment="1" applyProtection="1">
      <alignment horizontal="left" indent="1"/>
      <protection locked="0"/>
    </xf>
    <xf numFmtId="0" fontId="10" fillId="2" borderId="11" xfId="1" applyFont="1" applyFill="1" applyBorder="1" applyAlignment="1" applyProtection="1">
      <alignment horizontal="left" vertical="center" wrapText="1" indent="1"/>
      <protection locked="0"/>
    </xf>
    <xf numFmtId="0" fontId="11" fillId="2" borderId="13" xfId="1" applyFont="1" applyFill="1" applyBorder="1" applyAlignment="1" applyProtection="1">
      <alignment horizontal="left" indent="1"/>
      <protection locked="0"/>
    </xf>
    <xf numFmtId="0" fontId="25" fillId="6" borderId="1" xfId="0" applyFont="1" applyFill="1" applyBorder="1" applyAlignment="1">
      <alignment textRotation="45"/>
    </xf>
    <xf numFmtId="0" fontId="26" fillId="6" borderId="1" xfId="0" applyFont="1" applyFill="1" applyBorder="1"/>
    <xf numFmtId="0" fontId="25" fillId="5" borderId="1" xfId="0" applyFont="1" applyFill="1" applyBorder="1" applyAlignment="1">
      <alignment textRotation="45"/>
    </xf>
    <xf numFmtId="0" fontId="26" fillId="5" borderId="1" xfId="0" applyFont="1" applyFill="1" applyBorder="1"/>
    <xf numFmtId="0" fontId="25" fillId="7" borderId="1" xfId="0" applyFont="1" applyFill="1" applyBorder="1" applyAlignment="1">
      <alignment textRotation="45"/>
    </xf>
    <xf numFmtId="0" fontId="26" fillId="7" borderId="1" xfId="0" applyFont="1" applyFill="1" applyBorder="1"/>
    <xf numFmtId="0" fontId="25" fillId="8" borderId="1" xfId="0" applyFont="1" applyFill="1" applyBorder="1" applyAlignment="1">
      <alignment textRotation="45"/>
    </xf>
    <xf numFmtId="0" fontId="26" fillId="8" borderId="1" xfId="0" applyFont="1" applyFill="1" applyBorder="1"/>
    <xf numFmtId="0" fontId="25" fillId="9" borderId="1" xfId="0" applyFont="1" applyFill="1" applyBorder="1" applyAlignment="1">
      <alignment textRotation="45"/>
    </xf>
    <xf numFmtId="0" fontId="26" fillId="9" borderId="1" xfId="0" applyFont="1" applyFill="1" applyBorder="1"/>
    <xf numFmtId="0" fontId="26" fillId="9" borderId="7" xfId="0" applyFont="1" applyFill="1" applyBorder="1"/>
    <xf numFmtId="0" fontId="25" fillId="9" borderId="7" xfId="0" applyFont="1" applyFill="1" applyBorder="1" applyAlignment="1">
      <alignment textRotation="45"/>
    </xf>
    <xf numFmtId="0" fontId="25" fillId="10" borderId="1" xfId="0" applyFont="1" applyFill="1" applyBorder="1" applyAlignment="1">
      <alignment textRotation="45"/>
    </xf>
    <xf numFmtId="0" fontId="26" fillId="10" borderId="1" xfId="0" applyFont="1" applyFill="1" applyBorder="1"/>
    <xf numFmtId="0" fontId="25" fillId="11" borderId="1" xfId="0" applyFont="1" applyFill="1" applyBorder="1" applyAlignment="1">
      <alignment textRotation="45"/>
    </xf>
    <xf numFmtId="0" fontId="26" fillId="11" borderId="1" xfId="0" applyFont="1" applyFill="1" applyBorder="1"/>
    <xf numFmtId="0" fontId="0" fillId="0" borderId="0" xfId="0" quotePrefix="1"/>
    <xf numFmtId="0" fontId="8" fillId="2" borderId="25" xfId="0" applyFont="1" applyFill="1" applyBorder="1" applyAlignment="1" applyProtection="1">
      <alignment horizontal="left" vertical="center" indent="1"/>
      <protection locked="0"/>
    </xf>
    <xf numFmtId="0" fontId="8" fillId="2" borderId="7" xfId="0" applyFont="1" applyFill="1" applyBorder="1" applyAlignment="1" applyProtection="1">
      <alignment horizontal="left" vertical="center" indent="1"/>
      <protection locked="0"/>
    </xf>
    <xf numFmtId="0" fontId="8" fillId="2" borderId="3" xfId="0" applyFont="1" applyFill="1" applyBorder="1" applyAlignment="1" applyProtection="1">
      <alignment horizontal="left" vertical="center" indent="1"/>
      <protection locked="0"/>
    </xf>
    <xf numFmtId="0" fontId="8" fillId="2" borderId="1" xfId="0" applyFont="1" applyFill="1" applyBorder="1" applyAlignment="1" applyProtection="1">
      <alignment horizontal="left" vertical="center" wrapText="1" indent="1"/>
      <protection locked="0"/>
    </xf>
    <xf numFmtId="0" fontId="8" fillId="2" borderId="7" xfId="0" applyFont="1" applyFill="1" applyBorder="1" applyAlignment="1" applyProtection="1">
      <alignment horizontal="left" vertical="center" wrapText="1" indent="1"/>
      <protection locked="0"/>
    </xf>
    <xf numFmtId="0" fontId="8" fillId="2" borderId="11" xfId="0" applyFont="1" applyFill="1" applyBorder="1" applyAlignment="1" applyProtection="1">
      <alignment horizontal="left" vertical="center" wrapText="1" indent="1"/>
      <protection locked="0"/>
    </xf>
    <xf numFmtId="0" fontId="8" fillId="2" borderId="5" xfId="0" applyFont="1" applyFill="1" applyBorder="1" applyAlignment="1" applyProtection="1">
      <alignment horizontal="left" vertical="center" wrapText="1" indent="1"/>
      <protection locked="0"/>
    </xf>
    <xf numFmtId="14" fontId="8" fillId="2" borderId="25" xfId="0" applyNumberFormat="1" applyFont="1" applyFill="1" applyBorder="1" applyAlignment="1" applyProtection="1">
      <alignment horizontal="left" vertical="center" indent="1"/>
      <protection locked="0"/>
    </xf>
    <xf numFmtId="9" fontId="8" fillId="2" borderId="25" xfId="0" applyNumberFormat="1" applyFont="1" applyFill="1" applyBorder="1" applyAlignment="1" applyProtection="1">
      <alignment horizontal="left" vertical="center" indent="1"/>
      <protection locked="0"/>
    </xf>
    <xf numFmtId="0" fontId="8" fillId="2" borderId="25" xfId="1" applyFont="1" applyFill="1" applyBorder="1" applyAlignment="1" applyProtection="1">
      <alignment horizontal="left" vertical="center" indent="1"/>
      <protection locked="0"/>
    </xf>
    <xf numFmtId="0" fontId="8" fillId="2" borderId="3" xfId="1" applyFont="1" applyFill="1" applyBorder="1" applyAlignment="1" applyProtection="1">
      <alignment horizontal="left" vertical="center" indent="1"/>
      <protection locked="0"/>
    </xf>
    <xf numFmtId="0" fontId="11" fillId="2" borderId="4" xfId="1" applyFont="1" applyFill="1" applyBorder="1" applyAlignment="1" applyProtection="1">
      <alignment horizontal="left" vertical="center" indent="1"/>
      <protection hidden="1"/>
    </xf>
    <xf numFmtId="0" fontId="21" fillId="2" borderId="4" xfId="1" applyFont="1" applyFill="1" applyBorder="1" applyAlignment="1" applyProtection="1">
      <alignment horizontal="left" vertical="center" indent="1"/>
      <protection hidden="1"/>
    </xf>
    <xf numFmtId="0" fontId="11" fillId="2" borderId="0" xfId="1" applyFont="1" applyFill="1" applyAlignment="1" applyProtection="1">
      <alignment horizontal="left" indent="1"/>
      <protection hidden="1"/>
    </xf>
    <xf numFmtId="0" fontId="13" fillId="2" borderId="4" xfId="1" applyFont="1" applyFill="1" applyBorder="1" applyAlignment="1" applyProtection="1">
      <alignment horizontal="left" vertical="center" indent="1"/>
      <protection hidden="1"/>
    </xf>
    <xf numFmtId="0" fontId="20" fillId="2" borderId="4" xfId="1" applyFont="1" applyFill="1" applyBorder="1" applyAlignment="1" applyProtection="1">
      <alignment horizontal="left" vertical="center" indent="1"/>
      <protection hidden="1"/>
    </xf>
    <xf numFmtId="0" fontId="11" fillId="2" borderId="4" xfId="1" applyFont="1" applyFill="1" applyBorder="1" applyAlignment="1" applyProtection="1">
      <alignment horizontal="left" vertical="center" wrapText="1" indent="1"/>
      <protection hidden="1"/>
    </xf>
    <xf numFmtId="0" fontId="7" fillId="2" borderId="0" xfId="0" applyFont="1" applyFill="1" applyProtection="1">
      <protection hidden="1"/>
    </xf>
    <xf numFmtId="0" fontId="0" fillId="2" borderId="0" xfId="0" applyFill="1" applyProtection="1">
      <protection hidden="1"/>
    </xf>
    <xf numFmtId="0" fontId="22" fillId="2" borderId="0" xfId="1" applyFont="1" applyFill="1" applyAlignment="1" applyProtection="1">
      <alignment vertical="center"/>
      <protection hidden="1"/>
    </xf>
    <xf numFmtId="0" fontId="11" fillId="2" borderId="4" xfId="1" applyFont="1" applyFill="1" applyBorder="1" applyAlignment="1" applyProtection="1">
      <alignment vertical="center"/>
      <protection hidden="1"/>
    </xf>
    <xf numFmtId="0" fontId="11" fillId="2" borderId="4" xfId="1" applyFont="1" applyFill="1" applyBorder="1" applyAlignment="1" applyProtection="1">
      <alignment horizontal="left" vertical="center" indent="1"/>
      <protection locked="0" hidden="1"/>
    </xf>
    <xf numFmtId="0" fontId="22" fillId="2" borderId="4" xfId="1" applyFont="1" applyFill="1" applyBorder="1" applyAlignment="1" applyProtection="1">
      <alignment horizontal="left" vertical="center" indent="1"/>
      <protection locked="0" hidden="1"/>
    </xf>
    <xf numFmtId="0" fontId="11" fillId="2" borderId="4" xfId="1" applyFont="1" applyFill="1" applyBorder="1" applyAlignment="1" applyProtection="1">
      <alignment horizontal="left" vertical="center" wrapText="1" indent="1"/>
      <protection locked="0" hidden="1"/>
    </xf>
    <xf numFmtId="0" fontId="11" fillId="2" borderId="0" xfId="1" applyFont="1" applyFill="1" applyAlignment="1" applyProtection="1">
      <alignment horizontal="left" indent="1"/>
      <protection locked="0" hidden="1"/>
    </xf>
    <xf numFmtId="0" fontId="11" fillId="2" borderId="0" xfId="1" applyFont="1" applyFill="1" applyAlignment="1" applyProtection="1">
      <alignment horizontal="left" vertical="center" indent="1"/>
      <protection hidden="1"/>
    </xf>
    <xf numFmtId="0" fontId="29" fillId="2" borderId="0" xfId="1" applyFont="1" applyFill="1" applyAlignment="1" applyProtection="1">
      <alignment vertical="center"/>
      <protection hidden="1"/>
    </xf>
    <xf numFmtId="0" fontId="11" fillId="2" borderId="0" xfId="1" applyFont="1" applyFill="1" applyAlignment="1" applyProtection="1">
      <alignment vertical="center"/>
      <protection hidden="1"/>
    </xf>
    <xf numFmtId="0" fontId="11" fillId="2" borderId="0" xfId="1" applyFont="1" applyFill="1" applyAlignment="1" applyProtection="1">
      <alignment horizontal="left" vertical="center" indent="1"/>
      <protection locked="0" hidden="1"/>
    </xf>
    <xf numFmtId="0" fontId="6" fillId="2" borderId="0" xfId="1" applyFill="1" applyAlignment="1" applyProtection="1">
      <alignment horizontal="left" wrapText="1" indent="1"/>
      <protection locked="0" hidden="1"/>
    </xf>
    <xf numFmtId="0" fontId="12" fillId="2" borderId="0" xfId="0" applyFont="1" applyFill="1" applyAlignment="1" applyProtection="1">
      <alignment horizontal="center" vertical="center"/>
      <protection locked="0" hidden="1"/>
    </xf>
    <xf numFmtId="0" fontId="33" fillId="4" borderId="0" xfId="4" applyFont="1" applyFill="1" applyAlignment="1" applyProtection="1">
      <alignment horizontal="left" vertical="center" indent="1"/>
      <protection hidden="1"/>
    </xf>
    <xf numFmtId="0" fontId="12" fillId="0" borderId="0" xfId="4" applyFont="1" applyAlignment="1" applyProtection="1">
      <alignment horizontal="left" vertical="center" indent="1"/>
      <protection locked="0" hidden="1"/>
    </xf>
    <xf numFmtId="0" fontId="12" fillId="3" borderId="13" xfId="1" applyFont="1" applyFill="1" applyBorder="1" applyAlignment="1" applyProtection="1">
      <alignment horizontal="left" vertical="center" wrapText="1" indent="1"/>
      <protection locked="0" hidden="1"/>
    </xf>
    <xf numFmtId="0" fontId="12" fillId="3" borderId="6" xfId="1" applyFont="1" applyFill="1" applyBorder="1" applyAlignment="1" applyProtection="1">
      <alignment horizontal="left" vertical="center" wrapText="1" indent="1"/>
      <protection locked="0" hidden="1"/>
    </xf>
    <xf numFmtId="0" fontId="12" fillId="2" borderId="0" xfId="0" applyFont="1" applyFill="1" applyAlignment="1" applyProtection="1">
      <alignment horizontal="center" vertical="center"/>
      <protection hidden="1"/>
    </xf>
    <xf numFmtId="0" fontId="14" fillId="14" borderId="15" xfId="4" applyFont="1" applyFill="1" applyBorder="1" applyAlignment="1" applyProtection="1">
      <alignment horizontal="left" vertical="center" indent="1"/>
      <protection hidden="1"/>
    </xf>
    <xf numFmtId="0" fontId="34" fillId="2" borderId="15" xfId="0" quotePrefix="1" applyFont="1" applyFill="1" applyBorder="1" applyAlignment="1" applyProtection="1">
      <alignment horizontal="left" vertical="center" indent="1"/>
      <protection hidden="1"/>
    </xf>
    <xf numFmtId="0" fontId="8" fillId="2" borderId="0" xfId="0" applyFont="1" applyFill="1" applyAlignment="1" applyProtection="1">
      <alignment horizontal="left" vertical="center" indent="1"/>
      <protection locked="0" hidden="1"/>
    </xf>
    <xf numFmtId="0" fontId="34" fillId="2" borderId="15" xfId="0" applyFont="1" applyFill="1" applyBorder="1" applyAlignment="1" applyProtection="1">
      <alignment horizontal="left" vertical="center" indent="1"/>
      <protection hidden="1"/>
    </xf>
    <xf numFmtId="49" fontId="34" fillId="2" borderId="15" xfId="0" quotePrefix="1" applyNumberFormat="1" applyFont="1" applyFill="1" applyBorder="1" applyAlignment="1" applyProtection="1">
      <alignment horizontal="left" vertical="center" indent="1"/>
      <protection hidden="1"/>
    </xf>
    <xf numFmtId="14" fontId="8" fillId="2" borderId="0" xfId="0" applyNumberFormat="1" applyFont="1" applyFill="1" applyAlignment="1" applyProtection="1">
      <alignment horizontal="left" vertical="center" indent="1"/>
      <protection locked="0" hidden="1"/>
    </xf>
    <xf numFmtId="0" fontId="14" fillId="14" borderId="15" xfId="4" applyFont="1" applyFill="1" applyBorder="1" applyAlignment="1" applyProtection="1">
      <alignment horizontal="left" vertical="center" wrapText="1" indent="1"/>
      <protection hidden="1"/>
    </xf>
    <xf numFmtId="9" fontId="8" fillId="2" borderId="0" xfId="0" applyNumberFormat="1" applyFont="1" applyFill="1" applyAlignment="1" applyProtection="1">
      <alignment horizontal="left" vertical="center" indent="1"/>
      <protection locked="0" hidden="1"/>
    </xf>
    <xf numFmtId="0" fontId="9" fillId="2" borderId="0" xfId="1" applyFont="1" applyFill="1" applyAlignment="1" applyProtection="1">
      <alignment horizontal="center" vertical="center" wrapText="1"/>
      <protection locked="0" hidden="1"/>
    </xf>
    <xf numFmtId="9" fontId="34" fillId="2" borderId="15" xfId="0" applyNumberFormat="1" applyFont="1" applyFill="1" applyBorder="1" applyAlignment="1" applyProtection="1">
      <alignment horizontal="left" vertical="center" indent="1"/>
      <protection hidden="1"/>
    </xf>
    <xf numFmtId="0" fontId="12" fillId="2" borderId="0" xfId="1" applyFont="1" applyFill="1" applyAlignment="1" applyProtection="1">
      <alignment horizontal="left" vertical="center" wrapText="1" indent="1"/>
      <protection locked="0" hidden="1"/>
    </xf>
    <xf numFmtId="14" fontId="34" fillId="2" borderId="15" xfId="0" applyNumberFormat="1" applyFont="1" applyFill="1" applyBorder="1" applyAlignment="1" applyProtection="1">
      <alignment horizontal="left" vertical="center" indent="1"/>
      <protection hidden="1"/>
    </xf>
    <xf numFmtId="0" fontId="11" fillId="2" borderId="0" xfId="1" applyFont="1" applyFill="1" applyProtection="1">
      <protection locked="0" hidden="1"/>
    </xf>
    <xf numFmtId="0" fontId="11" fillId="2" borderId="0" xfId="1" applyFont="1" applyFill="1" applyProtection="1">
      <protection hidden="1"/>
    </xf>
    <xf numFmtId="0" fontId="31" fillId="2" borderId="0" xfId="1" applyFont="1" applyFill="1" applyProtection="1">
      <protection hidden="1"/>
    </xf>
    <xf numFmtId="0" fontId="8" fillId="2" borderId="0" xfId="0" applyFont="1" applyFill="1" applyAlignment="1" applyProtection="1">
      <alignment horizontal="left" vertical="center" wrapText="1" indent="1"/>
      <protection locked="0" hidden="1"/>
    </xf>
    <xf numFmtId="0" fontId="8" fillId="2" borderId="15" xfId="0" quotePrefix="1" applyFont="1" applyFill="1" applyBorder="1" applyAlignment="1" applyProtection="1">
      <alignment horizontal="left" vertical="center" indent="1"/>
      <protection locked="0"/>
    </xf>
    <xf numFmtId="0" fontId="8" fillId="2" borderId="15" xfId="0" applyFont="1" applyFill="1" applyBorder="1" applyAlignment="1" applyProtection="1">
      <alignment horizontal="left" vertical="center" indent="1"/>
      <protection locked="0"/>
    </xf>
    <xf numFmtId="49" fontId="8" fillId="2" borderId="15" xfId="0" quotePrefix="1" applyNumberFormat="1" applyFont="1" applyFill="1" applyBorder="1" applyAlignment="1" applyProtection="1">
      <alignment horizontal="left" vertical="center" indent="1"/>
      <protection locked="0"/>
    </xf>
    <xf numFmtId="9" fontId="8" fillId="2" borderId="15" xfId="0" applyNumberFormat="1" applyFont="1" applyFill="1" applyBorder="1" applyAlignment="1" applyProtection="1">
      <alignment horizontal="left" vertical="center" indent="1"/>
      <protection locked="0"/>
    </xf>
    <xf numFmtId="14" fontId="8" fillId="2" borderId="15" xfId="0" applyNumberFormat="1" applyFont="1" applyFill="1" applyBorder="1" applyAlignment="1" applyProtection="1">
      <alignment horizontal="left" vertical="center" indent="1"/>
      <protection locked="0"/>
    </xf>
    <xf numFmtId="0" fontId="12" fillId="0" borderId="0" xfId="4" applyFont="1" applyAlignment="1" applyProtection="1">
      <alignment horizontal="left" vertical="center" indent="1"/>
      <protection hidden="1"/>
    </xf>
    <xf numFmtId="0" fontId="8" fillId="13" borderId="15" xfId="0" quotePrefix="1" applyFont="1" applyFill="1" applyBorder="1" applyAlignment="1" applyProtection="1">
      <alignment horizontal="left" vertical="center" indent="1"/>
      <protection hidden="1"/>
    </xf>
    <xf numFmtId="0" fontId="8" fillId="2" borderId="0" xfId="0" applyFont="1" applyFill="1" applyAlignment="1" applyProtection="1">
      <alignment horizontal="left" vertical="center" indent="1"/>
      <protection hidden="1"/>
    </xf>
    <xf numFmtId="0" fontId="8" fillId="13" borderId="15" xfId="0" applyFont="1" applyFill="1" applyBorder="1" applyAlignment="1" applyProtection="1">
      <alignment horizontal="left" vertical="center" indent="1"/>
      <protection hidden="1"/>
    </xf>
    <xf numFmtId="14" fontId="8" fillId="2" borderId="0" xfId="0" applyNumberFormat="1" applyFont="1" applyFill="1" applyAlignment="1" applyProtection="1">
      <alignment horizontal="left" vertical="center" indent="1"/>
      <protection hidden="1"/>
    </xf>
    <xf numFmtId="9" fontId="8" fillId="2" borderId="0" xfId="0" applyNumberFormat="1" applyFont="1" applyFill="1" applyAlignment="1" applyProtection="1">
      <alignment horizontal="left" vertical="center" indent="1"/>
      <protection hidden="1"/>
    </xf>
    <xf numFmtId="0" fontId="6" fillId="2" borderId="0" xfId="1" applyFill="1" applyAlignment="1" applyProtection="1">
      <alignment horizontal="left" wrapText="1" indent="1"/>
      <protection hidden="1"/>
    </xf>
    <xf numFmtId="0" fontId="9" fillId="2" borderId="0" xfId="1" applyFont="1" applyFill="1" applyAlignment="1" applyProtection="1">
      <alignment horizontal="center" vertical="center" wrapText="1"/>
      <protection hidden="1"/>
    </xf>
    <xf numFmtId="9" fontId="8" fillId="13" borderId="15" xfId="0" applyNumberFormat="1" applyFont="1" applyFill="1" applyBorder="1" applyAlignment="1" applyProtection="1">
      <alignment horizontal="left" vertical="center" indent="1"/>
      <protection hidden="1"/>
    </xf>
    <xf numFmtId="14" fontId="8" fillId="13" borderId="15" xfId="0" applyNumberFormat="1" applyFont="1" applyFill="1" applyBorder="1" applyAlignment="1" applyProtection="1">
      <alignment horizontal="left" vertical="center" indent="1"/>
      <protection hidden="1"/>
    </xf>
    <xf numFmtId="0" fontId="11" fillId="2" borderId="0" xfId="1" applyFont="1" applyFill="1" applyAlignment="1" applyProtection="1">
      <alignment horizontal="left" vertical="center" wrapText="1" indent="1"/>
      <protection hidden="1"/>
    </xf>
    <xf numFmtId="0" fontId="0" fillId="0" borderId="0" xfId="0" applyProtection="1">
      <protection hidden="1"/>
    </xf>
    <xf numFmtId="0" fontId="12" fillId="3" borderId="23" xfId="1" applyFont="1" applyFill="1" applyBorder="1" applyAlignment="1" applyProtection="1">
      <alignment horizontal="left" vertical="center" wrapText="1" indent="1"/>
      <protection hidden="1"/>
    </xf>
    <xf numFmtId="0" fontId="27" fillId="2" borderId="0" xfId="1" applyFont="1" applyFill="1" applyAlignment="1" applyProtection="1">
      <alignment horizontal="left" vertical="center" indent="1"/>
      <protection hidden="1"/>
    </xf>
    <xf numFmtId="0" fontId="10" fillId="2" borderId="0" xfId="1" applyFont="1" applyFill="1" applyAlignment="1" applyProtection="1">
      <alignment horizontal="left" vertical="center" indent="1"/>
      <protection hidden="1"/>
    </xf>
    <xf numFmtId="0" fontId="22" fillId="2" borderId="0" xfId="1" applyFont="1" applyFill="1" applyAlignment="1" applyProtection="1">
      <alignment horizontal="left" vertical="center"/>
      <protection hidden="1"/>
    </xf>
    <xf numFmtId="0" fontId="11" fillId="2" borderId="4" xfId="1" applyFont="1" applyFill="1" applyBorder="1" applyAlignment="1" applyProtection="1">
      <alignment horizontal="left" vertical="center"/>
      <protection hidden="1"/>
    </xf>
    <xf numFmtId="0" fontId="29" fillId="2" borderId="0" xfId="1" applyFont="1" applyFill="1" applyAlignment="1" applyProtection="1">
      <alignment horizontal="left" vertical="center"/>
      <protection hidden="1"/>
    </xf>
    <xf numFmtId="0" fontId="11" fillId="2" borderId="0" xfId="1" applyFont="1" applyFill="1" applyAlignment="1" applyProtection="1">
      <alignment horizontal="left" vertical="center"/>
      <protection hidden="1"/>
    </xf>
    <xf numFmtId="0" fontId="11" fillId="2" borderId="0" xfId="1" applyFont="1" applyFill="1" applyAlignment="1" applyProtection="1">
      <alignment horizontal="left"/>
      <protection hidden="1"/>
    </xf>
    <xf numFmtId="0" fontId="31" fillId="2" borderId="0" xfId="1" applyFont="1" applyFill="1" applyAlignment="1" applyProtection="1">
      <alignment horizontal="left"/>
      <protection hidden="1"/>
    </xf>
    <xf numFmtId="0" fontId="11" fillId="2" borderId="0" xfId="1" quotePrefix="1" applyFont="1" applyFill="1" applyAlignment="1" applyProtection="1">
      <alignment horizontal="left"/>
      <protection hidden="1"/>
    </xf>
    <xf numFmtId="0" fontId="15" fillId="2" borderId="4" xfId="1" applyFont="1" applyFill="1" applyBorder="1" applyAlignment="1" applyProtection="1">
      <alignment horizontal="left" vertical="center" indent="1"/>
      <protection hidden="1"/>
    </xf>
    <xf numFmtId="0" fontId="18" fillId="0" borderId="0" xfId="0" applyFont="1" applyAlignment="1" applyProtection="1">
      <alignment horizontal="center" vertical="center"/>
      <protection hidden="1"/>
    </xf>
    <xf numFmtId="0" fontId="16" fillId="0" borderId="0" xfId="0" applyFont="1" applyAlignment="1" applyProtection="1">
      <alignment horizontal="center" vertical="center"/>
      <protection hidden="1"/>
    </xf>
    <xf numFmtId="176" fontId="19" fillId="0" borderId="9" xfId="0" applyNumberFormat="1" applyFont="1" applyBorder="1" applyAlignment="1" applyProtection="1">
      <alignment horizontal="center" vertical="center"/>
      <protection hidden="1"/>
    </xf>
    <xf numFmtId="0" fontId="19" fillId="0" borderId="9" xfId="0" applyFont="1"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9" fillId="0" borderId="9" xfId="0" applyFont="1" applyBorder="1" applyAlignment="1" applyProtection="1">
      <alignment horizontal="center" vertical="center" wrapText="1"/>
      <protection hidden="1"/>
    </xf>
    <xf numFmtId="0" fontId="17" fillId="0" borderId="0" xfId="0" applyFont="1" applyAlignment="1" applyProtection="1">
      <alignment horizontal="center" vertical="center"/>
      <protection hidden="1"/>
    </xf>
    <xf numFmtId="0" fontId="0" fillId="0" borderId="14" xfId="0" applyBorder="1"/>
    <xf numFmtId="0" fontId="12" fillId="3" borderId="23" xfId="1" applyFont="1" applyFill="1" applyBorder="1" applyAlignment="1" applyProtection="1">
      <alignment horizontal="left" vertical="center" wrapText="1"/>
      <protection hidden="1"/>
    </xf>
    <xf numFmtId="0" fontId="35" fillId="3" borderId="23" xfId="1" applyFont="1" applyFill="1" applyBorder="1" applyAlignment="1" applyProtection="1">
      <alignment horizontal="center" vertical="center" wrapText="1"/>
      <protection hidden="1"/>
    </xf>
    <xf numFmtId="0" fontId="12" fillId="3" borderId="23" xfId="1" applyFont="1" applyFill="1" applyBorder="1" applyAlignment="1" applyProtection="1">
      <alignment vertical="center" wrapText="1"/>
      <protection hidden="1"/>
    </xf>
    <xf numFmtId="0" fontId="11" fillId="2" borderId="0" xfId="1" applyFont="1" applyFill="1" applyAlignment="1" applyProtection="1">
      <alignment horizontal="center"/>
      <protection hidden="1"/>
    </xf>
    <xf numFmtId="0" fontId="10" fillId="2" borderId="0" xfId="1" applyFont="1" applyFill="1" applyAlignment="1" applyProtection="1">
      <alignment horizontal="center" vertical="center"/>
      <protection hidden="1"/>
    </xf>
    <xf numFmtId="0" fontId="7" fillId="0" borderId="0" xfId="0" applyFont="1" applyAlignment="1">
      <alignment wrapText="1"/>
    </xf>
    <xf numFmtId="0" fontId="0" fillId="0" borderId="7" xfId="0" applyBorder="1"/>
    <xf numFmtId="0" fontId="0" fillId="0" borderId="28" xfId="0" applyBorder="1"/>
    <xf numFmtId="0" fontId="0" fillId="0" borderId="29" xfId="0" applyBorder="1"/>
    <xf numFmtId="14" fontId="0" fillId="0" borderId="0" xfId="0" applyNumberFormat="1" applyProtection="1">
      <protection hidden="1"/>
    </xf>
    <xf numFmtId="14" fontId="18" fillId="0" borderId="0" xfId="0" applyNumberFormat="1" applyFont="1" applyAlignment="1" applyProtection="1">
      <alignment horizontal="center" vertical="center"/>
      <protection hidden="1"/>
    </xf>
    <xf numFmtId="14" fontId="19" fillId="0" borderId="9" xfId="0" applyNumberFormat="1" applyFont="1" applyBorder="1" applyAlignment="1" applyProtection="1">
      <alignment horizontal="center" vertical="center"/>
      <protection hidden="1"/>
    </xf>
    <xf numFmtId="0" fontId="10" fillId="16" borderId="7" xfId="1" applyFont="1" applyFill="1" applyBorder="1" applyAlignment="1" applyProtection="1">
      <alignment vertical="center" wrapText="1"/>
      <protection hidden="1"/>
    </xf>
    <xf numFmtId="0" fontId="35" fillId="3" borderId="19" xfId="1" applyFont="1" applyFill="1" applyBorder="1" applyAlignment="1" applyProtection="1">
      <alignment vertical="center" wrapText="1"/>
      <protection hidden="1"/>
    </xf>
    <xf numFmtId="0" fontId="35" fillId="3" borderId="19" xfId="1"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0" fontId="12" fillId="3" borderId="23" xfId="1" applyFont="1" applyFill="1" applyBorder="1" applyAlignment="1" applyProtection="1">
      <alignment horizontal="left" vertical="top" wrapText="1"/>
      <protection hidden="1"/>
    </xf>
    <xf numFmtId="0" fontId="9" fillId="3" borderId="23" xfId="1" applyFont="1" applyFill="1" applyBorder="1" applyAlignment="1" applyProtection="1">
      <alignment horizontal="left" vertical="top" wrapText="1"/>
      <protection hidden="1"/>
    </xf>
    <xf numFmtId="0" fontId="35" fillId="3" borderId="19" xfId="1" applyFont="1" applyFill="1" applyBorder="1" applyAlignment="1" applyProtection="1">
      <alignment horizontal="left" vertical="top" wrapText="1"/>
      <protection hidden="1"/>
    </xf>
    <xf numFmtId="0" fontId="6" fillId="2" borderId="0" xfId="1" applyFill="1" applyAlignment="1" applyProtection="1">
      <alignment wrapText="1"/>
      <protection hidden="1"/>
    </xf>
    <xf numFmtId="0" fontId="12" fillId="3" borderId="20" xfId="1" applyFont="1" applyFill="1" applyBorder="1" applyAlignment="1" applyProtection="1">
      <alignment vertical="center" wrapText="1"/>
      <protection hidden="1"/>
    </xf>
    <xf numFmtId="0" fontId="9" fillId="3" borderId="21" xfId="1" applyFont="1" applyFill="1" applyBorder="1" applyAlignment="1" applyProtection="1">
      <alignment horizontal="left" vertical="center" wrapText="1"/>
      <protection hidden="1"/>
    </xf>
    <xf numFmtId="0" fontId="11" fillId="2" borderId="4" xfId="1" applyFont="1" applyFill="1" applyBorder="1" applyAlignment="1" applyProtection="1">
      <alignment horizontal="center" vertical="center"/>
      <protection hidden="1"/>
    </xf>
    <xf numFmtId="0" fontId="11" fillId="2" borderId="0" xfId="1" applyFont="1" applyFill="1" applyAlignment="1" applyProtection="1">
      <alignment horizontal="center" vertical="center"/>
      <protection hidden="1"/>
    </xf>
    <xf numFmtId="0" fontId="8" fillId="13" borderId="15" xfId="1" applyFont="1" applyFill="1" applyBorder="1" applyAlignment="1" applyProtection="1">
      <alignment horizontal="center" vertical="center" wrapText="1"/>
      <protection hidden="1"/>
    </xf>
    <xf numFmtId="0" fontId="20" fillId="2" borderId="4" xfId="1" applyFont="1" applyFill="1" applyBorder="1" applyAlignment="1" applyProtection="1">
      <alignment horizontal="center" vertical="center"/>
      <protection hidden="1"/>
    </xf>
    <xf numFmtId="0" fontId="20" fillId="2" borderId="0" xfId="1" applyFont="1" applyFill="1" applyAlignment="1" applyProtection="1">
      <alignment horizontal="center" vertical="center"/>
      <protection hidden="1"/>
    </xf>
    <xf numFmtId="0" fontId="8" fillId="0" borderId="15" xfId="0" applyFont="1" applyBorder="1" applyAlignment="1" applyProtection="1">
      <alignment horizontal="center" vertical="center" wrapText="1"/>
      <protection locked="0"/>
    </xf>
    <xf numFmtId="0" fontId="8" fillId="0" borderId="15" xfId="1" applyFont="1" applyBorder="1" applyAlignment="1" applyProtection="1">
      <alignment horizontal="center" vertical="center" wrapText="1"/>
      <protection locked="0"/>
    </xf>
    <xf numFmtId="0" fontId="22" fillId="2" borderId="0" xfId="1" applyFont="1" applyFill="1" applyAlignment="1" applyProtection="1">
      <alignment horizontal="center" vertical="center"/>
      <protection hidden="1"/>
    </xf>
    <xf numFmtId="0" fontId="13" fillId="2" borderId="4" xfId="1" applyFont="1" applyFill="1" applyBorder="1" applyAlignment="1" applyProtection="1">
      <alignment horizontal="center" vertical="center"/>
      <protection hidden="1"/>
    </xf>
    <xf numFmtId="0" fontId="13" fillId="2" borderId="4" xfId="1" applyFont="1" applyFill="1" applyBorder="1" applyAlignment="1" applyProtection="1">
      <alignment horizontal="center" vertical="center" wrapText="1"/>
      <protection hidden="1"/>
    </xf>
    <xf numFmtId="0" fontId="11" fillId="2" borderId="4" xfId="1" applyFont="1" applyFill="1" applyBorder="1" applyAlignment="1" applyProtection="1">
      <alignment horizontal="center" vertical="center" wrapText="1"/>
      <protection hidden="1"/>
    </xf>
    <xf numFmtId="0" fontId="29" fillId="2" borderId="0" xfId="1" applyFont="1" applyFill="1" applyAlignment="1" applyProtection="1">
      <alignment horizontal="center" vertical="center"/>
      <protection hidden="1"/>
    </xf>
    <xf numFmtId="0" fontId="13" fillId="2" borderId="0" xfId="1" applyFont="1" applyFill="1" applyAlignment="1" applyProtection="1">
      <alignment horizontal="center" vertical="center"/>
      <protection hidden="1"/>
    </xf>
    <xf numFmtId="0" fontId="13" fillId="2" borderId="0" xfId="1" applyFont="1" applyFill="1" applyAlignment="1" applyProtection="1">
      <alignment horizontal="center" vertical="center" wrapText="1"/>
      <protection hidden="1"/>
    </xf>
    <xf numFmtId="0" fontId="11" fillId="2" borderId="0" xfId="1" applyFont="1" applyFill="1" applyAlignment="1" applyProtection="1">
      <alignment horizontal="center" vertical="center" wrapText="1"/>
      <protection hidden="1"/>
    </xf>
    <xf numFmtId="0" fontId="12" fillId="0" borderId="0" xfId="4" applyFont="1" applyAlignment="1" applyProtection="1">
      <alignment horizontal="center" vertical="center"/>
      <protection hidden="1"/>
    </xf>
    <xf numFmtId="0" fontId="8" fillId="2" borderId="0" xfId="0" applyFont="1" applyFill="1" applyAlignment="1" applyProtection="1">
      <alignment horizontal="center" vertical="center"/>
      <protection hidden="1"/>
    </xf>
    <xf numFmtId="176" fontId="8" fillId="0" borderId="15" xfId="1" applyNumberFormat="1" applyFont="1" applyBorder="1" applyAlignment="1" applyProtection="1">
      <alignment horizontal="center" vertical="center" wrapText="1"/>
      <protection locked="0"/>
    </xf>
    <xf numFmtId="176" fontId="8" fillId="13" borderId="15" xfId="1" applyNumberFormat="1" applyFont="1" applyFill="1" applyBorder="1" applyAlignment="1" applyProtection="1">
      <alignment horizontal="center" vertical="center" wrapText="1"/>
      <protection hidden="1"/>
    </xf>
    <xf numFmtId="176" fontId="8" fillId="0" borderId="15" xfId="1" applyNumberFormat="1" applyFont="1" applyBorder="1" applyAlignment="1" applyProtection="1">
      <alignment horizontal="center" vertical="center" wrapText="1"/>
      <protection locked="0" hidden="1"/>
    </xf>
    <xf numFmtId="176" fontId="32" fillId="13" borderId="16" xfId="1" applyNumberFormat="1" applyFont="1" applyFill="1" applyBorder="1" applyAlignment="1" applyProtection="1">
      <alignment horizontal="center" vertical="center" wrapText="1"/>
      <protection hidden="1"/>
    </xf>
    <xf numFmtId="14" fontId="8" fillId="2" borderId="0" xfId="0" applyNumberFormat="1" applyFont="1" applyFill="1" applyAlignment="1" applyProtection="1">
      <alignment horizontal="center" vertical="center"/>
      <protection hidden="1"/>
    </xf>
    <xf numFmtId="9" fontId="8" fillId="2" borderId="0" xfId="0" applyNumberFormat="1" applyFont="1" applyFill="1" applyAlignment="1" applyProtection="1">
      <alignment horizontal="center" vertical="center"/>
      <protection hidden="1"/>
    </xf>
    <xf numFmtId="0" fontId="11" fillId="0" borderId="0" xfId="1" applyFont="1" applyAlignment="1" applyProtection="1">
      <alignment horizontal="center" vertical="center"/>
      <protection hidden="1"/>
    </xf>
    <xf numFmtId="0" fontId="31" fillId="2" borderId="0" xfId="1" applyFont="1" applyFill="1" applyAlignment="1" applyProtection="1">
      <alignment horizontal="center" vertical="center"/>
      <protection hidden="1"/>
    </xf>
    <xf numFmtId="0" fontId="35" fillId="3" borderId="16" xfId="1" applyFont="1" applyFill="1" applyBorder="1" applyAlignment="1" applyProtection="1">
      <alignment horizontal="left" vertical="center" wrapText="1"/>
      <protection hidden="1"/>
    </xf>
    <xf numFmtId="0" fontId="35" fillId="3" borderId="18" xfId="1" applyFont="1" applyFill="1" applyBorder="1" applyAlignment="1" applyProtection="1">
      <alignment horizontal="left" vertical="center" wrapText="1"/>
      <protection hidden="1"/>
    </xf>
    <xf numFmtId="0" fontId="35" fillId="3" borderId="26" xfId="1" applyFont="1" applyFill="1" applyBorder="1" applyAlignment="1" applyProtection="1">
      <alignment horizontal="left" vertical="center" wrapText="1"/>
      <protection hidden="1"/>
    </xf>
    <xf numFmtId="0" fontId="35" fillId="3" borderId="16" xfId="1" applyFont="1" applyFill="1" applyBorder="1" applyAlignment="1" applyProtection="1">
      <alignment horizontal="center" vertical="center" wrapText="1"/>
      <protection hidden="1"/>
    </xf>
    <xf numFmtId="0" fontId="35" fillId="3" borderId="17" xfId="1" applyFont="1" applyFill="1" applyBorder="1" applyAlignment="1" applyProtection="1">
      <alignment horizontal="center" vertical="center" wrapText="1"/>
      <protection hidden="1"/>
    </xf>
    <xf numFmtId="0" fontId="37" fillId="0" borderId="30" xfId="0" applyFont="1" applyBorder="1" applyAlignment="1">
      <alignment wrapText="1"/>
    </xf>
    <xf numFmtId="0" fontId="37" fillId="0" borderId="31" xfId="0" applyFont="1" applyBorder="1" applyAlignment="1">
      <alignment wrapText="1"/>
    </xf>
    <xf numFmtId="0" fontId="37" fillId="0" borderId="31" xfId="0" applyFont="1" applyBorder="1" applyAlignment="1">
      <alignment horizontal="left" wrapText="1"/>
    </xf>
    <xf numFmtId="0" fontId="12" fillId="3" borderId="16" xfId="1" applyFont="1" applyFill="1" applyBorder="1" applyAlignment="1" applyProtection="1">
      <alignment vertical="center" wrapText="1"/>
      <protection hidden="1"/>
    </xf>
    <xf numFmtId="0" fontId="11" fillId="2" borderId="10" xfId="1" applyFont="1" applyFill="1" applyBorder="1" applyAlignment="1" applyProtection="1">
      <alignment horizontal="left" vertical="center"/>
      <protection hidden="1"/>
    </xf>
    <xf numFmtId="0" fontId="12" fillId="3" borderId="34" xfId="1" applyFont="1" applyFill="1" applyBorder="1" applyAlignment="1" applyProtection="1">
      <alignment horizontal="left" vertical="top" wrapText="1"/>
      <protection hidden="1"/>
    </xf>
    <xf numFmtId="0" fontId="37" fillId="0" borderId="32" xfId="0" applyFont="1" applyBorder="1" applyAlignment="1">
      <alignment wrapText="1"/>
    </xf>
    <xf numFmtId="0" fontId="35" fillId="3" borderId="23" xfId="1" applyFont="1" applyFill="1" applyBorder="1" applyAlignment="1" applyProtection="1">
      <alignment horizontal="left" vertical="top" wrapText="1"/>
      <protection hidden="1"/>
    </xf>
    <xf numFmtId="0" fontId="27" fillId="2" borderId="0" xfId="1" applyFont="1" applyFill="1" applyAlignment="1" applyProtection="1">
      <alignment horizontal="left"/>
      <protection hidden="1"/>
    </xf>
    <xf numFmtId="0" fontId="39" fillId="2" borderId="0" xfId="1" applyFont="1" applyFill="1" applyAlignment="1" applyProtection="1">
      <alignment horizontal="left" vertical="center"/>
      <protection hidden="1"/>
    </xf>
    <xf numFmtId="0" fontId="8" fillId="0" borderId="15" xfId="1" applyFont="1" applyBorder="1" applyAlignment="1" applyProtection="1">
      <alignment horizontal="center" vertical="center" wrapText="1"/>
      <protection hidden="1"/>
    </xf>
    <xf numFmtId="0" fontId="37" fillId="0" borderId="31" xfId="0" applyFont="1" applyBorder="1" applyAlignment="1">
      <alignment horizontal="center" vertical="top" wrapText="1"/>
    </xf>
    <xf numFmtId="0" fontId="0" fillId="0" borderId="31" xfId="0" applyBorder="1"/>
    <xf numFmtId="0" fontId="11" fillId="2" borderId="4" xfId="1" applyFont="1" applyFill="1" applyBorder="1" applyAlignment="1" applyProtection="1">
      <alignment horizontal="left" indent="1"/>
      <protection locked="0"/>
    </xf>
    <xf numFmtId="0" fontId="11" fillId="2" borderId="37" xfId="1" applyFont="1" applyFill="1" applyBorder="1" applyAlignment="1" applyProtection="1">
      <alignment horizontal="left" indent="1"/>
      <protection locked="0"/>
    </xf>
    <xf numFmtId="0" fontId="11" fillId="2" borderId="38" xfId="1" applyFont="1" applyFill="1" applyBorder="1" applyAlignment="1" applyProtection="1">
      <alignment horizontal="left" indent="1"/>
      <protection locked="0"/>
    </xf>
    <xf numFmtId="0" fontId="11" fillId="2" borderId="39" xfId="1" applyFont="1" applyFill="1" applyBorder="1" applyAlignment="1" applyProtection="1">
      <alignment horizontal="left" indent="1"/>
      <protection locked="0"/>
    </xf>
    <xf numFmtId="0" fontId="11" fillId="2" borderId="40" xfId="1" applyFont="1" applyFill="1" applyBorder="1" applyAlignment="1" applyProtection="1">
      <alignment horizontal="left" indent="1"/>
      <protection locked="0"/>
    </xf>
    <xf numFmtId="0" fontId="31" fillId="2" borderId="36" xfId="1" applyFont="1" applyFill="1" applyBorder="1" applyAlignment="1" applyProtection="1">
      <alignment horizontal="center" vertical="center"/>
      <protection locked="0"/>
    </xf>
    <xf numFmtId="0" fontId="31" fillId="2" borderId="36" xfId="1" applyFont="1" applyFill="1" applyBorder="1" applyAlignment="1" applyProtection="1">
      <alignment vertical="center"/>
      <protection locked="0"/>
    </xf>
    <xf numFmtId="0" fontId="11" fillId="2" borderId="38" xfId="1" applyFont="1" applyFill="1" applyBorder="1" applyAlignment="1" applyProtection="1">
      <alignment horizontal="left" indent="1"/>
      <protection hidden="1"/>
    </xf>
    <xf numFmtId="0" fontId="12" fillId="2" borderId="0" xfId="1" applyFont="1" applyFill="1" applyAlignment="1" applyProtection="1">
      <alignment horizontal="left" vertical="center" wrapText="1" indent="1"/>
      <protection hidden="1"/>
    </xf>
    <xf numFmtId="0" fontId="11" fillId="2" borderId="39" xfId="1" applyFont="1" applyFill="1" applyBorder="1" applyAlignment="1" applyProtection="1">
      <alignment horizontal="left" indent="1"/>
      <protection hidden="1"/>
    </xf>
    <xf numFmtId="0" fontId="11" fillId="2" borderId="35" xfId="1" applyFont="1" applyFill="1" applyBorder="1" applyAlignment="1" applyProtection="1">
      <alignment horizontal="left" indent="1"/>
      <protection hidden="1"/>
    </xf>
    <xf numFmtId="0" fontId="11" fillId="2" borderId="41" xfId="1" applyFont="1" applyFill="1" applyBorder="1" applyAlignment="1" applyProtection="1">
      <alignment horizontal="left" indent="1"/>
      <protection hidden="1"/>
    </xf>
    <xf numFmtId="0" fontId="40" fillId="2" borderId="35" xfId="0" applyFont="1" applyFill="1" applyBorder="1" applyAlignment="1">
      <alignment horizontal="center" wrapText="1"/>
    </xf>
    <xf numFmtId="0" fontId="35" fillId="3" borderId="16" xfId="1" applyFont="1" applyFill="1" applyBorder="1" applyAlignment="1" applyProtection="1">
      <alignment horizontal="left" vertical="top" wrapText="1"/>
      <protection hidden="1"/>
    </xf>
    <xf numFmtId="0" fontId="11" fillId="2" borderId="0" xfId="1" applyFont="1" applyFill="1" applyAlignment="1" applyProtection="1">
      <alignment horizontal="center" vertical="center"/>
      <protection locked="0"/>
    </xf>
    <xf numFmtId="0" fontId="27" fillId="2" borderId="0" xfId="1" applyFont="1" applyFill="1" applyAlignment="1" applyProtection="1">
      <alignment horizontal="center" vertical="center"/>
      <protection hidden="1"/>
    </xf>
    <xf numFmtId="0" fontId="11" fillId="2" borderId="42" xfId="1" applyFont="1" applyFill="1" applyBorder="1" applyAlignment="1" applyProtection="1">
      <alignment horizontal="center" textRotation="45"/>
      <protection locked="0"/>
    </xf>
    <xf numFmtId="0" fontId="0" fillId="0" borderId="50" xfId="0" applyBorder="1"/>
    <xf numFmtId="0" fontId="11" fillId="2" borderId="50" xfId="1" applyFont="1" applyFill="1" applyBorder="1" applyAlignment="1" applyProtection="1">
      <alignment horizontal="center" vertical="center"/>
      <protection locked="0"/>
    </xf>
    <xf numFmtId="0" fontId="11" fillId="2" borderId="50" xfId="1" applyFont="1" applyFill="1" applyBorder="1" applyAlignment="1" applyProtection="1">
      <alignment horizontal="center" vertical="center"/>
      <protection hidden="1"/>
    </xf>
    <xf numFmtId="0" fontId="11" fillId="2" borderId="52" xfId="1" applyFont="1" applyFill="1" applyBorder="1" applyAlignment="1" applyProtection="1">
      <alignment horizontal="center" vertical="center"/>
      <protection locked="0"/>
    </xf>
    <xf numFmtId="0" fontId="0" fillId="0" borderId="52" xfId="0" applyBorder="1" applyAlignment="1">
      <alignment horizontal="center"/>
    </xf>
    <xf numFmtId="0" fontId="0" fillId="0" borderId="50" xfId="0" applyBorder="1" applyAlignment="1">
      <alignment horizontal="center"/>
    </xf>
    <xf numFmtId="0" fontId="0" fillId="0" borderId="52" xfId="0" applyBorder="1" applyAlignment="1">
      <alignment horizontal="center" vertical="center"/>
    </xf>
    <xf numFmtId="0" fontId="0" fillId="0" borderId="50" xfId="0" applyBorder="1" applyAlignment="1">
      <alignment horizontal="center" vertical="center"/>
    </xf>
    <xf numFmtId="0" fontId="11" fillId="2" borderId="50" xfId="1" applyFont="1" applyFill="1" applyBorder="1" applyAlignment="1" applyProtection="1">
      <alignment horizontal="center"/>
      <protection locked="0"/>
    </xf>
    <xf numFmtId="0" fontId="11" fillId="2" borderId="50" xfId="1" applyFont="1" applyFill="1" applyBorder="1" applyAlignment="1" applyProtection="1">
      <alignment horizontal="center"/>
      <protection hidden="1"/>
    </xf>
    <xf numFmtId="0" fontId="11" fillId="2" borderId="52" xfId="1" applyFont="1" applyFill="1" applyBorder="1" applyAlignment="1" applyProtection="1">
      <alignment horizontal="center"/>
      <protection locked="0"/>
    </xf>
    <xf numFmtId="0" fontId="11" fillId="2" borderId="51" xfId="1" applyFont="1" applyFill="1" applyBorder="1" applyAlignment="1" applyProtection="1">
      <alignment horizontal="center"/>
      <protection locked="0"/>
    </xf>
    <xf numFmtId="0" fontId="11" fillId="2" borderId="55" xfId="1" applyFont="1" applyFill="1" applyBorder="1" applyAlignment="1" applyProtection="1">
      <alignment horizontal="center"/>
      <protection locked="0"/>
    </xf>
    <xf numFmtId="0" fontId="11" fillId="2" borderId="56" xfId="1" applyFont="1" applyFill="1" applyBorder="1" applyAlignment="1" applyProtection="1">
      <alignment horizontal="center"/>
      <protection locked="0"/>
    </xf>
    <xf numFmtId="0" fontId="11" fillId="2" borderId="57" xfId="1" applyFont="1" applyFill="1" applyBorder="1" applyAlignment="1" applyProtection="1">
      <alignment horizontal="center"/>
      <protection locked="0"/>
    </xf>
    <xf numFmtId="0" fontId="41" fillId="0" borderId="52" xfId="0" applyFont="1" applyBorder="1" applyAlignment="1">
      <alignment horizontal="center" vertical="center"/>
    </xf>
    <xf numFmtId="0" fontId="41" fillId="0" borderId="50" xfId="0" applyFont="1" applyBorder="1" applyAlignment="1">
      <alignment horizontal="center" vertical="center"/>
    </xf>
    <xf numFmtId="0" fontId="42" fillId="0" borderId="50" xfId="0" applyFont="1" applyBorder="1" applyAlignment="1">
      <alignment horizontal="center" vertical="center"/>
    </xf>
    <xf numFmtId="0" fontId="43" fillId="2" borderId="30" xfId="1" applyFont="1" applyFill="1" applyBorder="1" applyAlignment="1" applyProtection="1">
      <alignment horizontal="center"/>
      <protection hidden="1"/>
    </xf>
    <xf numFmtId="0" fontId="43" fillId="2" borderId="42" xfId="1" applyFont="1" applyFill="1" applyBorder="1" applyAlignment="1" applyProtection="1">
      <alignment horizontal="center"/>
      <protection locked="0"/>
    </xf>
    <xf numFmtId="0" fontId="44" fillId="2" borderId="42" xfId="1" applyFont="1" applyFill="1" applyBorder="1" applyAlignment="1" applyProtection="1">
      <alignment horizontal="center"/>
      <protection hidden="1"/>
    </xf>
    <xf numFmtId="0" fontId="43" fillId="2" borderId="41" xfId="1" applyFont="1" applyFill="1" applyBorder="1" applyAlignment="1" applyProtection="1">
      <alignment horizontal="center"/>
      <protection locked="0"/>
    </xf>
    <xf numFmtId="0" fontId="43" fillId="2" borderId="54" xfId="1" applyFont="1" applyFill="1" applyBorder="1" applyAlignment="1" applyProtection="1">
      <alignment horizontal="center"/>
      <protection locked="0"/>
    </xf>
    <xf numFmtId="0" fontId="43" fillId="2" borderId="54" xfId="1" applyFont="1" applyFill="1" applyBorder="1" applyAlignment="1" applyProtection="1">
      <alignment horizontal="center" vertical="center"/>
      <protection locked="0"/>
    </xf>
    <xf numFmtId="0" fontId="43" fillId="2" borderId="40" xfId="1" applyFont="1" applyFill="1" applyBorder="1" applyAlignment="1" applyProtection="1">
      <alignment horizontal="center" vertical="center"/>
      <protection locked="0"/>
    </xf>
    <xf numFmtId="0" fontId="43" fillId="2" borderId="41" xfId="1" applyFont="1" applyFill="1" applyBorder="1" applyAlignment="1" applyProtection="1">
      <alignment horizontal="center" vertical="center"/>
      <protection locked="0"/>
    </xf>
    <xf numFmtId="0" fontId="11" fillId="2" borderId="4" xfId="1" applyFont="1" applyFill="1" applyBorder="1" applyAlignment="1" applyProtection="1">
      <alignment horizontal="center" vertical="center"/>
      <protection locked="0" hidden="1"/>
    </xf>
    <xf numFmtId="0" fontId="12" fillId="3" borderId="2" xfId="1" applyFont="1" applyFill="1" applyBorder="1" applyAlignment="1" applyProtection="1">
      <alignment horizontal="center" vertical="center" wrapText="1"/>
      <protection locked="0" hidden="1"/>
    </xf>
    <xf numFmtId="0" fontId="8" fillId="2" borderId="25" xfId="0" applyFont="1" applyFill="1" applyBorder="1" applyAlignment="1" applyProtection="1">
      <alignment horizontal="center" vertical="center" wrapText="1"/>
      <protection locked="0"/>
    </xf>
    <xf numFmtId="0" fontId="8" fillId="2" borderId="3" xfId="0" applyFont="1" applyFill="1" applyBorder="1" applyAlignment="1" applyProtection="1">
      <alignment horizontal="center" vertical="center" wrapText="1"/>
      <protection locked="0"/>
    </xf>
    <xf numFmtId="0" fontId="8" fillId="2" borderId="0" xfId="0" applyFont="1" applyFill="1" applyAlignment="1" applyProtection="1">
      <alignment horizontal="center" vertical="center" wrapText="1"/>
      <protection locked="0" hidden="1"/>
    </xf>
    <xf numFmtId="0" fontId="11" fillId="2" borderId="0" xfId="1" applyFont="1" applyFill="1" applyAlignment="1" applyProtection="1">
      <alignment horizontal="center"/>
      <protection locked="0" hidden="1"/>
    </xf>
    <xf numFmtId="14" fontId="8" fillId="2" borderId="25" xfId="0" applyNumberFormat="1" applyFont="1" applyFill="1" applyBorder="1" applyAlignment="1" applyProtection="1">
      <alignment horizontal="center" vertical="center" wrapText="1"/>
      <protection locked="0"/>
    </xf>
    <xf numFmtId="14" fontId="8" fillId="2" borderId="3" xfId="0" applyNumberFormat="1" applyFont="1" applyFill="1" applyBorder="1" applyAlignment="1" applyProtection="1">
      <alignment horizontal="center" vertical="center" wrapText="1"/>
      <protection locked="0"/>
    </xf>
    <xf numFmtId="0" fontId="12" fillId="0" borderId="2" xfId="4" applyFont="1" applyBorder="1" applyAlignment="1" applyProtection="1">
      <alignment horizontal="left" vertical="center" wrapText="1" indent="1"/>
      <protection locked="0" hidden="1"/>
    </xf>
    <xf numFmtId="176" fontId="32" fillId="13" borderId="15" xfId="1" applyNumberFormat="1" applyFont="1" applyFill="1" applyBorder="1" applyAlignment="1" applyProtection="1">
      <alignment horizontal="center" vertical="center" wrapText="1"/>
      <protection hidden="1"/>
    </xf>
    <xf numFmtId="0" fontId="8" fillId="13" borderId="19" xfId="1" applyFont="1" applyFill="1" applyBorder="1" applyAlignment="1" applyProtection="1">
      <alignment horizontal="center" vertical="center" wrapText="1"/>
      <protection hidden="1"/>
    </xf>
    <xf numFmtId="0" fontId="8" fillId="0" borderId="19" xfId="1" applyFont="1" applyBorder="1" applyAlignment="1" applyProtection="1">
      <alignment horizontal="center" vertical="center" wrapText="1"/>
      <protection locked="0"/>
    </xf>
    <xf numFmtId="176" fontId="8" fillId="0" borderId="19" xfId="1" applyNumberFormat="1" applyFont="1" applyBorder="1" applyAlignment="1" applyProtection="1">
      <alignment horizontal="center" vertical="center" wrapText="1"/>
      <protection locked="0"/>
    </xf>
    <xf numFmtId="176" fontId="8" fillId="13" borderId="19" xfId="1" applyNumberFormat="1" applyFont="1" applyFill="1" applyBorder="1" applyAlignment="1" applyProtection="1">
      <alignment horizontal="center" vertical="center" wrapText="1"/>
      <protection hidden="1"/>
    </xf>
    <xf numFmtId="176" fontId="8" fillId="0" borderId="19" xfId="1" applyNumberFormat="1" applyFont="1" applyBorder="1" applyAlignment="1" applyProtection="1">
      <alignment horizontal="center" vertical="center" wrapText="1"/>
      <protection locked="0" hidden="1"/>
    </xf>
    <xf numFmtId="0" fontId="8" fillId="0" borderId="19" xfId="1" applyFont="1" applyBorder="1" applyAlignment="1" applyProtection="1">
      <alignment horizontal="center" vertical="center" wrapText="1"/>
      <protection hidden="1"/>
    </xf>
    <xf numFmtId="176" fontId="32" fillId="13" borderId="19" xfId="1" applyNumberFormat="1" applyFont="1" applyFill="1" applyBorder="1" applyAlignment="1" applyProtection="1">
      <alignment horizontal="center" vertical="center" wrapText="1"/>
      <protection hidden="1"/>
    </xf>
    <xf numFmtId="1" fontId="8" fillId="13" borderId="22" xfId="0" applyNumberFormat="1" applyFont="1" applyFill="1" applyBorder="1" applyAlignment="1" applyProtection="1">
      <alignment horizontal="center" vertical="center" wrapText="1"/>
      <protection locked="0" hidden="1"/>
    </xf>
    <xf numFmtId="1" fontId="8" fillId="13" borderId="22" xfId="1" applyNumberFormat="1" applyFont="1" applyFill="1" applyBorder="1" applyAlignment="1" applyProtection="1">
      <alignment horizontal="center" vertical="center" wrapText="1"/>
      <protection locked="0" hidden="1"/>
    </xf>
    <xf numFmtId="1" fontId="8" fillId="13" borderId="27" xfId="1" applyNumberFormat="1" applyFont="1" applyFill="1" applyBorder="1" applyAlignment="1" applyProtection="1">
      <alignment horizontal="center" vertical="center" wrapText="1"/>
      <protection locked="0" hidden="1"/>
    </xf>
    <xf numFmtId="0" fontId="8" fillId="13" borderId="10" xfId="1" applyFont="1" applyFill="1" applyBorder="1" applyAlignment="1" applyProtection="1">
      <alignment horizontal="left" vertical="center" wrapText="1"/>
      <protection hidden="1"/>
    </xf>
    <xf numFmtId="0" fontId="8" fillId="13" borderId="22" xfId="1" applyFont="1" applyFill="1" applyBorder="1" applyAlignment="1" applyProtection="1">
      <alignment horizontal="left" vertical="center" wrapText="1"/>
      <protection hidden="1"/>
    </xf>
    <xf numFmtId="0" fontId="8" fillId="13" borderId="22" xfId="0" applyFont="1" applyFill="1" applyBorder="1" applyAlignment="1" applyProtection="1">
      <alignment horizontal="left" vertical="center" wrapText="1"/>
      <protection hidden="1"/>
    </xf>
    <xf numFmtId="0" fontId="8" fillId="13" borderId="27" xfId="1" applyFont="1" applyFill="1" applyBorder="1" applyAlignment="1" applyProtection="1">
      <alignment horizontal="left" vertical="center" wrapText="1"/>
      <protection hidden="1"/>
    </xf>
    <xf numFmtId="0" fontId="8" fillId="13" borderId="33" xfId="1" applyFont="1" applyFill="1" applyBorder="1" applyAlignment="1" applyProtection="1">
      <alignment vertical="center" wrapText="1"/>
      <protection hidden="1"/>
    </xf>
    <xf numFmtId="0" fontId="8" fillId="13" borderId="22" xfId="1" applyFont="1" applyFill="1" applyBorder="1" applyAlignment="1" applyProtection="1">
      <alignment vertical="center" wrapText="1"/>
      <protection hidden="1"/>
    </xf>
    <xf numFmtId="0" fontId="8" fillId="13" borderId="27" xfId="1" applyFont="1" applyFill="1" applyBorder="1" applyAlignment="1" applyProtection="1">
      <alignment vertical="center" wrapText="1"/>
      <protection hidden="1"/>
    </xf>
    <xf numFmtId="0" fontId="11" fillId="18" borderId="36" xfId="1" applyFont="1" applyFill="1" applyBorder="1" applyAlignment="1" applyProtection="1">
      <alignment horizontal="left" indent="1"/>
      <protection hidden="1"/>
    </xf>
    <xf numFmtId="0" fontId="11" fillId="18" borderId="37" xfId="1" applyFont="1" applyFill="1" applyBorder="1" applyAlignment="1" applyProtection="1">
      <alignment horizontal="left" indent="1"/>
      <protection hidden="1"/>
    </xf>
    <xf numFmtId="0" fontId="11" fillId="18" borderId="40" xfId="1" applyFont="1" applyFill="1" applyBorder="1" applyAlignment="1" applyProtection="1">
      <alignment horizontal="left" indent="1"/>
      <protection hidden="1"/>
    </xf>
    <xf numFmtId="0" fontId="11" fillId="18" borderId="41" xfId="1" applyFont="1" applyFill="1" applyBorder="1" applyAlignment="1" applyProtection="1">
      <alignment horizontal="left" indent="1"/>
      <protection hidden="1"/>
    </xf>
    <xf numFmtId="0" fontId="11" fillId="19" borderId="36" xfId="1" applyFont="1" applyFill="1" applyBorder="1" applyAlignment="1" applyProtection="1">
      <alignment horizontal="left" indent="1"/>
      <protection hidden="1"/>
    </xf>
    <xf numFmtId="0" fontId="11" fillId="19" borderId="37" xfId="1" applyFont="1" applyFill="1" applyBorder="1" applyAlignment="1" applyProtection="1">
      <alignment horizontal="left" indent="1"/>
      <protection hidden="1"/>
    </xf>
    <xf numFmtId="0" fontId="11" fillId="19" borderId="40" xfId="1" applyFont="1" applyFill="1" applyBorder="1" applyAlignment="1" applyProtection="1">
      <alignment horizontal="left" indent="1"/>
      <protection hidden="1"/>
    </xf>
    <xf numFmtId="0" fontId="11" fillId="19" borderId="41" xfId="1" applyFont="1" applyFill="1" applyBorder="1" applyAlignment="1" applyProtection="1">
      <alignment horizontal="left" indent="1"/>
      <protection hidden="1"/>
    </xf>
    <xf numFmtId="0" fontId="43" fillId="13" borderId="43" xfId="1" applyFont="1" applyFill="1" applyBorder="1" applyAlignment="1" applyProtection="1">
      <alignment horizontal="center"/>
      <protection hidden="1"/>
    </xf>
    <xf numFmtId="0" fontId="43" fillId="13" borderId="44" xfId="1" applyFont="1" applyFill="1" applyBorder="1" applyAlignment="1" applyProtection="1">
      <alignment horizontal="center"/>
      <protection locked="0"/>
    </xf>
    <xf numFmtId="0" fontId="43" fillId="13" borderId="45" xfId="1" applyFont="1" applyFill="1" applyBorder="1" applyAlignment="1" applyProtection="1">
      <alignment horizontal="center"/>
      <protection hidden="1"/>
    </xf>
    <xf numFmtId="0" fontId="43" fillId="13" borderId="49" xfId="1" applyFont="1" applyFill="1" applyBorder="1" applyAlignment="1" applyProtection="1">
      <alignment horizontal="center"/>
      <protection locked="0"/>
    </xf>
    <xf numFmtId="0" fontId="43" fillId="13" borderId="46" xfId="1" applyFont="1" applyFill="1" applyBorder="1" applyAlignment="1" applyProtection="1">
      <alignment horizontal="center"/>
      <protection locked="0"/>
    </xf>
    <xf numFmtId="0" fontId="43" fillId="13" borderId="45" xfId="1" applyFont="1" applyFill="1" applyBorder="1" applyAlignment="1" applyProtection="1">
      <alignment horizontal="center"/>
      <protection locked="0"/>
    </xf>
    <xf numFmtId="0" fontId="43" fillId="13" borderId="47" xfId="1" applyFont="1" applyFill="1" applyBorder="1" applyAlignment="1" applyProtection="1">
      <alignment horizontal="center"/>
      <protection locked="0"/>
    </xf>
    <xf numFmtId="0" fontId="43" fillId="13" borderId="48" xfId="1" applyFont="1" applyFill="1" applyBorder="1" applyAlignment="1" applyProtection="1">
      <alignment horizontal="center"/>
      <protection locked="0"/>
    </xf>
    <xf numFmtId="0" fontId="11" fillId="21" borderId="59" xfId="1" applyFont="1" applyFill="1" applyBorder="1" applyAlignment="1" applyProtection="1">
      <alignment horizontal="center"/>
      <protection hidden="1"/>
    </xf>
    <xf numFmtId="0" fontId="11" fillId="21" borderId="54" xfId="1" applyFont="1" applyFill="1" applyBorder="1" applyAlignment="1" applyProtection="1">
      <alignment horizontal="center"/>
      <protection hidden="1"/>
    </xf>
    <xf numFmtId="0" fontId="8" fillId="13" borderId="19" xfId="1" applyFont="1" applyFill="1" applyBorder="1" applyAlignment="1" applyProtection="1">
      <alignment horizontal="center" vertical="center" wrapText="1"/>
      <protection locked="0" hidden="1"/>
    </xf>
    <xf numFmtId="0" fontId="8" fillId="13" borderId="15" xfId="1" applyFont="1" applyFill="1" applyBorder="1" applyAlignment="1" applyProtection="1">
      <alignment horizontal="center" vertical="center" wrapText="1"/>
      <protection locked="0" hidden="1"/>
    </xf>
    <xf numFmtId="0" fontId="8" fillId="0" borderId="22" xfId="0" quotePrefix="1" applyFont="1" applyBorder="1" applyAlignment="1" applyProtection="1">
      <alignment horizontal="center" vertical="center" wrapText="1"/>
      <protection locked="0"/>
    </xf>
    <xf numFmtId="0" fontId="8" fillId="0" borderId="22" xfId="0" applyFont="1" applyBorder="1" applyAlignment="1" applyProtection="1">
      <alignment vertical="center" wrapText="1"/>
      <protection locked="0"/>
    </xf>
    <xf numFmtId="0" fontId="8" fillId="0" borderId="22" xfId="0" applyFont="1" applyBorder="1" applyAlignment="1" applyProtection="1">
      <alignment horizontal="center" vertical="center" wrapText="1"/>
      <protection locked="0"/>
    </xf>
    <xf numFmtId="176" fontId="8" fillId="0" borderId="22" xfId="0" applyNumberFormat="1" applyFont="1" applyBorder="1" applyAlignment="1" applyProtection="1">
      <alignment horizontal="center" vertical="center" wrapText="1"/>
      <protection locked="0"/>
    </xf>
    <xf numFmtId="0" fontId="8" fillId="0" borderId="22" xfId="0" applyFont="1" applyBorder="1" applyAlignment="1" applyProtection="1">
      <alignment horizontal="left" vertical="center" wrapText="1" indent="1"/>
      <protection locked="0"/>
    </xf>
    <xf numFmtId="176" fontId="8" fillId="0" borderId="22" xfId="0" applyNumberFormat="1" applyFont="1" applyBorder="1" applyAlignment="1" applyProtection="1">
      <alignment horizontal="left" vertical="center" wrapText="1" indent="1"/>
      <protection locked="0"/>
    </xf>
    <xf numFmtId="0" fontId="8" fillId="0" borderId="22" xfId="1" applyFont="1" applyBorder="1" applyAlignment="1" applyProtection="1">
      <alignment vertical="center" wrapText="1"/>
      <protection locked="0"/>
    </xf>
    <xf numFmtId="0" fontId="8" fillId="2" borderId="22" xfId="1" applyFont="1" applyFill="1" applyBorder="1" applyAlignment="1" applyProtection="1">
      <alignment horizontal="left" vertical="center" wrapText="1" indent="1"/>
      <protection locked="0"/>
    </xf>
    <xf numFmtId="0" fontId="8" fillId="0" borderId="22" xfId="1" applyFont="1" applyBorder="1" applyAlignment="1" applyProtection="1">
      <alignment horizontal="left" vertical="center" wrapText="1" indent="1"/>
      <protection locked="0"/>
    </xf>
    <xf numFmtId="176" fontId="8" fillId="0" borderId="22" xfId="1" applyNumberFormat="1" applyFont="1" applyBorder="1" applyAlignment="1" applyProtection="1">
      <alignment horizontal="left" vertical="center" wrapText="1" indent="1"/>
      <protection locked="0"/>
    </xf>
    <xf numFmtId="0" fontId="8" fillId="0" borderId="22" xfId="1" applyFont="1" applyBorder="1" applyAlignment="1" applyProtection="1">
      <alignment horizontal="center" vertical="center" wrapText="1"/>
      <protection locked="0"/>
    </xf>
    <xf numFmtId="0" fontId="8" fillId="0" borderId="27" xfId="1" applyFont="1" applyBorder="1" applyAlignment="1" applyProtection="1">
      <alignment horizontal="center" vertical="center" wrapText="1"/>
      <protection locked="0"/>
    </xf>
    <xf numFmtId="0" fontId="8" fillId="0" borderId="27" xfId="1" applyFont="1" applyBorder="1" applyAlignment="1" applyProtection="1">
      <alignment vertical="center" wrapText="1"/>
      <protection locked="0"/>
    </xf>
    <xf numFmtId="0" fontId="8" fillId="2" borderId="27" xfId="1" applyFont="1" applyFill="1" applyBorder="1" applyAlignment="1" applyProtection="1">
      <alignment horizontal="left" vertical="center" wrapText="1" indent="1"/>
      <protection locked="0"/>
    </xf>
    <xf numFmtId="0" fontId="8" fillId="0" borderId="27" xfId="1" applyFont="1" applyBorder="1" applyAlignment="1" applyProtection="1">
      <alignment horizontal="left" vertical="center" wrapText="1" indent="1"/>
      <protection locked="0"/>
    </xf>
    <xf numFmtId="176" fontId="8" fillId="0" borderId="27" xfId="1" applyNumberFormat="1" applyFont="1" applyBorder="1" applyAlignment="1" applyProtection="1">
      <alignment horizontal="left" vertical="center" wrapText="1" indent="1"/>
      <protection locked="0"/>
    </xf>
    <xf numFmtId="49" fontId="8" fillId="0" borderId="22" xfId="0" quotePrefix="1" applyNumberFormat="1" applyFont="1" applyBorder="1" applyAlignment="1" applyProtection="1">
      <alignment horizontal="left" vertical="center" wrapText="1" indent="1"/>
      <protection locked="0"/>
    </xf>
    <xf numFmtId="0" fontId="8" fillId="0" borderId="22" xfId="0" quotePrefix="1" applyFont="1" applyBorder="1" applyAlignment="1" applyProtection="1">
      <alignment horizontal="left" vertical="center" wrapText="1" indent="1"/>
      <protection locked="0"/>
    </xf>
    <xf numFmtId="0" fontId="30" fillId="0" borderId="22" xfId="1" applyFont="1" applyBorder="1" applyProtection="1">
      <protection locked="0"/>
    </xf>
    <xf numFmtId="49" fontId="8" fillId="0" borderId="22" xfId="1" applyNumberFormat="1" applyFont="1" applyBorder="1" applyAlignment="1" applyProtection="1">
      <alignment horizontal="left" vertical="center" wrapText="1" indent="1"/>
      <protection locked="0"/>
    </xf>
    <xf numFmtId="49" fontId="8" fillId="0" borderId="27" xfId="1" applyNumberFormat="1" applyFont="1" applyBorder="1" applyAlignment="1" applyProtection="1">
      <alignment horizontal="left" vertical="center" wrapText="1" indent="1"/>
      <protection locked="0"/>
    </xf>
    <xf numFmtId="0" fontId="8" fillId="0" borderId="27" xfId="0" applyFont="1" applyBorder="1" applyAlignment="1" applyProtection="1">
      <alignment horizontal="center" vertical="center" wrapText="1"/>
      <protection locked="0"/>
    </xf>
    <xf numFmtId="0" fontId="11" fillId="13" borderId="36" xfId="1" applyFont="1" applyFill="1" applyBorder="1" applyAlignment="1" applyProtection="1">
      <alignment horizontal="left" indent="1"/>
      <protection hidden="1"/>
    </xf>
    <xf numFmtId="0" fontId="11" fillId="13" borderId="37" xfId="1" applyFont="1" applyFill="1" applyBorder="1" applyAlignment="1" applyProtection="1">
      <alignment horizontal="left" indent="1"/>
      <protection hidden="1"/>
    </xf>
    <xf numFmtId="0" fontId="11" fillId="13" borderId="40" xfId="1" applyFont="1" applyFill="1" applyBorder="1" applyAlignment="1" applyProtection="1">
      <alignment horizontal="left" indent="1"/>
      <protection hidden="1"/>
    </xf>
    <xf numFmtId="0" fontId="11" fillId="13" borderId="41" xfId="1" applyFont="1" applyFill="1" applyBorder="1" applyAlignment="1" applyProtection="1">
      <alignment horizontal="left" indent="1"/>
      <protection hidden="1"/>
    </xf>
    <xf numFmtId="0" fontId="8" fillId="2" borderId="22" xfId="0" quotePrefix="1" applyFont="1" applyFill="1" applyBorder="1" applyAlignment="1" applyProtection="1">
      <alignment horizontal="left" vertical="center" wrapText="1" indent="1"/>
      <protection locked="0"/>
    </xf>
    <xf numFmtId="0" fontId="8" fillId="2" borderId="22" xfId="0" quotePrefix="1" applyFont="1" applyFill="1" applyBorder="1" applyAlignment="1" applyProtection="1">
      <alignment horizontal="center" vertical="center" wrapText="1"/>
      <protection locked="0"/>
    </xf>
    <xf numFmtId="0" fontId="8" fillId="2" borderId="22" xfId="0" applyFont="1" applyFill="1" applyBorder="1" applyAlignment="1" applyProtection="1">
      <alignment horizontal="left" vertical="center" wrapText="1" indent="1"/>
      <protection locked="0"/>
    </xf>
    <xf numFmtId="0" fontId="27" fillId="2" borderId="22" xfId="1" applyFont="1" applyFill="1" applyBorder="1" applyAlignment="1" applyProtection="1">
      <alignment horizontal="left"/>
      <protection locked="0"/>
    </xf>
    <xf numFmtId="0" fontId="8" fillId="2" borderId="22" xfId="0" applyFont="1" applyFill="1" applyBorder="1" applyAlignment="1" applyProtection="1">
      <alignment vertical="center" wrapText="1"/>
      <protection locked="0"/>
    </xf>
    <xf numFmtId="0" fontId="8" fillId="2" borderId="22" xfId="0" applyFont="1" applyFill="1" applyBorder="1" applyAlignment="1" applyProtection="1">
      <alignment horizontal="left" vertical="center" wrapText="1"/>
      <protection locked="0"/>
    </xf>
    <xf numFmtId="0" fontId="8" fillId="2" borderId="22" xfId="1" applyFont="1" applyFill="1" applyBorder="1" applyAlignment="1" applyProtection="1">
      <alignment horizontal="center" vertical="center" wrapText="1"/>
      <protection locked="0"/>
    </xf>
    <xf numFmtId="0" fontId="8" fillId="2" borderId="27" xfId="0" quotePrefix="1" applyFont="1" applyFill="1" applyBorder="1" applyAlignment="1" applyProtection="1">
      <alignment horizontal="left" vertical="center" wrapText="1" indent="1"/>
      <protection locked="0"/>
    </xf>
    <xf numFmtId="0" fontId="8" fillId="2" borderId="27" xfId="0" quotePrefix="1" applyFont="1" applyFill="1" applyBorder="1" applyAlignment="1" applyProtection="1">
      <alignment horizontal="center" vertical="center" wrapText="1"/>
      <protection locked="0"/>
    </xf>
    <xf numFmtId="0" fontId="8" fillId="2" borderId="27" xfId="0" applyFont="1" applyFill="1" applyBorder="1" applyAlignment="1" applyProtection="1">
      <alignment horizontal="left" vertical="center" wrapText="1" indent="1"/>
      <protection locked="0"/>
    </xf>
    <xf numFmtId="0" fontId="27" fillId="2" borderId="27" xfId="1" applyFont="1" applyFill="1" applyBorder="1" applyAlignment="1" applyProtection="1">
      <alignment horizontal="left"/>
      <protection locked="0"/>
    </xf>
    <xf numFmtId="0" fontId="8" fillId="2" borderId="27" xfId="0" applyFont="1" applyFill="1" applyBorder="1" applyAlignment="1" applyProtection="1">
      <alignment vertical="center" wrapText="1"/>
      <protection locked="0"/>
    </xf>
    <xf numFmtId="0" fontId="8" fillId="2" borderId="27" xfId="0" applyFont="1" applyFill="1" applyBorder="1" applyAlignment="1" applyProtection="1">
      <alignment horizontal="left" vertical="center" wrapText="1"/>
      <protection locked="0"/>
    </xf>
    <xf numFmtId="0" fontId="8" fillId="2" borderId="22" xfId="1" applyFont="1" applyFill="1" applyBorder="1" applyAlignment="1" applyProtection="1">
      <alignment vertical="center" wrapText="1"/>
      <protection locked="0"/>
    </xf>
    <xf numFmtId="0" fontId="8" fillId="2" borderId="22" xfId="1" applyFont="1" applyFill="1" applyBorder="1" applyAlignment="1" applyProtection="1">
      <alignment horizontal="left" vertical="center" wrapText="1"/>
      <protection locked="0"/>
    </xf>
    <xf numFmtId="0" fontId="8" fillId="2" borderId="22" xfId="0" applyFont="1" applyFill="1" applyBorder="1" applyAlignment="1" applyProtection="1">
      <alignment horizontal="center" vertical="center" wrapText="1"/>
      <protection locked="0"/>
    </xf>
    <xf numFmtId="0" fontId="8" fillId="2" borderId="27" xfId="1" applyFont="1" applyFill="1" applyBorder="1" applyAlignment="1" applyProtection="1">
      <alignment horizontal="center" vertical="center" wrapText="1"/>
      <protection locked="0"/>
    </xf>
    <xf numFmtId="0" fontId="8" fillId="2" borderId="27" xfId="1" applyFont="1" applyFill="1" applyBorder="1" applyAlignment="1" applyProtection="1">
      <alignment vertical="center" wrapText="1"/>
      <protection locked="0"/>
    </xf>
    <xf numFmtId="0" fontId="8" fillId="2" borderId="27" xfId="1" applyFont="1" applyFill="1" applyBorder="1" applyAlignment="1" applyProtection="1">
      <alignment horizontal="left" vertical="center" wrapText="1"/>
      <protection locked="0"/>
    </xf>
    <xf numFmtId="0" fontId="0" fillId="0" borderId="43" xfId="0" applyBorder="1" applyAlignment="1">
      <alignment horizontal="center"/>
    </xf>
    <xf numFmtId="0" fontId="0" fillId="0" borderId="1" xfId="0" applyBorder="1" applyAlignment="1">
      <alignment horizontal="center"/>
    </xf>
    <xf numFmtId="0" fontId="0" fillId="0" borderId="45" xfId="0" applyBorder="1" applyAlignment="1">
      <alignment horizontal="center"/>
    </xf>
    <xf numFmtId="0" fontId="0" fillId="0" borderId="1" xfId="0" applyBorder="1" applyAlignment="1">
      <alignment horizontal="center" vertical="center"/>
    </xf>
    <xf numFmtId="0" fontId="0" fillId="0" borderId="56" xfId="0" applyBorder="1" applyAlignment="1">
      <alignment horizontal="center" vertical="center"/>
    </xf>
    <xf numFmtId="0" fontId="0" fillId="0" borderId="47" xfId="0" applyBorder="1" applyAlignment="1">
      <alignment horizontal="center"/>
    </xf>
    <xf numFmtId="0" fontId="0" fillId="0" borderId="53" xfId="0" applyBorder="1" applyAlignment="1">
      <alignment horizontal="center"/>
    </xf>
    <xf numFmtId="0" fontId="0" fillId="0" borderId="48" xfId="0" applyBorder="1" applyAlignment="1">
      <alignment horizontal="center" vertical="center"/>
    </xf>
    <xf numFmtId="0" fontId="43" fillId="2" borderId="1" xfId="1" applyFont="1" applyFill="1" applyBorder="1" applyAlignment="1" applyProtection="1">
      <alignment horizontal="center" vertical="center"/>
      <protection locked="0"/>
    </xf>
    <xf numFmtId="0" fontId="43" fillId="2" borderId="56" xfId="1" applyFont="1" applyFill="1" applyBorder="1" applyAlignment="1" applyProtection="1">
      <alignment horizontal="center" vertical="center"/>
      <protection locked="0"/>
    </xf>
    <xf numFmtId="0" fontId="43" fillId="2" borderId="58" xfId="1" applyFont="1" applyFill="1" applyBorder="1" applyAlignment="1" applyProtection="1">
      <alignment horizontal="center" vertical="center"/>
      <protection locked="0"/>
    </xf>
    <xf numFmtId="0" fontId="43" fillId="2" borderId="44" xfId="1" applyFont="1" applyFill="1" applyBorder="1" applyAlignment="1" applyProtection="1">
      <alignment horizontal="center" vertical="center"/>
      <protection locked="0"/>
    </xf>
    <xf numFmtId="0" fontId="43" fillId="2" borderId="46" xfId="1" applyFont="1" applyFill="1" applyBorder="1" applyAlignment="1" applyProtection="1">
      <alignment horizontal="center" vertical="center"/>
      <protection locked="0"/>
    </xf>
    <xf numFmtId="0" fontId="0" fillId="0" borderId="53" xfId="0" applyBorder="1" applyAlignment="1">
      <alignment horizontal="center" vertical="center"/>
    </xf>
    <xf numFmtId="0" fontId="43" fillId="2" borderId="53" xfId="1" applyFont="1" applyFill="1" applyBorder="1" applyAlignment="1" applyProtection="1">
      <alignment horizontal="center" vertical="center"/>
      <protection locked="0"/>
    </xf>
    <xf numFmtId="0" fontId="43" fillId="2" borderId="48" xfId="1" applyFont="1" applyFill="1" applyBorder="1" applyAlignment="1" applyProtection="1">
      <alignment horizontal="center" vertical="center"/>
      <protection locked="0"/>
    </xf>
    <xf numFmtId="0" fontId="8" fillId="0" borderId="15" xfId="1" quotePrefix="1" applyFont="1" applyBorder="1" applyAlignment="1" applyProtection="1">
      <alignment horizontal="center" vertical="center" wrapText="1"/>
      <protection locked="0"/>
    </xf>
    <xf numFmtId="0" fontId="36" fillId="4" borderId="15" xfId="4" applyFont="1" applyFill="1" applyBorder="1" applyAlignment="1" applyProtection="1">
      <alignment horizontal="center" vertical="center"/>
      <protection hidden="1"/>
    </xf>
    <xf numFmtId="0" fontId="10" fillId="2" borderId="0" xfId="1" applyFont="1" applyFill="1" applyAlignment="1" applyProtection="1">
      <alignment horizontal="left" vertical="center" wrapText="1" indent="1"/>
      <protection locked="0" hidden="1"/>
    </xf>
    <xf numFmtId="0" fontId="10" fillId="12" borderId="24" xfId="1" applyFont="1" applyFill="1" applyBorder="1" applyAlignment="1" applyProtection="1">
      <alignment horizontal="center" vertical="center" wrapText="1"/>
      <protection hidden="1"/>
    </xf>
    <xf numFmtId="0" fontId="10" fillId="15" borderId="7" xfId="1" applyFont="1" applyFill="1" applyBorder="1" applyAlignment="1" applyProtection="1">
      <alignment horizontal="center" vertical="center" wrapText="1"/>
      <protection hidden="1"/>
    </xf>
    <xf numFmtId="0" fontId="10" fillId="15" borderId="9" xfId="1" applyFont="1" applyFill="1" applyBorder="1" applyAlignment="1" applyProtection="1">
      <alignment horizontal="center" vertical="center" wrapText="1"/>
      <protection hidden="1"/>
    </xf>
    <xf numFmtId="0" fontId="10" fillId="15" borderId="25" xfId="1" applyFont="1" applyFill="1" applyBorder="1" applyAlignment="1" applyProtection="1">
      <alignment horizontal="center" vertical="center" wrapText="1"/>
      <protection hidden="1"/>
    </xf>
    <xf numFmtId="0" fontId="10" fillId="17" borderId="7" xfId="1" applyFont="1" applyFill="1" applyBorder="1" applyAlignment="1" applyProtection="1">
      <alignment horizontal="center" vertical="center" wrapText="1"/>
      <protection hidden="1"/>
    </xf>
    <xf numFmtId="0" fontId="10" fillId="17" borderId="9" xfId="1" applyFont="1" applyFill="1" applyBorder="1" applyAlignment="1" applyProtection="1">
      <alignment horizontal="center" vertical="center" wrapText="1"/>
      <protection hidden="1"/>
    </xf>
    <xf numFmtId="0" fontId="10" fillId="17" borderId="25" xfId="1" applyFont="1" applyFill="1" applyBorder="1" applyAlignment="1" applyProtection="1">
      <alignment horizontal="center" vertical="center" wrapText="1"/>
      <protection hidden="1"/>
    </xf>
    <xf numFmtId="0" fontId="10" fillId="16" borderId="9" xfId="1" applyFont="1" applyFill="1" applyBorder="1" applyAlignment="1" applyProtection="1">
      <alignment horizontal="center" vertical="center" wrapText="1"/>
      <protection hidden="1"/>
    </xf>
    <xf numFmtId="0" fontId="10" fillId="16" borderId="25" xfId="1" applyFont="1" applyFill="1" applyBorder="1" applyAlignment="1" applyProtection="1">
      <alignment horizontal="center" vertical="center" wrapText="1"/>
      <protection hidden="1"/>
    </xf>
    <xf numFmtId="0" fontId="11" fillId="20" borderId="36" xfId="1" applyFont="1" applyFill="1" applyBorder="1" applyAlignment="1" applyProtection="1">
      <alignment horizontal="center" vertical="center" wrapText="1"/>
      <protection hidden="1"/>
    </xf>
    <xf numFmtId="0" fontId="11" fillId="20" borderId="4" xfId="1" applyFont="1" applyFill="1" applyBorder="1" applyAlignment="1" applyProtection="1">
      <alignment horizontal="center" vertical="center" wrapText="1"/>
      <protection hidden="1"/>
    </xf>
    <xf numFmtId="0" fontId="11" fillId="20" borderId="37" xfId="1" applyFont="1" applyFill="1" applyBorder="1" applyAlignment="1" applyProtection="1">
      <alignment horizontal="center" vertical="center" wrapText="1"/>
      <protection hidden="1"/>
    </xf>
    <xf numFmtId="0" fontId="11" fillId="20" borderId="40" xfId="1" applyFont="1" applyFill="1" applyBorder="1" applyAlignment="1" applyProtection="1">
      <alignment horizontal="center" vertical="center" wrapText="1"/>
      <protection hidden="1"/>
    </xf>
    <xf numFmtId="0" fontId="11" fillId="20" borderId="35" xfId="1" applyFont="1" applyFill="1" applyBorder="1" applyAlignment="1" applyProtection="1">
      <alignment horizontal="center" vertical="center" wrapText="1"/>
      <protection hidden="1"/>
    </xf>
    <xf numFmtId="0" fontId="11" fillId="20" borderId="41" xfId="1" applyFont="1" applyFill="1" applyBorder="1" applyAlignment="1" applyProtection="1">
      <alignment horizontal="center" vertical="center" wrapText="1"/>
      <protection hidden="1"/>
    </xf>
    <xf numFmtId="0" fontId="44" fillId="2" borderId="30" xfId="1" applyFont="1" applyFill="1" applyBorder="1" applyAlignment="1" applyProtection="1">
      <alignment horizontal="center"/>
      <protection hidden="1"/>
    </xf>
    <xf numFmtId="0" fontId="44" fillId="2" borderId="31" xfId="1" applyFont="1" applyFill="1" applyBorder="1" applyAlignment="1" applyProtection="1">
      <alignment horizontal="center"/>
      <protection hidden="1"/>
    </xf>
    <xf numFmtId="0" fontId="44" fillId="2" borderId="31" xfId="1" applyFont="1" applyFill="1" applyBorder="1" applyAlignment="1" applyProtection="1">
      <alignment horizontal="center" vertical="center"/>
      <protection hidden="1"/>
    </xf>
    <xf numFmtId="0" fontId="44" fillId="2" borderId="32" xfId="1" applyFont="1" applyFill="1" applyBorder="1" applyAlignment="1" applyProtection="1">
      <alignment horizontal="center" vertical="center"/>
      <protection hidden="1"/>
    </xf>
    <xf numFmtId="0" fontId="23" fillId="0" borderId="0" xfId="0" applyFont="1" applyAlignment="1" applyProtection="1">
      <alignment horizontal="center" vertical="center"/>
      <protection hidden="1"/>
    </xf>
  </cellXfs>
  <cellStyles count="14">
    <cellStyle name="Normal 2" xfId="1" xr:uid="{5FBE6F90-2127-7448-BDB9-B069260BCBFA}"/>
    <cellStyle name="Normal 3" xfId="2" xr:uid="{679B97A4-0B64-4823-9D1E-C55FE80CD937}"/>
    <cellStyle name="Normal 3 2" xfId="3" xr:uid="{2F9F1075-D8BB-4947-8A12-90A3B31E8D91}"/>
    <cellStyle name="Normal 3 2 2" xfId="6" xr:uid="{4CE3A3C5-57BB-4BAC-80F6-20D1AE00C597}"/>
    <cellStyle name="Normal 3 2 2 2" xfId="12" xr:uid="{796CBDF2-EBB7-44D2-8C46-6A69FE0001F7}"/>
    <cellStyle name="Normal 3 2 3" xfId="9" xr:uid="{07AF1E1E-C263-4B75-96F1-49035F06249A}"/>
    <cellStyle name="Normal 3 3" xfId="4" xr:uid="{92856141-40BD-423E-A363-3157C3BB7893}"/>
    <cellStyle name="Normal 3 3 2" xfId="7" xr:uid="{81069BC4-8C15-4B09-847D-058AADD49E61}"/>
    <cellStyle name="Normal 3 3 2 2" xfId="13" xr:uid="{06DE86AD-AE99-480A-978E-1045F1959363}"/>
    <cellStyle name="Normal 3 3 3" xfId="10" xr:uid="{E76DACEA-D56A-49CF-9605-540B98C2ABAE}"/>
    <cellStyle name="Normal 3 4" xfId="5" xr:uid="{A81F0D77-301E-4A89-83E4-BF0D6FBBCEAE}"/>
    <cellStyle name="Normal 3 4 2" xfId="11" xr:uid="{7DCCC1FC-B3AE-46D9-95CC-D5C0B9D30FEA}"/>
    <cellStyle name="Normal 3 5" xfId="8" xr:uid="{69099275-C142-47E1-8A5D-F15AD9CA2BF3}"/>
    <cellStyle name="常规" xfId="0" builtinId="0"/>
  </cellStyles>
  <dxfs count="121">
    <dxf>
      <border outline="0">
        <top style="medium">
          <color indexed="64"/>
        </top>
      </border>
    </dxf>
    <dxf>
      <border outline="0">
        <bottom style="medium">
          <color indexed="64"/>
        </bottom>
      </border>
    </dxf>
    <dxf>
      <font>
        <b/>
        <i val="0"/>
        <strike val="0"/>
        <condense val="0"/>
        <extend val="0"/>
        <outline val="0"/>
        <shadow val="0"/>
        <u val="none"/>
        <vertAlign val="baseline"/>
        <sz val="16"/>
        <color auto="1"/>
        <name val="Calibri"/>
        <family val="2"/>
        <scheme val="minor"/>
      </font>
      <fill>
        <patternFill patternType="solid">
          <fgColor indexed="64"/>
          <bgColor theme="0"/>
        </patternFill>
      </fill>
      <alignment horizontal="center" vertical="bottom" textRotation="0" wrapText="1" indent="0" justifyLastLine="0" shrinkToFit="0" readingOrder="0"/>
    </dxf>
    <dxf>
      <fill>
        <patternFill>
          <bgColor rgb="FFFFC000"/>
        </patternFill>
      </fill>
    </dxf>
    <dxf>
      <fill>
        <patternFill>
          <bgColor rgb="FF92D050"/>
        </patternFill>
      </fill>
    </dxf>
    <dxf>
      <fill>
        <patternFill>
          <bgColor rgb="FFFFFFCC"/>
        </patternFill>
      </fill>
    </dxf>
    <dxf>
      <font>
        <b val="0"/>
        <i val="0"/>
        <strike val="0"/>
        <condense val="0"/>
        <extend val="0"/>
        <outline val="0"/>
        <shadow val="0"/>
        <u val="none"/>
        <vertAlign val="baseline"/>
        <sz val="8"/>
        <color rgb="FF000000"/>
        <name val="Arial"/>
        <family val="2"/>
        <scheme val="none"/>
      </font>
      <numFmt numFmtId="176" formatCode="0.0"/>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numFmt numFmtId="176" formatCode="0.0"/>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numFmt numFmtId="176" formatCode="0.0"/>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numFmt numFmtId="0" formatCode="Genera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numFmt numFmtId="0" formatCode="General"/>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1"/>
    </dxf>
    <dxf>
      <font>
        <b val="0"/>
        <i val="0"/>
        <strike val="0"/>
        <condense val="0"/>
        <extend val="0"/>
        <outline val="0"/>
        <shadow val="0"/>
        <u val="none"/>
        <vertAlign val="baseline"/>
        <sz val="8"/>
        <color theme="1"/>
        <name val="Arial"/>
        <family val="2"/>
        <scheme val="none"/>
      </font>
      <numFmt numFmtId="176" formatCode="0.0"/>
      <fill>
        <patternFill patternType="none">
          <fgColor indexed="64"/>
          <bgColor auto="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1"/>
    </dxf>
    <dxf>
      <font>
        <b val="0"/>
        <i val="0"/>
        <strike val="0"/>
        <condense val="0"/>
        <extend val="0"/>
        <outline val="0"/>
        <shadow val="0"/>
        <u val="none"/>
        <vertAlign val="baseline"/>
        <sz val="8"/>
        <color theme="1"/>
        <name val="Arial"/>
        <family val="2"/>
        <scheme val="none"/>
      </font>
      <numFmt numFmtId="0" formatCode="General"/>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numFmt numFmtId="0" formatCode="General"/>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numFmt numFmtId="176" formatCode="0.0"/>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numFmt numFmtId="176" formatCode="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1" hidden="1"/>
    </dxf>
    <dxf>
      <font>
        <b val="0"/>
        <i val="0"/>
        <strike val="0"/>
        <condense val="0"/>
        <extend val="0"/>
        <outline val="0"/>
        <shadow val="0"/>
        <u val="none"/>
        <vertAlign val="baseline"/>
        <sz val="8"/>
        <color theme="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0"/>
    </dxf>
    <dxf>
      <font>
        <b val="0"/>
        <i val="0"/>
        <strike val="0"/>
        <condense val="0"/>
        <extend val="0"/>
        <outline val="0"/>
        <shadow val="0"/>
        <u val="none"/>
        <vertAlign val="baseline"/>
        <sz val="8"/>
        <color theme="1"/>
        <name val="Arial"/>
        <family val="2"/>
        <scheme val="none"/>
      </font>
      <numFmt numFmtId="176" formatCode="0.0"/>
      <fill>
        <patternFill patternType="none">
          <fgColor indexed="64"/>
          <bgColor indexed="65"/>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0"/>
    </dxf>
    <dxf>
      <font>
        <b val="0"/>
        <i val="0"/>
        <strike val="0"/>
        <condense val="0"/>
        <extend val="0"/>
        <outline val="0"/>
        <shadow val="0"/>
        <u val="none"/>
        <vertAlign val="baseline"/>
        <sz val="8"/>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0"/>
    </dxf>
    <dxf>
      <font>
        <b val="0"/>
        <i val="0"/>
        <strike val="0"/>
        <condense val="0"/>
        <extend val="0"/>
        <outline val="0"/>
        <shadow val="0"/>
        <u val="none"/>
        <vertAlign val="baseline"/>
        <sz val="8"/>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protection locked="0" hidden="0"/>
    </dxf>
    <dxf>
      <font>
        <b val="0"/>
        <i val="0"/>
        <strike val="0"/>
        <condense val="0"/>
        <extend val="0"/>
        <outline val="0"/>
        <shadow val="0"/>
        <u val="none"/>
        <vertAlign val="baseline"/>
        <sz val="8"/>
        <color theme="1"/>
        <name val="Arial"/>
        <family val="2"/>
        <scheme val="none"/>
      </font>
      <numFmt numFmtId="0" formatCode="General"/>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protection locked="1" hidden="1"/>
    </dxf>
    <dxf>
      <border>
        <top style="thin">
          <color rgb="FF808080"/>
        </top>
      </border>
    </dxf>
    <dxf>
      <border diagonalUp="0" diagonalDown="0">
        <left style="thin">
          <color rgb="FF808080"/>
        </left>
        <right style="thin">
          <color rgb="FF808080"/>
        </right>
        <top style="thin">
          <color rgb="FF808080"/>
        </top>
        <bottom style="thin">
          <color rgb="FF808080"/>
        </bottom>
      </border>
    </dxf>
    <dxf>
      <font>
        <b val="0"/>
        <i val="0"/>
        <strike val="0"/>
        <condense val="0"/>
        <extend val="0"/>
        <outline val="0"/>
        <shadow val="0"/>
        <u val="none"/>
        <vertAlign val="baseline"/>
        <sz val="8"/>
        <color rgb="FF000000"/>
        <name val="Arial"/>
        <family val="2"/>
        <scheme val="none"/>
      </font>
      <fill>
        <patternFill patternType="none">
          <fgColor rgb="FF000000"/>
          <bgColor auto="1"/>
        </patternFill>
      </fill>
      <alignment horizontal="center" vertical="center" textRotation="0" wrapText="1" indent="0" justifyLastLine="0" shrinkToFit="0" readingOrder="0"/>
      <protection locked="1" hidden="1"/>
    </dxf>
    <dxf>
      <border>
        <bottom style="thin">
          <color rgb="FF808080"/>
        </bottom>
      </border>
    </dxf>
    <dxf>
      <font>
        <strike val="0"/>
        <outline val="0"/>
        <shadow val="0"/>
        <u val="none"/>
        <vertAlign val="baseline"/>
        <sz val="9"/>
        <color theme="0"/>
        <name val="Arial"/>
        <family val="2"/>
        <scheme val="none"/>
      </font>
      <alignment horizontal="center" vertical="center" textRotation="0" indent="0" justifyLastLine="0" shrinkToFit="0" readingOrder="0"/>
      <border diagonalUp="0" diagonalDown="0" outline="0">
        <left style="thin">
          <color theme="1" tint="0.499984740745262"/>
        </left>
        <right style="thin">
          <color theme="1" tint="0.499984740745262"/>
        </right>
        <top/>
        <bottom/>
      </border>
      <protection locked="1" hidden="1"/>
    </dxf>
    <dxf>
      <fill>
        <patternFill>
          <bgColor rgb="FFFFFF00"/>
        </patternFill>
      </fill>
    </dxf>
    <dxf>
      <fill>
        <patternFill>
          <bgColor rgb="FFFFFF00"/>
        </patternFill>
      </fill>
    </dxf>
    <dxf>
      <fill>
        <patternFill patternType="lightUp">
          <fgColor theme="0" tint="-0.499984740745262"/>
          <bgColor auto="1"/>
        </patternFill>
      </fill>
    </dxf>
    <dxf>
      <fill>
        <patternFill>
          <bgColor rgb="FFFFFF00"/>
        </patternFill>
      </fill>
    </dxf>
    <dxf>
      <fill>
        <patternFill patternType="lightUp">
          <fgColor theme="0" tint="-0.499984740745262"/>
          <bgColor auto="1"/>
        </patternFill>
      </fill>
    </dxf>
    <dxf>
      <fill>
        <patternFill>
          <bgColor rgb="FFFFFF00"/>
        </patternFill>
      </fill>
    </dxf>
    <dxf>
      <fill>
        <patternFill patternType="lightUp">
          <fgColor theme="0" tint="-0.499984740745262"/>
          <bgColor auto="1"/>
        </patternFill>
      </fill>
    </dxf>
    <dxf>
      <font>
        <b/>
        <i val="0"/>
      </font>
      <fill>
        <patternFill>
          <bgColor theme="8" tint="0.59996337778862885"/>
        </patternFill>
      </fill>
      <border>
        <left/>
        <right/>
        <top style="thin">
          <color auto="1"/>
        </top>
        <bottom style="thin">
          <color auto="1"/>
        </bottom>
      </border>
    </dxf>
    <dxf>
      <font>
        <b/>
        <i val="0"/>
      </font>
      <fill>
        <patternFill>
          <bgColor theme="6" tint="0.59996337778862885"/>
        </patternFill>
      </fill>
      <border>
        <left/>
        <right/>
        <top style="thin">
          <color auto="1"/>
        </top>
        <bottom style="thin">
          <color auto="1"/>
        </bottom>
      </border>
    </dxf>
    <dxf>
      <font>
        <b/>
        <i val="0"/>
      </font>
      <fill>
        <patternFill>
          <bgColor rgb="FFFFC000"/>
        </patternFill>
      </fill>
      <border>
        <left/>
        <right/>
        <top style="thin">
          <color auto="1"/>
        </top>
        <bottom style="thin">
          <color auto="1"/>
        </bottom>
      </border>
    </dxf>
    <dxf>
      <font>
        <b/>
        <i val="0"/>
        <color theme="0"/>
      </font>
      <fill>
        <patternFill>
          <bgColor rgb="FF0070C0"/>
        </patternFill>
      </fill>
      <border>
        <left/>
        <right/>
        <top style="thin">
          <color auto="1"/>
        </top>
        <bottom style="thin">
          <color auto="1"/>
        </bottom>
      </border>
    </dxf>
    <dxf>
      <font>
        <b val="0"/>
        <i val="0"/>
      </font>
      <fill>
        <patternFill patternType="lightUp">
          <fgColor theme="0" tint="-0.24994659260841701"/>
          <bgColor theme="0"/>
        </patternFill>
      </fill>
      <border>
        <left style="thin">
          <color theme="0" tint="-0.499984740745262"/>
        </left>
        <right style="thin">
          <color theme="0" tint="-0.499984740745262"/>
        </right>
        <top style="thin">
          <color theme="0" tint="-0.499984740745262"/>
        </top>
        <bottom style="thin">
          <color theme="0" tint="-0.499984740745262"/>
        </bottom>
      </border>
    </dxf>
    <dxf>
      <font>
        <color theme="0" tint="-0.34998626667073579"/>
      </font>
      <fill>
        <patternFill>
          <bgColor theme="0"/>
        </patternFill>
      </fill>
    </dxf>
    <dxf>
      <font>
        <b/>
        <i val="0"/>
      </font>
      <border>
        <left style="thin">
          <color auto="1"/>
        </left>
        <right style="thin">
          <color auto="1"/>
        </right>
        <top style="thin">
          <color auto="1"/>
        </top>
        <bottom style="thin">
          <color auto="1"/>
        </bottom>
      </border>
    </dxf>
    <dxf>
      <fill>
        <patternFill>
          <bgColor rgb="FFFFFF00"/>
        </patternFill>
      </fill>
    </dxf>
    <dxf>
      <fill>
        <patternFill patternType="lightUp">
          <fgColor theme="0" tint="-0.499984740745262"/>
          <bgColor auto="1"/>
        </patternFill>
      </fill>
    </dxf>
    <dxf>
      <fill>
        <patternFill patternType="lightUp">
          <fgColor theme="0" tint="-0.24994659260841701"/>
          <bgColor auto="1"/>
        </patternFill>
      </fill>
    </dxf>
    <dxf>
      <fill>
        <patternFill patternType="lightUp">
          <fgColor theme="0" tint="-0.24994659260841701"/>
          <bgColor auto="1"/>
        </patternFill>
      </fill>
    </dxf>
    <dxf>
      <fill>
        <patternFill patternType="lightUp">
          <fgColor theme="0" tint="-0.499984740745262"/>
          <bgColor auto="1"/>
        </patternFill>
      </fill>
    </dxf>
    <dxf>
      <fill>
        <patternFill>
          <bgColor rgb="FFFFFF00"/>
        </patternFill>
      </fill>
    </dxf>
    <dxf>
      <fill>
        <patternFill>
          <bgColor rgb="FFFFFFCC"/>
        </patternFill>
      </fill>
    </dxf>
    <dxf>
      <fill>
        <patternFill>
          <bgColor rgb="FFFFFFCC"/>
        </patternFill>
      </fill>
    </dxf>
    <dxf>
      <font>
        <b val="0"/>
        <i val="0"/>
        <strike val="0"/>
        <condense val="0"/>
        <extend val="0"/>
        <outline val="0"/>
        <shadow val="0"/>
        <u val="none"/>
        <vertAlign val="baseline"/>
        <sz val="8"/>
        <color theme="1"/>
        <name val="Arial"/>
        <family val="2"/>
        <scheme val="none"/>
      </font>
      <numFmt numFmtId="0" formatCode="General"/>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horizontal/>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border>
        <top style="thin">
          <color theme="1" tint="0.499984740745262"/>
        </top>
      </border>
    </dxf>
    <dxf>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protection locked="0" hidden="1"/>
    </dxf>
    <dxf>
      <border>
        <bottom style="thin">
          <color theme="1" tint="0.499984740745262"/>
        </bottom>
      </border>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center" textRotation="0" wrapText="1" relativeIndent="1" justifyLastLine="0" shrinkToFit="0" readingOrder="0"/>
      <border diagonalUp="0" diagonalDown="0">
        <left style="thin">
          <color theme="1" tint="0.499984740745262"/>
        </left>
        <right style="thin">
          <color theme="1" tint="0.499984740745262"/>
        </right>
        <top/>
        <bottom/>
        <vertical style="thin">
          <color theme="1" tint="0.499984740745262"/>
        </vertical>
        <horizontal style="thin">
          <color theme="1" tint="0.499984740745262"/>
        </horizontal>
      </border>
      <protection locked="1" hidden="1"/>
    </dxf>
    <dxf>
      <fill>
        <patternFill>
          <bgColor rgb="FFFFFF00"/>
        </patternFill>
      </fill>
    </dxf>
    <dxf>
      <fill>
        <patternFill>
          <bgColor theme="0" tint="-0.24994659260841701"/>
        </patternFill>
      </fill>
    </dxf>
    <dxf>
      <fill>
        <patternFill>
          <bgColor rgb="FFFFFFCC"/>
        </patternFill>
      </fill>
    </dxf>
    <dxf>
      <font>
        <b val="0"/>
        <i val="0"/>
        <strike val="0"/>
        <condense val="0"/>
        <extend val="0"/>
        <outline val="0"/>
        <shadow val="0"/>
        <u val="none"/>
        <vertAlign val="baseline"/>
        <sz val="8"/>
        <color theme="1"/>
        <name val="Arial"/>
        <family val="2"/>
        <scheme val="none"/>
      </font>
      <numFmt numFmtId="0" formatCode="General"/>
      <fill>
        <patternFill patternType="solid">
          <fgColor indexed="64"/>
          <bgColor theme="0" tint="-0.14999847407452621"/>
        </patternFill>
      </fill>
      <alignment horizontal="left" vertical="center" textRotation="0" wrapText="1" indent="0" justifyLastLine="0" shrinkToFit="0" readingOrder="0"/>
      <protection locked="0" hidden="1"/>
    </dxf>
    <dxf>
      <font>
        <b val="0"/>
        <i val="0"/>
        <strike val="0"/>
        <condense val="0"/>
        <extend val="0"/>
        <outline val="0"/>
        <shadow val="0"/>
        <u val="none"/>
        <vertAlign val="baseline"/>
        <sz val="8"/>
        <color theme="1"/>
        <name val="Arial"/>
        <family val="2"/>
        <scheme val="none"/>
      </font>
      <numFmt numFmtId="0" formatCode="General"/>
      <fill>
        <patternFill patternType="solid">
          <fgColor indexed="64"/>
          <bgColor theme="0" tint="-0.14999847407452621"/>
        </patternFill>
      </fill>
      <alignment horizontal="left"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numFmt numFmtId="30" formatCode="@"/>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numFmt numFmtId="1" formatCode="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numFmt numFmtId="1" formatCode="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numFmt numFmtId="1" formatCode="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numFmt numFmtId="1" formatCode="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numFmt numFmtId="1" formatCode="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numFmt numFmtId="1" formatCode="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protection locked="0" hidden="1"/>
    </dxf>
    <dxf>
      <font>
        <b val="0"/>
        <i val="0"/>
        <strike val="0"/>
        <condense val="0"/>
        <extend val="0"/>
        <outline val="0"/>
        <shadow val="0"/>
        <u val="none"/>
        <vertAlign val="baseline"/>
        <sz val="8"/>
        <color theme="1"/>
        <name val="Arial"/>
        <family val="2"/>
        <scheme val="none"/>
      </font>
      <numFmt numFmtId="176" formatCode="0.0"/>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ont>
        <b val="0"/>
        <i val="0"/>
        <strike val="0"/>
        <condense val="0"/>
        <extend val="0"/>
        <outline val="0"/>
        <shadow val="0"/>
        <u val="none"/>
        <vertAlign val="baseline"/>
        <sz val="8"/>
        <color theme="1"/>
        <name val="Arial"/>
        <family val="2"/>
        <scheme val="none"/>
      </font>
      <alignment horizontal="left" vertical="center" textRotation="0" wrapText="1" indent="1" justifyLastLine="0" shrinkToFit="0" readingOrder="0"/>
      <border diagonalUp="0" diagonalDown="0">
        <left style="thin">
          <color theme="1"/>
        </left>
        <right style="thin">
          <color theme="1"/>
        </right>
        <top style="thin">
          <color theme="1"/>
        </top>
        <bottom style="thin">
          <color theme="1"/>
        </bottom>
        <vertical/>
        <horizontal/>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family val="2"/>
        <scheme val="none"/>
      </font>
      <fill>
        <patternFill patternType="none">
          <fgColor indexed="64"/>
          <bgColor auto="1"/>
        </patternFill>
      </fill>
      <alignment horizontal="left" vertical="center" textRotation="0" wrapText="1" indent="1" justifyLastLine="0" shrinkToFit="0" readingOrder="0"/>
      <protection locked="0" hidden="1"/>
    </dxf>
    <dxf>
      <border outline="0">
        <bottom style="medium">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center" textRotation="0" wrapText="1" relativeIndent="1" justifyLastLine="0" shrinkToFit="0" readingOrder="0"/>
      <border diagonalUp="0" diagonalDown="0">
        <left style="thin">
          <color theme="1" tint="0.499984740745262"/>
        </left>
        <right style="thin">
          <color theme="1" tint="0.499984740745262"/>
        </right>
        <top/>
        <bottom/>
        <vertical style="thin">
          <color theme="1" tint="0.499984740745262"/>
        </vertical>
        <horizontal style="thin">
          <color theme="1" tint="0.499984740745262"/>
        </horizontal>
      </border>
      <protection locked="1" hidden="1"/>
    </dxf>
    <dxf>
      <fill>
        <patternFill>
          <bgColor rgb="FFFFFF00"/>
        </patternFill>
      </fill>
    </dxf>
    <dxf>
      <fill>
        <patternFill>
          <bgColor theme="0" tint="-0.24994659260841701"/>
        </patternFill>
      </fill>
    </dxf>
    <dxf>
      <fill>
        <patternFill>
          <bgColor rgb="FFFFFF00"/>
        </patternFill>
      </fill>
    </dxf>
    <dxf>
      <fill>
        <patternFill>
          <bgColor rgb="FFFFFFCC"/>
        </patternFill>
      </fill>
    </dxf>
    <dxf>
      <fill>
        <patternFill>
          <bgColor rgb="FFFFFFCC"/>
        </patternFill>
      </fill>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0" indent="1" justifyLastLine="0" shrinkToFit="0" readingOrder="0"/>
      <border diagonalUp="0" diagonalDown="0">
        <left/>
        <right style="thin">
          <color auto="1"/>
        </right>
        <top style="thin">
          <color auto="1"/>
        </top>
        <bottom style="thin">
          <color auto="1"/>
        </bottom>
        <vertical style="thin">
          <color auto="1"/>
        </vertical>
        <horizontal style="thin">
          <color auto="1"/>
        </horizontal>
      </border>
      <protection locked="0" hidden="0"/>
    </dxf>
    <dxf>
      <border>
        <top style="thin">
          <color auto="1"/>
        </top>
      </border>
    </dxf>
    <dxf>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0" indent="1" justifyLastLine="0" shrinkToFit="0" readingOrder="0"/>
      <protection locked="0" hidden="0"/>
    </dxf>
    <dxf>
      <border>
        <bottom style="thin">
          <color auto="1"/>
        </bottom>
      </border>
    </dxf>
    <dxf>
      <font>
        <b/>
        <i val="0"/>
        <strike val="0"/>
        <condense val="0"/>
        <extend val="0"/>
        <outline val="0"/>
        <shadow val="0"/>
        <u val="none"/>
        <vertAlign val="baseline"/>
        <sz val="10"/>
        <color theme="0"/>
        <name val="Arial"/>
        <family val="2"/>
        <scheme val="none"/>
      </font>
      <alignment horizontal="left" vertical="center" textRotation="0" wrapText="1" indent="1" justifyLastLine="0" shrinkToFit="0" readingOrder="0"/>
      <border diagonalUp="0" diagonalDown="0" outline="0">
        <left style="thin">
          <color auto="1"/>
        </left>
        <right style="thin">
          <color auto="1"/>
        </right>
        <top/>
        <bottom/>
      </border>
      <protection locked="0" hidden="1"/>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border diagonalUp="0" diagonalDown="0">
        <left style="thin">
          <color auto="1"/>
        </left>
        <right/>
        <top style="thin">
          <color auto="1"/>
        </top>
        <bottom style="thin">
          <color auto="1"/>
        </bottom>
        <vertical style="thin">
          <color auto="1"/>
        </vertical>
        <horizontal style="thin">
          <color auto="1"/>
        </horizontal>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left" vertical="center" textRotation="0" wrapText="1" indent="1" justifyLastLine="0" shrinkToFit="0" readingOrder="0"/>
      <border diagonalUp="0" diagonalDown="0" outline="0">
        <left style="thin">
          <color indexed="64"/>
        </left>
        <right style="thin">
          <color auto="1"/>
        </right>
        <top style="thin">
          <color auto="1"/>
        </top>
        <bottom style="thin">
          <color auto="1"/>
        </bottom>
      </border>
      <protection locked="0" hidden="0"/>
    </dxf>
    <dxf>
      <font>
        <b val="0"/>
        <i val="0"/>
        <strike val="0"/>
        <condense val="0"/>
        <extend val="0"/>
        <outline val="0"/>
        <shadow val="0"/>
        <u val="none"/>
        <vertAlign val="baseline"/>
        <sz val="8"/>
        <color theme="1"/>
        <name val="Arial"/>
        <family val="2"/>
        <scheme val="none"/>
      </font>
      <numFmt numFmtId="177" formatCode="m/d/yyyy"/>
      <fill>
        <patternFill patternType="solid">
          <fgColor indexed="64"/>
          <bgColor theme="0"/>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right/>
        <top style="thin">
          <color auto="1"/>
        </top>
        <bottom style="thin">
          <color auto="1"/>
        </bottom>
      </border>
      <protection locked="0" hidden="0"/>
    </dxf>
    <dxf>
      <border>
        <top style="thin">
          <color auto="1"/>
        </top>
      </border>
    </dxf>
    <dxf>
      <border diagonalUp="0" diagonalDown="0">
        <left style="thin">
          <color auto="1"/>
        </left>
        <right style="thin">
          <color auto="1"/>
        </right>
        <top style="thin">
          <color auto="1"/>
        </top>
        <bottom style="thin">
          <color auto="1"/>
        </bottom>
      </border>
    </dxf>
    <dxf>
      <protection locked="0" hidden="0"/>
    </dxf>
    <dxf>
      <border>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center" textRotation="0" wrapText="1" indent="1" justifyLastLine="0" shrinkToFit="0" readingOrder="0"/>
      <border diagonalUp="0" diagonalDown="0">
        <left style="thin">
          <color auto="1"/>
        </left>
        <right style="thin">
          <color auto="1"/>
        </right>
        <top/>
        <bottom/>
        <vertical style="thin">
          <color auto="1"/>
        </vertical>
        <horizontal style="thin">
          <color auto="1"/>
        </horizontal>
      </border>
      <protection locked="0" hidden="1"/>
    </dxf>
    <dxf>
      <fill>
        <patternFill>
          <bgColor rgb="FFFFFF00"/>
        </patternFill>
      </fill>
    </dxf>
  </dxfs>
  <tableStyles count="0" defaultTableStyle="TableStyleMedium2" defaultPivotStyle="PivotStyleLight16"/>
  <colors>
    <mruColors>
      <color rgb="FFCC66FF"/>
      <color rgb="FFFFCC66"/>
      <color rgb="FFFF7C80"/>
      <color rgb="FF6666FF"/>
      <color rgb="FFFF00FF"/>
      <color rgb="FF04080C"/>
      <color rgb="FFFFCC99"/>
      <color rgb="FFFFFFCC"/>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5" Type="http://schemas.openxmlformats.org/officeDocument/2006/relationships/customXml" Target="../customXml/item5.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77470</xdr:colOff>
      <xdr:row>1</xdr:row>
      <xdr:rowOff>41487</xdr:rowOff>
    </xdr:from>
    <xdr:to>
      <xdr:col>7</xdr:col>
      <xdr:colOff>74084</xdr:colOff>
      <xdr:row>34</xdr:row>
      <xdr:rowOff>77047</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7470" y="581237"/>
          <a:ext cx="10516447" cy="668189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algn="l"/>
          <a:r>
            <a:rPr lang="en-US" sz="1200" b="1" i="0">
              <a:solidFill>
                <a:schemeClr val="tx1"/>
              </a:solidFill>
              <a:latin typeface="Söhne Halbfett" panose="020B0703030202060203" pitchFamily="34" charset="0"/>
              <a:cs typeface="Arial" panose="020B0604020202020204" pitchFamily="34" charset="0"/>
            </a:rPr>
            <a:t>BACKGROUND INFORMATION</a:t>
          </a:r>
          <a:r>
            <a:rPr lang="en-US" sz="1200" b="1" i="0">
              <a:solidFill>
                <a:schemeClr val="tx2">
                  <a:lumMod val="50000"/>
                </a:schemeClr>
              </a:solidFill>
              <a:latin typeface="Söhne Halbfett" panose="020B0703030202060203" pitchFamily="34" charset="0"/>
              <a:cs typeface="Arial" panose="020B0604020202020204" pitchFamily="34" charset="0"/>
            </a:rPr>
            <a:t>:</a:t>
          </a:r>
          <a:br>
            <a:rPr lang="en-US" sz="1200" b="0" i="0">
              <a:solidFill>
                <a:schemeClr val="tx2">
                  <a:lumMod val="50000"/>
                </a:schemeClr>
              </a:solidFill>
              <a:latin typeface="Söhne Halbfett" panose="020B0703030202060203" pitchFamily="34" charset="0"/>
              <a:cs typeface="Arial" panose="020B0604020202020204" pitchFamily="34" charset="0"/>
            </a:rPr>
          </a:br>
          <a:r>
            <a:rPr lang="en-US" sz="1200" b="0" i="0">
              <a:solidFill>
                <a:schemeClr val="tx1">
                  <a:lumMod val="50000"/>
                  <a:lumOff val="50000"/>
                </a:schemeClr>
              </a:solidFill>
              <a:latin typeface="Söhne Leicht" panose="020B0303030202060203" pitchFamily="34" charset="0"/>
              <a:cs typeface="Arial" panose="020B0604020202020204" pitchFamily="34" charset="0"/>
            </a:rPr>
            <a:t>This document contains 7 sheets: Cover Page, ISO View, Cylinder Detail, Sensor </a:t>
          </a:r>
          <a:r>
            <a:rPr lang="en-US" sz="1200" b="0" i="0">
              <a:solidFill>
                <a:schemeClr val="bg1">
                  <a:lumMod val="50000"/>
                </a:schemeClr>
              </a:solidFill>
              <a:latin typeface="Söhne Leicht" panose="020B0303030202060203" pitchFamily="34" charset="0"/>
              <a:cs typeface="Arial" panose="020B0604020202020204" pitchFamily="34" charset="0"/>
            </a:rPr>
            <a:t>Detail,Tooling Detail, Sequence Detail</a:t>
          </a:r>
          <a:r>
            <a:rPr lang="en-US" sz="1200" b="0" i="0" baseline="0">
              <a:solidFill>
                <a:schemeClr val="bg1">
                  <a:lumMod val="50000"/>
                </a:schemeClr>
              </a:solidFill>
              <a:latin typeface="Söhne Leicht" panose="020B0303030202060203" pitchFamily="34" charset="0"/>
              <a:cs typeface="Arial" panose="020B0604020202020204" pitchFamily="34" charset="0"/>
            </a:rPr>
            <a:t> and Validation</a:t>
          </a:r>
          <a:br>
            <a:rPr lang="en-US" sz="1200" b="0" i="0">
              <a:solidFill>
                <a:schemeClr val="bg1">
                  <a:lumMod val="50000"/>
                </a:schemeClr>
              </a:solidFill>
              <a:latin typeface="Söhne Leicht" panose="020B0303030202060203" pitchFamily="34" charset="0"/>
              <a:cs typeface="Arial" panose="020B0604020202020204" pitchFamily="34" charset="0"/>
            </a:rPr>
          </a:br>
          <a:r>
            <a:rPr lang="en-US" sz="1200" b="0" i="0">
              <a:solidFill>
                <a:schemeClr val="bg1">
                  <a:lumMod val="50000"/>
                </a:schemeClr>
              </a:solidFill>
              <a:latin typeface="Söhne Leicht" panose="020B0303030202060203" pitchFamily="34" charset="0"/>
              <a:cs typeface="Arial" panose="020B0604020202020204" pitchFamily="34" charset="0"/>
            </a:rPr>
            <a:t>This document is intended to be used in conjunction</a:t>
          </a:r>
          <a:r>
            <a:rPr lang="en-US" sz="1200" b="0" i="0" baseline="0">
              <a:solidFill>
                <a:schemeClr val="bg1">
                  <a:lumMod val="50000"/>
                </a:schemeClr>
              </a:solidFill>
              <a:latin typeface="Söhne Leicht" panose="020B0303030202060203" pitchFamily="34" charset="0"/>
              <a:cs typeface="Arial" panose="020B0604020202020204" pitchFamily="34" charset="0"/>
            </a:rPr>
            <a:t> with ME-RSTD-0044 - Pneumatic Calculator. There is data that is copy-pasted between these two documents.</a:t>
          </a:r>
          <a:br>
            <a:rPr lang="en-US" sz="1200" b="0" i="0">
              <a:solidFill>
                <a:schemeClr val="bg1">
                  <a:lumMod val="50000"/>
                </a:schemeClr>
              </a:solidFill>
              <a:latin typeface="Söhne Leicht" panose="020B0303030202060203" pitchFamily="34" charset="0"/>
              <a:cs typeface="Arial" panose="020B0604020202020204" pitchFamily="34" charset="0"/>
            </a:rPr>
          </a:br>
          <a:r>
            <a:rPr lang="en-US" sz="1200" b="1" i="0">
              <a:solidFill>
                <a:schemeClr val="bg1">
                  <a:lumMod val="50000"/>
                </a:schemeClr>
              </a:solidFill>
              <a:latin typeface="Söhne Leicht" panose="020B0303030202060203" pitchFamily="34" charset="0"/>
              <a:cs typeface="Arial" panose="020B0604020202020204" pitchFamily="34" charset="0"/>
            </a:rPr>
            <a:t>Read this instructions sheet in its entirety</a:t>
          </a:r>
          <a:r>
            <a:rPr lang="en-US" sz="1200" b="1" i="0" baseline="0">
              <a:solidFill>
                <a:schemeClr val="bg1">
                  <a:lumMod val="50000"/>
                </a:schemeClr>
              </a:solidFill>
              <a:latin typeface="Söhne Leicht" panose="020B0303030202060203" pitchFamily="34" charset="0"/>
              <a:cs typeface="Arial" panose="020B0604020202020204" pitchFamily="34" charset="0"/>
            </a:rPr>
            <a:t> before continuing to any of the subsequent sheets.</a:t>
          </a:r>
          <a:r>
            <a:rPr lang="en-US" sz="1200" b="0" i="0" baseline="0">
              <a:solidFill>
                <a:schemeClr val="bg1">
                  <a:lumMod val="50000"/>
                </a:schemeClr>
              </a:solidFill>
              <a:latin typeface="Söhne Leicht" panose="020B0303030202060203" pitchFamily="34" charset="0"/>
              <a:cs typeface="Arial" panose="020B0604020202020204" pitchFamily="34" charset="0"/>
            </a:rPr>
            <a:t> </a:t>
          </a:r>
        </a:p>
        <a:p>
          <a:pPr algn="l"/>
          <a:r>
            <a:rPr lang="en-US" sz="1200" b="1" i="0" baseline="0">
              <a:solidFill>
                <a:schemeClr val="bg1">
                  <a:lumMod val="50000"/>
                </a:schemeClr>
              </a:solidFill>
              <a:latin typeface="Söhne Leicht" panose="020B0303030202060203" pitchFamily="34" charset="0"/>
              <a:cs typeface="Arial" panose="020B0604020202020204" pitchFamily="34" charset="0"/>
            </a:rPr>
            <a:t>Make sure you trusted the document and enable the macros for automatic functionalities.</a:t>
          </a:r>
        </a:p>
        <a:p>
          <a:pPr algn="l"/>
          <a:endParaRPr lang="en-US" sz="1200" b="0" i="0" baseline="0">
            <a:solidFill>
              <a:schemeClr val="tx1">
                <a:lumMod val="50000"/>
                <a:lumOff val="50000"/>
              </a:schemeClr>
            </a:solidFill>
            <a:latin typeface="Söhne Leicht" panose="020B03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General Color Usage:</a:t>
          </a:r>
          <a:b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br>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Table cells that are no fill (white) are intended to be edited/filled out by the end user.</a:t>
          </a:r>
          <a:b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br>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Table cells that are light gray are intended to be autopopulated and are not to be edited by the end user.</a:t>
          </a:r>
        </a:p>
        <a:p>
          <a:pPr algn="l"/>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Table cells that are dark gray / dash gray are not applicable based other selections in the same row, and therefore do not need to be filled out.</a:t>
          </a:r>
          <a:b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br>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Once a row in a table has been started, the remaining required cells will turn yellow to draw attention that the row is not complete.</a:t>
          </a:r>
        </a:p>
        <a:p>
          <a:pPr algn="l"/>
          <a:endPar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endParaRPr>
        </a:p>
        <a:p>
          <a:pPr algn="l"/>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General Table Usage:</a:t>
          </a:r>
        </a:p>
        <a:p>
          <a:pPr algn="l"/>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Rows can be added or deleted from tables as necessary.</a:t>
          </a:r>
          <a:b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br>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However, please do not:</a:t>
          </a:r>
          <a:b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br>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 Edit column names</a:t>
          </a:r>
          <a:b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br>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 Add/Delete columns</a:t>
          </a:r>
        </a:p>
        <a:p>
          <a:pPr algn="l"/>
          <a:r>
            <a:rPr lang="en-US" sz="1200" b="0" i="0" baseline="0">
              <a:solidFill>
                <a:schemeClr val="bg1">
                  <a:lumMod val="50000"/>
                </a:schemeClr>
              </a:solidFill>
              <a:latin typeface="Söhne Leicht" panose="020B0303030202060203" pitchFamily="34" charset="0"/>
              <a:ea typeface="+mn-ea"/>
              <a:cs typeface="Arial" panose="020B0604020202020204" pitchFamily="34" charset="0"/>
            </a:rPr>
            <a:t>- Do not use Cut command (Ctrl + X)</a:t>
          </a:r>
        </a:p>
        <a:p>
          <a:pPr algn="l"/>
          <a:r>
            <a:rPr lang="en-US" sz="1200" b="0" i="0" baseline="0">
              <a:solidFill>
                <a:schemeClr val="bg1">
                  <a:lumMod val="50000"/>
                </a:schemeClr>
              </a:solidFill>
              <a:latin typeface="Söhne Leicht" panose="020B0303030202060203" pitchFamily="34" charset="0"/>
              <a:ea typeface="+mn-ea"/>
              <a:cs typeface="Arial" panose="020B0604020202020204" pitchFamily="34" charset="0"/>
            </a:rPr>
            <a:t>- Filter can be used but avoid use any form of Sort</a:t>
          </a:r>
          <a:br>
            <a:rPr lang="en-US" sz="1200" b="0" i="0" baseline="0">
              <a:solidFill>
                <a:schemeClr val="bg1">
                  <a:lumMod val="50000"/>
                </a:schemeClr>
              </a:solidFill>
              <a:latin typeface="Söhne Leicht" panose="020B0303030202060203" pitchFamily="34" charset="0"/>
              <a:ea typeface="+mn-ea"/>
              <a:cs typeface="Arial" panose="020B0604020202020204" pitchFamily="34" charset="0"/>
            </a:rPr>
          </a:br>
          <a:r>
            <a:rPr lang="en-US" sz="1200" b="0" i="0" baseline="0">
              <a:solidFill>
                <a:schemeClr val="bg1">
                  <a:lumMod val="50000"/>
                </a:schemeClr>
              </a:solidFill>
              <a:latin typeface="Söhne Leicht" panose="020B0303030202060203" pitchFamily="34" charset="0"/>
              <a:ea typeface="+mn-ea"/>
              <a:cs typeface="Arial" panose="020B0604020202020204" pitchFamily="34" charset="0"/>
            </a:rPr>
            <a:t>- Edit/Add/Delete conditional formatting rules</a:t>
          </a:r>
        </a:p>
        <a:p>
          <a:pPr algn="l"/>
          <a:r>
            <a:rPr lang="en-US" sz="1200" b="0" i="0" baseline="0">
              <a:solidFill>
                <a:schemeClr val="bg1">
                  <a:lumMod val="50000"/>
                </a:schemeClr>
              </a:solidFill>
              <a:latin typeface="Söhne Leicht" panose="020B0303030202060203" pitchFamily="34" charset="0"/>
              <a:ea typeface="+mn-ea"/>
              <a:cs typeface="Arial" panose="020B0604020202020204" pitchFamily="34" charset="0"/>
            </a:rPr>
            <a:t>- Edit/Add/Delete data validation rules</a:t>
          </a:r>
        </a:p>
        <a:p>
          <a:pPr algn="l"/>
          <a:r>
            <a:rPr lang="en-US" sz="1200" b="0" i="0" baseline="0">
              <a:solidFill>
                <a:schemeClr val="bg1">
                  <a:lumMod val="50000"/>
                </a:schemeClr>
              </a:solidFill>
              <a:latin typeface="Söhne Leicht" panose="020B0303030202060203" pitchFamily="34" charset="0"/>
              <a:ea typeface="+mn-ea"/>
              <a:cs typeface="Arial" panose="020B0604020202020204" pitchFamily="34" charset="0"/>
            </a:rPr>
            <a:t>- Edit/Add/Delete formulas whithin cells</a:t>
          </a:r>
        </a:p>
        <a:p>
          <a:pPr algn="l"/>
          <a:endPar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endParaRPr>
        </a:p>
        <a:p>
          <a:pPr algn="l"/>
          <a:r>
            <a:rPr lang="en-US" sz="1200" b="0" i="0" baseline="0">
              <a:solidFill>
                <a:schemeClr val="tx1">
                  <a:lumMod val="50000"/>
                  <a:lumOff val="50000"/>
                </a:schemeClr>
              </a:solidFill>
              <a:latin typeface="Söhne Leicht" panose="020B0303030202060203" pitchFamily="34" charset="0"/>
              <a:ea typeface="+mn-ea"/>
              <a:cs typeface="Arial" panose="020B0604020202020204" pitchFamily="34" charset="0"/>
            </a:rPr>
            <a:t>Specific sheet instructions are located directly on the sheets.</a:t>
          </a:r>
          <a:endParaRPr lang="en-US" sz="1200" b="0" i="0" baseline="0">
            <a:solidFill>
              <a:schemeClr val="tx1">
                <a:lumMod val="50000"/>
                <a:lumOff val="50000"/>
              </a:schemeClr>
            </a:solidFill>
            <a:latin typeface="Larsseit" panose="00000500000000000000" pitchFamily="50" charset="0"/>
            <a:cs typeface="Arial" panose="020B0604020202020204" pitchFamily="34" charset="0"/>
          </a:endParaRPr>
        </a:p>
        <a:p>
          <a:pPr algn="l"/>
          <a:endParaRPr lang="en-US" sz="1200" b="0" i="0" baseline="0">
            <a:solidFill>
              <a:schemeClr val="tx1">
                <a:lumMod val="50000"/>
                <a:lumOff val="50000"/>
              </a:schemeClr>
            </a:solidFill>
            <a:latin typeface="Larsseit" panose="00000500000000000000" pitchFamily="50" charset="0"/>
            <a:cs typeface="Arial" panose="020B0604020202020204" pitchFamily="34" charset="0"/>
          </a:endParaRPr>
        </a:p>
        <a:p>
          <a:pPr algn="l"/>
          <a:endParaRPr lang="en-US" sz="1200" b="0" i="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oneCellAnchor>
    <xdr:from>
      <xdr:col>0</xdr:col>
      <xdr:colOff>250989</xdr:colOff>
      <xdr:row>0</xdr:row>
      <xdr:rowOff>162375</xdr:rowOff>
    </xdr:from>
    <xdr:ext cx="1518770" cy="286674"/>
    <xdr:pic>
      <xdr:nvPicPr>
        <xdr:cNvPr id="4" name="Pictur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0989" y="162375"/>
          <a:ext cx="1518770" cy="2866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17145</xdr:colOff>
      <xdr:row>19</xdr:row>
      <xdr:rowOff>26671</xdr:rowOff>
    </xdr:from>
    <xdr:to>
      <xdr:col>4</xdr:col>
      <xdr:colOff>15240</xdr:colOff>
      <xdr:row>33</xdr:row>
      <xdr:rowOff>161925</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60020" y="4246246"/>
          <a:ext cx="4770120" cy="306895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algn="l"/>
          <a:r>
            <a:rPr lang="en-US" sz="1200" b="1" i="0">
              <a:solidFill>
                <a:schemeClr val="tx2">
                  <a:lumMod val="50000"/>
                </a:schemeClr>
              </a:solidFill>
              <a:latin typeface="Söhne Halbfett" panose="020B0703030202060203" pitchFamily="34" charset="0"/>
              <a:cs typeface="Arial" panose="020B0604020202020204" pitchFamily="34" charset="0"/>
            </a:rPr>
            <a:t>Sheet Instructions:</a:t>
          </a:r>
          <a:br>
            <a:rPr lang="en-US" sz="1200" b="0" i="0">
              <a:solidFill>
                <a:schemeClr val="tx2">
                  <a:lumMod val="50000"/>
                </a:schemeClr>
              </a:solidFill>
              <a:latin typeface="Söhne Halbfett" panose="020B0703030202060203" pitchFamily="34" charset="0"/>
              <a:cs typeface="Arial" panose="020B0604020202020204" pitchFamily="34" charset="0"/>
            </a:rPr>
          </a:br>
          <a:r>
            <a:rPr lang="en-US" sz="1200" b="0" i="0">
              <a:solidFill>
                <a:schemeClr val="tx1">
                  <a:lumMod val="50000"/>
                  <a:lumOff val="50000"/>
                </a:schemeClr>
              </a:solidFill>
              <a:latin typeface="Söhne Halbfett" panose="020B0703030202060203" pitchFamily="34" charset="0"/>
              <a:cs typeface="Arial" panose="020B0604020202020204" pitchFamily="34" charset="0"/>
            </a:rPr>
            <a:t>Fill</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out the information in the table above (shop, line, etc.) following Rivian's naming convention ME-RSTD-0005 and the specifics of the project.</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This information is carried over to the other sheets automatically and can only be edited here.</a:t>
          </a:r>
          <a:endParaRPr lang="en-US" sz="1100" b="1" i="0" u="none" strike="noStrike" baseline="0">
            <a:solidFill>
              <a:schemeClr val="tx1">
                <a:lumMod val="50000"/>
                <a:lumOff val="50000"/>
              </a:schemeClr>
            </a:solidFill>
            <a:effectLst/>
            <a:latin typeface="+mn-lt"/>
            <a:ea typeface="+mn-ea"/>
            <a:cs typeface="+mn-cs"/>
          </a:endParaRPr>
        </a:p>
        <a:p>
          <a:pPr algn="l"/>
          <a:endParaRPr lang="en-US" sz="1100" b="1" i="0" u="none" strike="noStrike" baseline="0">
            <a:solidFill>
              <a:schemeClr val="tx1">
                <a:lumMod val="50000"/>
                <a:lumOff val="50000"/>
              </a:schemeClr>
            </a:solidFill>
            <a:effectLst/>
            <a:latin typeface="+mn-lt"/>
            <a:ea typeface="+mn-ea"/>
            <a:cs typeface="+mn-cs"/>
          </a:endParaRPr>
        </a:p>
        <a:p>
          <a:pPr algn="l"/>
          <a:r>
            <a:rPr lang="en-US" sz="1100" b="0" i="0" u="none" strike="noStrike" baseline="0">
              <a:solidFill>
                <a:schemeClr val="tx1">
                  <a:lumMod val="50000"/>
                  <a:lumOff val="50000"/>
                </a:schemeClr>
              </a:solidFill>
              <a:effectLst/>
              <a:latin typeface="+mn-lt"/>
              <a:ea typeface="+mn-ea"/>
              <a:cs typeface="+mn-cs"/>
            </a:rPr>
            <a:t>For each different model/style that this tool works on, add an item to the Styles List. If appropriate, add a "Common" style. If a cylinder or sensor is tied to the "Common" style, that means it is used for all models/styles of parts that run through the tool.</a:t>
          </a:r>
        </a:p>
        <a:p>
          <a:pPr algn="l"/>
          <a:endParaRPr lang="en-US" sz="1100" b="1" i="0" u="none" strike="noStrike" baseline="0">
            <a:solidFill>
              <a:schemeClr val="tx1">
                <a:lumMod val="50000"/>
                <a:lumOff val="50000"/>
              </a:schemeClr>
            </a:solidFill>
            <a:effectLst/>
            <a:latin typeface="+mn-lt"/>
            <a:ea typeface="+mn-ea"/>
            <a:cs typeface="+mn-cs"/>
          </a:endParaRPr>
        </a:p>
        <a:p>
          <a:pPr algn="l"/>
          <a:r>
            <a:rPr lang="en-US" sz="1100" b="0" i="0" u="none" strike="noStrike" baseline="0">
              <a:solidFill>
                <a:schemeClr val="tx1">
                  <a:lumMod val="50000"/>
                  <a:lumOff val="50000"/>
                </a:schemeClr>
              </a:solidFill>
              <a:effectLst/>
              <a:latin typeface="+mn-lt"/>
              <a:ea typeface="+mn-ea"/>
              <a:cs typeface="+mn-cs"/>
            </a:rPr>
            <a:t>With each revision of this sheet, fill out a new row in the table to the right. Increase the Rev number </a:t>
          </a:r>
          <a:r>
            <a:rPr lang="en-US" sz="1100" b="0" i="0" u="none" strike="noStrike" baseline="0">
              <a:solidFill>
                <a:srgbClr val="FF0000"/>
              </a:solidFill>
              <a:effectLst/>
              <a:latin typeface="+mn-lt"/>
              <a:ea typeface="+mn-ea"/>
              <a:cs typeface="+mn-cs"/>
            </a:rPr>
            <a:t>A</a:t>
          </a:r>
          <a:r>
            <a:rPr lang="en-US" sz="1100" b="0" i="0" u="none" strike="noStrike" baseline="0">
              <a:solidFill>
                <a:schemeClr val="tx1">
                  <a:lumMod val="50000"/>
                  <a:lumOff val="50000"/>
                </a:schemeClr>
              </a:solidFill>
              <a:effectLst/>
              <a:latin typeface="+mn-lt"/>
              <a:ea typeface="+mn-ea"/>
              <a:cs typeface="+mn-cs"/>
            </a:rPr>
            <a:t>, add the author of the changes, and a note about what changed.</a:t>
          </a:r>
          <a:endParaRPr lang="en-US" sz="1200" b="0" i="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19</xdr:row>
      <xdr:rowOff>209549</xdr:rowOff>
    </xdr:from>
    <xdr:to>
      <xdr:col>2</xdr:col>
      <xdr:colOff>1588770</xdr:colOff>
      <xdr:row>32</xdr:row>
      <xdr:rowOff>180974</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409575" y="4429124"/>
          <a:ext cx="3550920" cy="26955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algn="l"/>
          <a:r>
            <a:rPr lang="en-US" sz="1200" b="1" i="0">
              <a:solidFill>
                <a:schemeClr val="tx2">
                  <a:lumMod val="50000"/>
                </a:schemeClr>
              </a:solidFill>
              <a:latin typeface="Söhne Halbfett" panose="020B0703030202060203" pitchFamily="34" charset="0"/>
              <a:cs typeface="Arial" panose="020B0604020202020204" pitchFamily="34" charset="0"/>
            </a:rPr>
            <a:t>Sheet Instructions:</a:t>
          </a:r>
          <a:br>
            <a:rPr lang="en-US" sz="1200" b="0" i="0">
              <a:solidFill>
                <a:schemeClr val="tx2">
                  <a:lumMod val="50000"/>
                </a:schemeClr>
              </a:solidFill>
              <a:latin typeface="Söhne Halbfett" panose="020B0703030202060203" pitchFamily="34" charset="0"/>
              <a:cs typeface="Arial" panose="020B0604020202020204" pitchFamily="34" charset="0"/>
            </a:rPr>
          </a:br>
          <a:r>
            <a:rPr lang="en-US" sz="1200" b="0" i="0">
              <a:solidFill>
                <a:schemeClr val="tx1">
                  <a:lumMod val="50000"/>
                  <a:lumOff val="50000"/>
                </a:schemeClr>
              </a:solidFill>
              <a:latin typeface="Söhne Halbfett" panose="020B0703030202060203" pitchFamily="34" charset="0"/>
              <a:cs typeface="Arial" panose="020B0604020202020204" pitchFamily="34" charset="0"/>
            </a:rPr>
            <a:t>Add an ISO view of the tool as an SVG image, all gray scale</a:t>
          </a:r>
          <a:endParaRPr lang="en-US" sz="1200" b="0" i="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oneCell">
    <xdr:from>
      <xdr:col>4</xdr:col>
      <xdr:colOff>515471</xdr:colOff>
      <xdr:row>2</xdr:row>
      <xdr:rowOff>291354</xdr:rowOff>
    </xdr:from>
    <xdr:to>
      <xdr:col>4</xdr:col>
      <xdr:colOff>6897221</xdr:colOff>
      <xdr:row>28</xdr:row>
      <xdr:rowOff>206637</xdr:rowOff>
    </xdr:to>
    <xdr:pic>
      <xdr:nvPicPr>
        <xdr:cNvPr id="2" name="图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650442" y="818030"/>
          <a:ext cx="6381750" cy="5585460"/>
        </a:xfrm>
        <a:prstGeom prst="rect">
          <a:avLst/>
        </a:prstGeom>
        <a:noFill/>
        <a:ln w="9525">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55420</xdr:colOff>
      <xdr:row>19</xdr:row>
      <xdr:rowOff>69268</xdr:rowOff>
    </xdr:from>
    <xdr:to>
      <xdr:col>2</xdr:col>
      <xdr:colOff>1133179</xdr:colOff>
      <xdr:row>52</xdr:row>
      <xdr:rowOff>123426</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55420" y="5264723"/>
          <a:ext cx="3100523" cy="78265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algn="l"/>
          <a:r>
            <a:rPr lang="en-US" sz="1200" b="1" i="0">
              <a:solidFill>
                <a:schemeClr val="tx2">
                  <a:lumMod val="50000"/>
                </a:schemeClr>
              </a:solidFill>
              <a:latin typeface="Söhne Halbfett" panose="020B0703030202060203" pitchFamily="34" charset="0"/>
              <a:cs typeface="Arial" panose="020B0604020202020204" pitchFamily="34" charset="0"/>
            </a:rPr>
            <a:t>Sheet Instructions:</a:t>
          </a:r>
          <a:br>
            <a:rPr lang="en-US" sz="1200" b="0" i="0">
              <a:solidFill>
                <a:schemeClr val="tx2">
                  <a:lumMod val="50000"/>
                </a:schemeClr>
              </a:solidFill>
              <a:latin typeface="Söhne Halbfett" panose="020B0703030202060203" pitchFamily="34" charset="0"/>
              <a:cs typeface="Arial" panose="020B0604020202020204" pitchFamily="34" charset="0"/>
            </a:rPr>
          </a:br>
          <a:r>
            <a:rPr lang="en-US" sz="1200" b="1" i="0">
              <a:solidFill>
                <a:schemeClr val="tx1">
                  <a:lumMod val="50000"/>
                  <a:lumOff val="50000"/>
                </a:schemeClr>
              </a:solidFill>
              <a:latin typeface="Söhne Halbfett" panose="020B0703030202060203" pitchFamily="34" charset="0"/>
              <a:cs typeface="Arial" panose="020B0604020202020204" pitchFamily="34" charset="0"/>
            </a:rPr>
            <a:t>1. </a:t>
          </a:r>
          <a:r>
            <a:rPr lang="en-US" sz="1200" b="0" i="0">
              <a:solidFill>
                <a:schemeClr val="tx1">
                  <a:lumMod val="50000"/>
                  <a:lumOff val="50000"/>
                </a:schemeClr>
              </a:solidFill>
              <a:latin typeface="Söhne Halbfett" panose="020B0703030202060203" pitchFamily="34" charset="0"/>
              <a:cs typeface="Arial" panose="020B0604020202020204" pitchFamily="34" charset="0"/>
            </a:rPr>
            <a:t>Fill out the rows (one for</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each cylinder)</a:t>
          </a:r>
          <a:r>
            <a:rPr lang="en-US" sz="1200" b="0" i="0">
              <a:solidFill>
                <a:schemeClr val="tx1">
                  <a:lumMod val="50000"/>
                  <a:lumOff val="50000"/>
                </a:schemeClr>
              </a:solidFill>
              <a:latin typeface="Söhne Halbfett" panose="020B0703030202060203" pitchFamily="34" charset="0"/>
              <a:cs typeface="Arial" panose="020B0604020202020204" pitchFamily="34" charset="0"/>
            </a:rPr>
            <a:t> starting with the columns with the green and yellow headers.</a:t>
          </a:r>
        </a:p>
        <a:p>
          <a:pPr algn="l"/>
          <a:r>
            <a:rPr lang="en-US" sz="1200" b="0" i="0">
              <a:solidFill>
                <a:schemeClr val="tx1">
                  <a:lumMod val="50000"/>
                  <a:lumOff val="50000"/>
                </a:schemeClr>
              </a:solidFill>
              <a:latin typeface="Söhne Halbfett" panose="020B0703030202060203" pitchFamily="34" charset="0"/>
              <a:cs typeface="Arial" panose="020B0604020202020204" pitchFamily="34" charset="0"/>
            </a:rPr>
            <a:t>Make sure the Unit Name is unique for each cylinder</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also for sensors.</a:t>
          </a:r>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a:solidFill>
                <a:schemeClr val="tx1">
                  <a:lumMod val="50000"/>
                  <a:lumOff val="50000"/>
                </a:schemeClr>
              </a:solidFill>
              <a:latin typeface="Söhne Halbfett" panose="020B0703030202060203" pitchFamily="34" charset="0"/>
              <a:cs typeface="Arial" panose="020B0604020202020204" pitchFamily="34" charset="0"/>
            </a:rPr>
            <a:t>2. </a:t>
          </a:r>
          <a:r>
            <a:rPr lang="en-US" sz="1200" b="0" i="0">
              <a:solidFill>
                <a:schemeClr val="tx1">
                  <a:lumMod val="50000"/>
                  <a:lumOff val="50000"/>
                </a:schemeClr>
              </a:solidFill>
              <a:latin typeface="Söhne Halbfett" panose="020B0703030202060203" pitchFamily="34" charset="0"/>
              <a:cs typeface="Arial" panose="020B0604020202020204" pitchFamily="34" charset="0"/>
            </a:rPr>
            <a:t>Copy and paste the values from the green columns to the Pneumatic Calculator</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ME-RSTD-0044. Remember when pasting to select "paste values" so that all the cell formating does not go with it.</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kumimoji="0" lang="en-US" sz="1200" b="1"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3. </a:t>
          </a: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Orange</a:t>
          </a:r>
          <a:r>
            <a:rPr kumimoji="0" lang="en-US" sz="1200" b="1"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section will be auto populated from the Sequence Detail.</a:t>
          </a:r>
        </a:p>
        <a:p>
          <a:pPr algn="l"/>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 </a:t>
          </a:r>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4.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Complete filling out the Pneumatic Calculator.</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5.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Copy and paste the appropriate values from the Pneumatic Calculator outputs into the blue columns of this table. Again, remember to select "paste value" so that all the cell formating does not come with the data.</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6. Last to columns will give you a preview of the valve name and cylinder name.</a:t>
          </a:r>
        </a:p>
        <a:p>
          <a:pPr algn="l"/>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NOTE:</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Controls Manifold Name and Controls Motion Group must begin with the equals sign =</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Controls Valve Name and Controls Unit Name must begin with a dash -</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The data should come appropriately formated from the Pneumatic Calculator already, but if filling out this section manually then those symbols must be added. Because the cell value will start with these special symbols, you must first enter an apostraphe for it to work. (i.e. '= or '-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20</xdr:row>
      <xdr:rowOff>0</xdr:rowOff>
    </xdr:from>
    <xdr:to>
      <xdr:col>2</xdr:col>
      <xdr:colOff>1600200</xdr:colOff>
      <xdr:row>67</xdr:row>
      <xdr:rowOff>20955</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409575" y="4429125"/>
          <a:ext cx="3562350" cy="844105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algn="l"/>
          <a:r>
            <a:rPr lang="en-US" sz="1200" b="1" i="0">
              <a:solidFill>
                <a:schemeClr val="tx2">
                  <a:lumMod val="50000"/>
                </a:schemeClr>
              </a:solidFill>
              <a:latin typeface="Söhne Halbfett" panose="020B0703030202060203" pitchFamily="34" charset="0"/>
              <a:cs typeface="Arial" panose="020B0604020202020204" pitchFamily="34" charset="0"/>
            </a:rPr>
            <a:t>Sheet Instructions:</a:t>
          </a:r>
          <a:br>
            <a:rPr lang="en-US" sz="1200" b="0" i="0">
              <a:solidFill>
                <a:schemeClr val="tx2">
                  <a:lumMod val="50000"/>
                </a:schemeClr>
              </a:solidFill>
              <a:latin typeface="Söhne Halbfett" panose="020B0703030202060203" pitchFamily="34" charset="0"/>
              <a:cs typeface="Arial" panose="020B0604020202020204" pitchFamily="34" charset="0"/>
            </a:rPr>
          </a:br>
          <a:r>
            <a:rPr lang="en-US" sz="1200" b="1" i="0">
              <a:solidFill>
                <a:schemeClr val="tx1">
                  <a:lumMod val="50000"/>
                  <a:lumOff val="50000"/>
                </a:schemeClr>
              </a:solidFill>
              <a:latin typeface="Söhne Halbfett" panose="020B0703030202060203" pitchFamily="34" charset="0"/>
              <a:cs typeface="Arial" panose="020B0604020202020204" pitchFamily="34" charset="0"/>
            </a:rPr>
            <a:t>1. </a:t>
          </a:r>
          <a:r>
            <a:rPr lang="en-US" sz="1200" b="0" i="0">
              <a:solidFill>
                <a:schemeClr val="tx1">
                  <a:lumMod val="50000"/>
                  <a:lumOff val="50000"/>
                </a:schemeClr>
              </a:solidFill>
              <a:latin typeface="Söhne Halbfett" panose="020B0703030202060203" pitchFamily="34" charset="0"/>
              <a:cs typeface="Arial" panose="020B0604020202020204" pitchFamily="34" charset="0"/>
            </a:rPr>
            <a:t>Fill out the rows</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(one for each sensor)</a:t>
          </a:r>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br>
            <a:rPr lang="en-US" sz="1200" b="0" i="0">
              <a:solidFill>
                <a:schemeClr val="tx1">
                  <a:lumMod val="50000"/>
                  <a:lumOff val="50000"/>
                </a:schemeClr>
              </a:solidFill>
              <a:latin typeface="Söhne Halbfett" panose="020B0703030202060203" pitchFamily="34" charset="0"/>
              <a:cs typeface="Arial" panose="020B0604020202020204" pitchFamily="34" charset="0"/>
            </a:rPr>
          </a:br>
          <a:r>
            <a:rPr lang="en-US" sz="1200" b="0" i="0">
              <a:solidFill>
                <a:schemeClr val="tx1">
                  <a:lumMod val="50000"/>
                  <a:lumOff val="50000"/>
                </a:schemeClr>
              </a:solidFill>
              <a:latin typeface="Söhne Halbfett" panose="020B0703030202060203" pitchFamily="34" charset="0"/>
              <a:cs typeface="Arial" panose="020B0604020202020204" pitchFamily="34" charset="0"/>
            </a:rPr>
            <a:t>- Sensors</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that all detect the same part (regardless of model/style) should have the same Controls Sensor Group and the Sensor Group Description for all these sensors should be the name of the part they detect.</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Within a sensor group, the Controls Unit Name must be unique and starts over at BGB1. This means the first sensor in every group will be BGB1. The Unit Names should increase incrementally within a group (i.e. BGB1, BGB2, BGB3, etc.)</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The Sensor Description should include the sensor group description (the part it detects) along with any additional useful information such as an associate model or style it is used for.</a:t>
          </a:r>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20</xdr:row>
      <xdr:rowOff>782</xdr:rowOff>
    </xdr:from>
    <xdr:to>
      <xdr:col>3</xdr:col>
      <xdr:colOff>2480</xdr:colOff>
      <xdr:row>67</xdr:row>
      <xdr:rowOff>156575</xdr:rowOff>
    </xdr:to>
    <xdr:sp macro="" textlink="">
      <xdr:nvSpPr>
        <xdr:cNvPr id="2" name="Instructions">
          <a:extLst>
            <a:ext uri="{FF2B5EF4-FFF2-40B4-BE49-F238E27FC236}">
              <a16:creationId xmlns:a16="http://schemas.microsoft.com/office/drawing/2014/main" id="{00000000-0008-0000-0500-000002000000}"/>
            </a:ext>
          </a:extLst>
        </xdr:cNvPr>
        <xdr:cNvSpPr/>
      </xdr:nvSpPr>
      <xdr:spPr>
        <a:xfrm>
          <a:off x="135699" y="4426645"/>
          <a:ext cx="3133986" cy="10145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algn="l"/>
          <a:r>
            <a:rPr lang="en-US" sz="1200" b="1" i="0">
              <a:solidFill>
                <a:schemeClr val="tx2">
                  <a:lumMod val="50000"/>
                </a:schemeClr>
              </a:solidFill>
              <a:latin typeface="Söhne Halbfett" panose="020B0703030202060203" pitchFamily="34" charset="0"/>
              <a:cs typeface="Arial" panose="020B0604020202020204" pitchFamily="34" charset="0"/>
            </a:rPr>
            <a:t>Sheet Instructions:</a:t>
          </a:r>
          <a:br>
            <a:rPr lang="en-US" sz="1200" b="0" i="0">
              <a:solidFill>
                <a:schemeClr val="tx2">
                  <a:lumMod val="50000"/>
                </a:schemeClr>
              </a:solidFill>
              <a:latin typeface="Söhne Halbfett" panose="020B0703030202060203" pitchFamily="34" charset="0"/>
              <a:cs typeface="Arial" panose="020B0604020202020204" pitchFamily="34" charset="0"/>
            </a:rPr>
          </a:br>
          <a:r>
            <a:rPr lang="en-US" sz="1200" b="1" i="0">
              <a:solidFill>
                <a:schemeClr val="tx1">
                  <a:lumMod val="50000"/>
                  <a:lumOff val="50000"/>
                </a:schemeClr>
              </a:solidFill>
              <a:latin typeface="Söhne Halbfett" panose="020B0703030202060203" pitchFamily="34" charset="0"/>
              <a:cs typeface="Arial" panose="020B0604020202020204" pitchFamily="34" charset="0"/>
            </a:rPr>
            <a:t>1. </a:t>
          </a:r>
          <a:r>
            <a:rPr lang="en-US" sz="1200" b="0" i="0">
              <a:solidFill>
                <a:schemeClr val="tx1">
                  <a:lumMod val="50000"/>
                  <a:lumOff val="50000"/>
                </a:schemeClr>
              </a:solidFill>
              <a:latin typeface="Söhne Halbfett" panose="020B0703030202060203" pitchFamily="34" charset="0"/>
              <a:cs typeface="Arial" panose="020B0604020202020204" pitchFamily="34" charset="0"/>
            </a:rPr>
            <a:t>Add the top view of the tool and point out all the units on the image. Alternate views can be added off to the bottom as necessary.</a:t>
          </a:r>
        </a:p>
        <a:p>
          <a:pPr algn="l"/>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a:solidFill>
                <a:schemeClr val="tx1">
                  <a:lumMod val="50000"/>
                  <a:lumOff val="50000"/>
                </a:schemeClr>
              </a:solidFill>
              <a:latin typeface="Söhne Halbfett" panose="020B0703030202060203" pitchFamily="34" charset="0"/>
              <a:cs typeface="Arial" panose="020B0604020202020204" pitchFamily="34" charset="0"/>
            </a:rPr>
            <a:t>2. </a:t>
          </a:r>
          <a:r>
            <a:rPr lang="en-US" sz="1200" b="0" i="0">
              <a:solidFill>
                <a:schemeClr val="tx1">
                  <a:lumMod val="50000"/>
                  <a:lumOff val="50000"/>
                </a:schemeClr>
              </a:solidFill>
              <a:latin typeface="Söhne Halbfett" panose="020B0703030202060203" pitchFamily="34" charset="0"/>
              <a:cs typeface="Arial" panose="020B0604020202020204" pitchFamily="34" charset="0"/>
            </a:rPr>
            <a:t>Once</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Cylinder and Sensor table are complete, use buttons on the top of each table to create the Indicators</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3.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Place the indicators in the tool and reroute connectors to  have the clearest view possible</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4. NOTE:</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Do not Ungroup or Rename the indicators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Use mirror command on the group to easy flip the indicators.</a:t>
          </a:r>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kumimoji="0" lang="en-US" sz="1200" b="1"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5. NOTE:</a:t>
          </a: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If Cylinders or Sensors table was updated in the info of the existing indicators you can select cell V1 this will update the descriptions. Try not to use this feature indicators might offset from their original position</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6. NOTE: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If one indicator was erased  or more were added you can press the button again to generate only the new/missing.</a:t>
          </a:r>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a:solidFill>
                <a:schemeClr val="tx1">
                  <a:lumMod val="50000"/>
                  <a:lumOff val="50000"/>
                </a:schemeClr>
              </a:solidFill>
              <a:latin typeface="Söhne Halbfett" panose="020B0703030202060203" pitchFamily="34" charset="0"/>
              <a:cs typeface="Arial" panose="020B0604020202020204" pitchFamily="34" charset="0"/>
            </a:rPr>
            <a:t> 7. </a:t>
          </a:r>
          <a:r>
            <a:rPr kumimoji="0" lang="en-US" sz="1200" b="1"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NOTE:</a:t>
          </a: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The text boxes for cylinders in the same motion group should all use the same back color as a visual aid. For this please manually select indicators within the same motion group and for the Shape Format Tab select a different color from Shape Fill.</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a:solidFill>
                <a:schemeClr val="tx1">
                  <a:lumMod val="50000"/>
                  <a:lumOff val="50000"/>
                </a:schemeClr>
              </a:solidFill>
              <a:latin typeface="Söhne Halbfett" panose="020B0703030202060203" pitchFamily="34" charset="0"/>
              <a:cs typeface="Arial" panose="020B0604020202020204" pitchFamily="34" charset="0"/>
            </a:rPr>
            <a:t>The text box should include the Mechanical Unit Name (with a leading</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a:t>
          </a:r>
          <a:r>
            <a:rPr lang="en-US" sz="1200" b="0" i="0">
              <a:solidFill>
                <a:schemeClr val="tx1">
                  <a:lumMod val="50000"/>
                  <a:lumOff val="50000"/>
                </a:schemeClr>
              </a:solidFill>
              <a:latin typeface="Söhne Halbfett" panose="020B0703030202060203" pitchFamily="34" charset="0"/>
              <a:cs typeface="Arial" panose="020B0604020202020204" pitchFamily="34" charset="0"/>
            </a:rPr>
            <a:t>, Controls Motion Group, and Controls Unit Name.</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Additionally, the Motion Group Description must be added.</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Ex:</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+U1.1</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=MM3-MMB4</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Group 1 Pins        </a:t>
          </a:r>
          <a:endPar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Ex:</a:t>
          </a:r>
          <a:b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b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+U3.2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=BG1-BGB3</a:t>
          </a:r>
          <a:b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b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Roof Bow</a:t>
          </a:r>
        </a:p>
        <a:p>
          <a:pPr algn="l"/>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28575</xdr:colOff>
          <xdr:row>0</xdr:row>
          <xdr:rowOff>47625</xdr:rowOff>
        </xdr:from>
        <xdr:to>
          <xdr:col>5</xdr:col>
          <xdr:colOff>619125</xdr:colOff>
          <xdr:row>1</xdr:row>
          <xdr:rowOff>142875</xdr:rowOff>
        </xdr:to>
        <xdr:sp macro="" textlink="">
          <xdr:nvSpPr>
            <xdr:cNvPr id="6145" name="Create Cylinders"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200" b="1" i="0" u="none" strike="noStrike" baseline="0">
                  <a:solidFill>
                    <a:srgbClr val="000000"/>
                  </a:solidFill>
                  <a:latin typeface="Calibri"/>
                  <a:cs typeface="Calibri"/>
                </a:rPr>
                <a:t>Create Cylinders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0</xdr:row>
          <xdr:rowOff>47625</xdr:rowOff>
        </xdr:from>
        <xdr:to>
          <xdr:col>7</xdr:col>
          <xdr:colOff>619125</xdr:colOff>
          <xdr:row>1</xdr:row>
          <xdr:rowOff>142875</xdr:rowOff>
        </xdr:to>
        <xdr:sp macro="" textlink="">
          <xdr:nvSpPr>
            <xdr:cNvPr id="6146" name="Create Sensors" descr="Create Sensors"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200" b="1" i="0" u="none" strike="noStrike" baseline="0">
                  <a:solidFill>
                    <a:srgbClr val="000000"/>
                  </a:solidFill>
                  <a:latin typeface="Calibri"/>
                  <a:cs typeface="Calibri"/>
                </a:rPr>
                <a:t>Create Sensors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0</xdr:row>
          <xdr:rowOff>47625</xdr:rowOff>
        </xdr:from>
        <xdr:to>
          <xdr:col>9</xdr:col>
          <xdr:colOff>619125</xdr:colOff>
          <xdr:row>1</xdr:row>
          <xdr:rowOff>142875</xdr:rowOff>
        </xdr:to>
        <xdr:sp macro="" textlink="">
          <xdr:nvSpPr>
            <xdr:cNvPr id="6147" name="Create Sensors" descr="Clear Indicators"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200" b="1" i="0" u="none" strike="noStrike" baseline="0">
                  <a:solidFill>
                    <a:srgbClr val="000000"/>
                  </a:solidFill>
                  <a:latin typeface="Calibri"/>
                  <a:cs typeface="Calibri"/>
                </a:rPr>
                <a:t>Clear Indicators</a:t>
              </a:r>
            </a:p>
          </xdr:txBody>
        </xdr:sp>
        <xdr:clientData fPrintsWithSheet="0"/>
      </xdr:twoCellAnchor>
    </mc:Choice>
    <mc:Fallback/>
  </mc:AlternateContent>
  <xdr:twoCellAnchor editAs="oneCell">
    <xdr:from>
      <xdr:col>11</xdr:col>
      <xdr:colOff>11205</xdr:colOff>
      <xdr:row>5</xdr:row>
      <xdr:rowOff>150563</xdr:rowOff>
    </xdr:from>
    <xdr:to>
      <xdr:col>16</xdr:col>
      <xdr:colOff>453228</xdr:colOff>
      <xdr:row>26</xdr:row>
      <xdr:rowOff>186374</xdr:rowOff>
    </xdr:to>
    <xdr:pic>
      <xdr:nvPicPr>
        <xdr:cNvPr id="3" name="图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clrChange>
            <a:clrFrom>
              <a:srgbClr val="333366"/>
            </a:clrFrom>
            <a:clrTo>
              <a:srgbClr val="333366">
                <a:alpha val="0"/>
              </a:srgbClr>
            </a:clrTo>
          </a:clrChange>
        </a:blip>
        <a:stretch>
          <a:fillRect/>
        </a:stretch>
      </xdr:blipFill>
      <xdr:spPr>
        <a:xfrm>
          <a:off x="8045823" y="1439239"/>
          <a:ext cx="3747758" cy="4506959"/>
        </a:xfrm>
        <a:prstGeom prst="rect">
          <a:avLst/>
        </a:prstGeom>
      </xdr:spPr>
    </xdr:pic>
    <xdr:clientData/>
  </xdr:twoCellAnchor>
  <xdr:twoCellAnchor editAs="absolute">
    <xdr:from>
      <xdr:col>9</xdr:col>
      <xdr:colOff>327586</xdr:colOff>
      <xdr:row>2</xdr:row>
      <xdr:rowOff>53411</xdr:rowOff>
    </xdr:from>
    <xdr:to>
      <xdr:col>12</xdr:col>
      <xdr:colOff>496456</xdr:colOff>
      <xdr:row>10</xdr:row>
      <xdr:rowOff>20153</xdr:rowOff>
    </xdr:to>
    <xdr:grpSp>
      <xdr:nvGrpSpPr>
        <xdr:cNvPr id="32" name="C01">
          <a:extLst>
            <a:ext uri="{FF2B5EF4-FFF2-40B4-BE49-F238E27FC236}">
              <a16:creationId xmlns:a16="http://schemas.microsoft.com/office/drawing/2014/main" id="{00000000-0008-0000-0500-000020000000}"/>
            </a:ext>
          </a:extLst>
        </xdr:cNvPr>
        <xdr:cNvGrpSpPr/>
      </xdr:nvGrpSpPr>
      <xdr:grpSpPr>
        <a:xfrm>
          <a:off x="7039910" y="568882"/>
          <a:ext cx="2152311" cy="1804506"/>
          <a:chOff x="7680884" y="579192"/>
          <a:chExt cx="2345304" cy="1801840"/>
        </a:xfrm>
        <a:solidFill>
          <a:srgbClr val="00B050"/>
        </a:solidFill>
      </xdr:grpSpPr>
      <xdr:sp macro="" textlink="">
        <xdr:nvSpPr>
          <xdr:cNvPr id="4" name="box1">
            <a:extLst>
              <a:ext uri="{FF2B5EF4-FFF2-40B4-BE49-F238E27FC236}">
                <a16:creationId xmlns:a16="http://schemas.microsoft.com/office/drawing/2014/main" id="{00000000-0008-0000-0500-000004000000}"/>
              </a:ext>
            </a:extLst>
          </xdr:cNvPr>
          <xdr:cNvSpPr/>
        </xdr:nvSpPr>
        <xdr:spPr>
          <a:xfrm>
            <a:off x="7680884" y="579192"/>
            <a:ext cx="1196239" cy="608113"/>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+U2.1L</a:t>
            </a:r>
            <a:endParaRPr lang="zh-CN" altLang="zh-CN">
              <a:effectLst/>
            </a:endParaRPr>
          </a:p>
          <a:p>
            <a:r>
              <a:rPr lang="en-US" altLang="zh-CN" sz="1100">
                <a:solidFill>
                  <a:schemeClr val="lt1"/>
                </a:solidFill>
                <a:effectLst/>
                <a:latin typeface="+mn-lt"/>
                <a:ea typeface="+mn-ea"/>
                <a:cs typeface="+mn-cs"/>
              </a:rPr>
              <a:t>=MM1-MMB1</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5" name="dot1">
            <a:extLst>
              <a:ext uri="{FF2B5EF4-FFF2-40B4-BE49-F238E27FC236}">
                <a16:creationId xmlns:a16="http://schemas.microsoft.com/office/drawing/2014/main" id="{00000000-0008-0000-0500-000005000000}"/>
              </a:ext>
            </a:extLst>
          </xdr:cNvPr>
          <xdr:cNvSpPr/>
        </xdr:nvSpPr>
        <xdr:spPr>
          <a:xfrm>
            <a:off x="9934748" y="2289592"/>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 name="arrow1">
            <a:extLst>
              <a:ext uri="{FF2B5EF4-FFF2-40B4-BE49-F238E27FC236}">
                <a16:creationId xmlns:a16="http://schemas.microsoft.com/office/drawing/2014/main" id="{00000000-0008-0000-0500-000006000000}"/>
              </a:ext>
            </a:extLst>
          </xdr:cNvPr>
          <xdr:cNvCxnSpPr>
            <a:stCxn id="5" idx="2"/>
            <a:endCxn id="4" idx="2"/>
          </xdr:cNvCxnSpPr>
        </xdr:nvCxnSpPr>
        <xdr:spPr>
          <a:xfrm flipH="1" flipV="1">
            <a:off x="8279004" y="1187305"/>
            <a:ext cx="1655745" cy="1148007"/>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114674</xdr:colOff>
      <xdr:row>10</xdr:row>
      <xdr:rowOff>23312</xdr:rowOff>
    </xdr:from>
    <xdr:to>
      <xdr:col>11</xdr:col>
      <xdr:colOff>405824</xdr:colOff>
      <xdr:row>14</xdr:row>
      <xdr:rowOff>100939</xdr:rowOff>
    </xdr:to>
    <xdr:grpSp>
      <xdr:nvGrpSpPr>
        <xdr:cNvPr id="33" name="C02">
          <a:extLst>
            <a:ext uri="{FF2B5EF4-FFF2-40B4-BE49-F238E27FC236}">
              <a16:creationId xmlns:a16="http://schemas.microsoft.com/office/drawing/2014/main" id="{00000000-0008-0000-0500-000021000000}"/>
            </a:ext>
          </a:extLst>
        </xdr:cNvPr>
        <xdr:cNvGrpSpPr/>
      </xdr:nvGrpSpPr>
      <xdr:grpSpPr>
        <a:xfrm>
          <a:off x="3521262" y="2376547"/>
          <a:ext cx="4919180" cy="929274"/>
          <a:chOff x="3854465" y="2384991"/>
          <a:chExt cx="5357512" cy="930421"/>
        </a:xfrm>
        <a:solidFill>
          <a:srgbClr val="00B050"/>
        </a:solidFill>
      </xdr:grpSpPr>
      <xdr:sp macro="" textlink="">
        <xdr:nvSpPr>
          <xdr:cNvPr id="8" name="box2">
            <a:extLst>
              <a:ext uri="{FF2B5EF4-FFF2-40B4-BE49-F238E27FC236}">
                <a16:creationId xmlns:a16="http://schemas.microsoft.com/office/drawing/2014/main" id="{00000000-0008-0000-0500-000008000000}"/>
              </a:ext>
            </a:extLst>
          </xdr:cNvPr>
          <xdr:cNvSpPr/>
        </xdr:nvSpPr>
        <xdr:spPr>
          <a:xfrm>
            <a:off x="3854465" y="2384991"/>
            <a:ext cx="1195622" cy="60976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+U3.1L</a:t>
            </a:r>
            <a:endParaRPr lang="zh-CN" altLang="zh-CN">
              <a:effectLst/>
            </a:endParaRPr>
          </a:p>
          <a:p>
            <a:r>
              <a:rPr lang="en-US" altLang="zh-CN" sz="1100">
                <a:solidFill>
                  <a:schemeClr val="lt1"/>
                </a:solidFill>
                <a:effectLst/>
                <a:latin typeface="+mn-lt"/>
                <a:ea typeface="+mn-ea"/>
                <a:cs typeface="+mn-cs"/>
              </a:rPr>
              <a:t>=MM1-MMB2</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9" name="dot2">
            <a:extLst>
              <a:ext uri="{FF2B5EF4-FFF2-40B4-BE49-F238E27FC236}">
                <a16:creationId xmlns:a16="http://schemas.microsoft.com/office/drawing/2014/main" id="{00000000-0008-0000-0500-000009000000}"/>
              </a:ext>
            </a:extLst>
          </xdr:cNvPr>
          <xdr:cNvSpPr/>
        </xdr:nvSpPr>
        <xdr:spPr>
          <a:xfrm>
            <a:off x="9120537" y="3223972"/>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10" name="arrow2">
            <a:extLst>
              <a:ext uri="{FF2B5EF4-FFF2-40B4-BE49-F238E27FC236}">
                <a16:creationId xmlns:a16="http://schemas.microsoft.com/office/drawing/2014/main" id="{00000000-0008-0000-0500-00000A000000}"/>
              </a:ext>
            </a:extLst>
          </xdr:cNvPr>
          <xdr:cNvCxnSpPr>
            <a:stCxn id="9" idx="2"/>
            <a:endCxn id="8" idx="3"/>
          </xdr:cNvCxnSpPr>
        </xdr:nvCxnSpPr>
        <xdr:spPr>
          <a:xfrm flipH="1" flipV="1">
            <a:off x="5050087" y="2689874"/>
            <a:ext cx="4070449" cy="579819"/>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92262</xdr:colOff>
      <xdr:row>13</xdr:row>
      <xdr:rowOff>36922</xdr:rowOff>
    </xdr:from>
    <xdr:to>
      <xdr:col>11</xdr:col>
      <xdr:colOff>450710</xdr:colOff>
      <xdr:row>16</xdr:row>
      <xdr:rowOff>137003</xdr:rowOff>
    </xdr:to>
    <xdr:grpSp>
      <xdr:nvGrpSpPr>
        <xdr:cNvPr id="34" name="C03">
          <a:extLst>
            <a:ext uri="{FF2B5EF4-FFF2-40B4-BE49-F238E27FC236}">
              <a16:creationId xmlns:a16="http://schemas.microsoft.com/office/drawing/2014/main" id="{00000000-0008-0000-0500-000022000000}"/>
            </a:ext>
          </a:extLst>
        </xdr:cNvPr>
        <xdr:cNvGrpSpPr/>
      </xdr:nvGrpSpPr>
      <xdr:grpSpPr>
        <a:xfrm>
          <a:off x="3498850" y="3028893"/>
          <a:ext cx="4986478" cy="738816"/>
          <a:chOff x="3827058" y="3038702"/>
          <a:chExt cx="5429792" cy="739948"/>
        </a:xfrm>
        <a:solidFill>
          <a:srgbClr val="00B050"/>
        </a:solidFill>
      </xdr:grpSpPr>
      <xdr:sp macro="" textlink="">
        <xdr:nvSpPr>
          <xdr:cNvPr id="12" name="box3">
            <a:extLst>
              <a:ext uri="{FF2B5EF4-FFF2-40B4-BE49-F238E27FC236}">
                <a16:creationId xmlns:a16="http://schemas.microsoft.com/office/drawing/2014/main" id="{00000000-0008-0000-0500-00000C000000}"/>
              </a:ext>
            </a:extLst>
          </xdr:cNvPr>
          <xdr:cNvSpPr/>
        </xdr:nvSpPr>
        <xdr:spPr>
          <a:xfrm>
            <a:off x="3827058" y="3038702"/>
            <a:ext cx="1195399" cy="609946"/>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+U4.1L</a:t>
            </a:r>
            <a:endParaRPr lang="zh-CN" altLang="zh-CN">
              <a:effectLst/>
            </a:endParaRPr>
          </a:p>
          <a:p>
            <a:r>
              <a:rPr lang="en-US" altLang="zh-CN" sz="1100">
                <a:solidFill>
                  <a:schemeClr val="lt1"/>
                </a:solidFill>
                <a:effectLst/>
                <a:latin typeface="+mn-lt"/>
                <a:ea typeface="+mn-ea"/>
                <a:cs typeface="+mn-cs"/>
              </a:rPr>
              <a:t>=MM1-MMB3</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13" name="dot3">
            <a:extLst>
              <a:ext uri="{FF2B5EF4-FFF2-40B4-BE49-F238E27FC236}">
                <a16:creationId xmlns:a16="http://schemas.microsoft.com/office/drawing/2014/main" id="{00000000-0008-0000-0500-00000D000000}"/>
              </a:ext>
            </a:extLst>
          </xdr:cNvPr>
          <xdr:cNvSpPr/>
        </xdr:nvSpPr>
        <xdr:spPr>
          <a:xfrm>
            <a:off x="9165410" y="3687210"/>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14" name="arrow3">
            <a:extLst>
              <a:ext uri="{FF2B5EF4-FFF2-40B4-BE49-F238E27FC236}">
                <a16:creationId xmlns:a16="http://schemas.microsoft.com/office/drawing/2014/main" id="{00000000-0008-0000-0500-00000E000000}"/>
              </a:ext>
            </a:extLst>
          </xdr:cNvPr>
          <xdr:cNvCxnSpPr>
            <a:stCxn id="13" idx="2"/>
            <a:endCxn id="12" idx="3"/>
          </xdr:cNvCxnSpPr>
        </xdr:nvCxnSpPr>
        <xdr:spPr>
          <a:xfrm flipH="1" flipV="1">
            <a:off x="5022457" y="3343676"/>
            <a:ext cx="4142953" cy="389254"/>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69849</xdr:colOff>
      <xdr:row>16</xdr:row>
      <xdr:rowOff>39311</xdr:rowOff>
    </xdr:from>
    <xdr:to>
      <xdr:col>11</xdr:col>
      <xdr:colOff>484584</xdr:colOff>
      <xdr:row>19</xdr:row>
      <xdr:rowOff>16051</xdr:rowOff>
    </xdr:to>
    <xdr:grpSp>
      <xdr:nvGrpSpPr>
        <xdr:cNvPr id="35" name="C04">
          <a:extLst>
            <a:ext uri="{FF2B5EF4-FFF2-40B4-BE49-F238E27FC236}">
              <a16:creationId xmlns:a16="http://schemas.microsoft.com/office/drawing/2014/main" id="{00000000-0008-0000-0500-000023000000}"/>
            </a:ext>
          </a:extLst>
        </xdr:cNvPr>
        <xdr:cNvGrpSpPr/>
      </xdr:nvGrpSpPr>
      <xdr:grpSpPr>
        <a:xfrm>
          <a:off x="3476437" y="3670017"/>
          <a:ext cx="5042765" cy="615475"/>
          <a:chOff x="3803649" y="3681491"/>
          <a:chExt cx="5487019" cy="616323"/>
        </a:xfrm>
        <a:solidFill>
          <a:srgbClr val="00B050"/>
        </a:solidFill>
      </xdr:grpSpPr>
      <xdr:sp macro="" textlink="">
        <xdr:nvSpPr>
          <xdr:cNvPr id="16" name="box4">
            <a:extLst>
              <a:ext uri="{FF2B5EF4-FFF2-40B4-BE49-F238E27FC236}">
                <a16:creationId xmlns:a16="http://schemas.microsoft.com/office/drawing/2014/main" id="{00000000-0008-0000-0500-000010000000}"/>
              </a:ext>
            </a:extLst>
          </xdr:cNvPr>
          <xdr:cNvSpPr/>
        </xdr:nvSpPr>
        <xdr:spPr>
          <a:xfrm>
            <a:off x="3803649" y="3681491"/>
            <a:ext cx="1194514" cy="60985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+U5.1L</a:t>
            </a:r>
            <a:endParaRPr lang="zh-CN" altLang="zh-CN">
              <a:effectLst/>
            </a:endParaRPr>
          </a:p>
          <a:p>
            <a:r>
              <a:rPr lang="en-US" altLang="zh-CN" sz="1100">
                <a:solidFill>
                  <a:schemeClr val="lt1"/>
                </a:solidFill>
                <a:effectLst/>
                <a:latin typeface="+mn-lt"/>
                <a:ea typeface="+mn-ea"/>
                <a:cs typeface="+mn-cs"/>
              </a:rPr>
              <a:t>=MM1-MMB4</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17" name="dot4">
            <a:extLst>
              <a:ext uri="{FF2B5EF4-FFF2-40B4-BE49-F238E27FC236}">
                <a16:creationId xmlns:a16="http://schemas.microsoft.com/office/drawing/2014/main" id="{00000000-0008-0000-0500-000011000000}"/>
              </a:ext>
            </a:extLst>
          </xdr:cNvPr>
          <xdr:cNvSpPr/>
        </xdr:nvSpPr>
        <xdr:spPr>
          <a:xfrm>
            <a:off x="9199228" y="4206374"/>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18" name="arrow4">
            <a:extLst>
              <a:ext uri="{FF2B5EF4-FFF2-40B4-BE49-F238E27FC236}">
                <a16:creationId xmlns:a16="http://schemas.microsoft.com/office/drawing/2014/main" id="{00000000-0008-0000-0500-000012000000}"/>
              </a:ext>
            </a:extLst>
          </xdr:cNvPr>
          <xdr:cNvCxnSpPr>
            <a:stCxn id="17" idx="2"/>
            <a:endCxn id="16" idx="3"/>
          </xdr:cNvCxnSpPr>
        </xdr:nvCxnSpPr>
        <xdr:spPr>
          <a:xfrm flipH="1" flipV="1">
            <a:off x="4998163" y="3986418"/>
            <a:ext cx="4201064" cy="265677"/>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103468</xdr:colOff>
      <xdr:row>21</xdr:row>
      <xdr:rowOff>194027</xdr:rowOff>
    </xdr:from>
    <xdr:to>
      <xdr:col>11</xdr:col>
      <xdr:colOff>371742</xdr:colOff>
      <xdr:row>28</xdr:row>
      <xdr:rowOff>125298</xdr:rowOff>
    </xdr:to>
    <xdr:grpSp>
      <xdr:nvGrpSpPr>
        <xdr:cNvPr id="36" name="C05">
          <a:extLst>
            <a:ext uri="{FF2B5EF4-FFF2-40B4-BE49-F238E27FC236}">
              <a16:creationId xmlns:a16="http://schemas.microsoft.com/office/drawing/2014/main" id="{00000000-0008-0000-0500-000024000000}"/>
            </a:ext>
          </a:extLst>
        </xdr:cNvPr>
        <xdr:cNvGrpSpPr/>
      </xdr:nvGrpSpPr>
      <xdr:grpSpPr>
        <a:xfrm>
          <a:off x="3510056" y="4889292"/>
          <a:ext cx="4896304" cy="1421653"/>
          <a:chOff x="3838283" y="4903187"/>
          <a:chExt cx="5339713" cy="1424275"/>
        </a:xfrm>
        <a:solidFill>
          <a:srgbClr val="00B050"/>
        </a:solidFill>
      </xdr:grpSpPr>
      <xdr:sp macro="" textlink="">
        <xdr:nvSpPr>
          <xdr:cNvPr id="20" name="box5">
            <a:extLst>
              <a:ext uri="{FF2B5EF4-FFF2-40B4-BE49-F238E27FC236}">
                <a16:creationId xmlns:a16="http://schemas.microsoft.com/office/drawing/2014/main" id="{00000000-0008-0000-0500-000014000000}"/>
              </a:ext>
            </a:extLst>
          </xdr:cNvPr>
          <xdr:cNvSpPr/>
        </xdr:nvSpPr>
        <xdr:spPr>
          <a:xfrm>
            <a:off x="3838283" y="5717326"/>
            <a:ext cx="1197218" cy="610136"/>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+U6.1L</a:t>
            </a:r>
            <a:endParaRPr lang="zh-CN" altLang="zh-CN">
              <a:effectLst/>
            </a:endParaRPr>
          </a:p>
          <a:p>
            <a:r>
              <a:rPr lang="en-US" altLang="zh-CN" sz="1100">
                <a:solidFill>
                  <a:schemeClr val="lt1"/>
                </a:solidFill>
                <a:effectLst/>
                <a:latin typeface="+mn-lt"/>
                <a:ea typeface="+mn-ea"/>
                <a:cs typeface="+mn-cs"/>
              </a:rPr>
              <a:t>=MM1-MMB5</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21" name="dot5">
            <a:extLst>
              <a:ext uri="{FF2B5EF4-FFF2-40B4-BE49-F238E27FC236}">
                <a16:creationId xmlns:a16="http://schemas.microsoft.com/office/drawing/2014/main" id="{00000000-0008-0000-0500-000015000000}"/>
              </a:ext>
            </a:extLst>
          </xdr:cNvPr>
          <xdr:cNvSpPr/>
        </xdr:nvSpPr>
        <xdr:spPr>
          <a:xfrm>
            <a:off x="9086556" y="4903187"/>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22" name="arrow5">
            <a:extLst>
              <a:ext uri="{FF2B5EF4-FFF2-40B4-BE49-F238E27FC236}">
                <a16:creationId xmlns:a16="http://schemas.microsoft.com/office/drawing/2014/main" id="{00000000-0008-0000-0500-000016000000}"/>
              </a:ext>
            </a:extLst>
          </xdr:cNvPr>
          <xdr:cNvCxnSpPr>
            <a:stCxn id="21" idx="2"/>
            <a:endCxn id="20" idx="3"/>
          </xdr:cNvCxnSpPr>
        </xdr:nvCxnSpPr>
        <xdr:spPr>
          <a:xfrm flipH="1">
            <a:off x="5035501" y="4948907"/>
            <a:ext cx="4051055" cy="1073487"/>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69851</xdr:colOff>
      <xdr:row>21</xdr:row>
      <xdr:rowOff>5930</xdr:rowOff>
    </xdr:from>
    <xdr:to>
      <xdr:col>11</xdr:col>
      <xdr:colOff>600633</xdr:colOff>
      <xdr:row>25</xdr:row>
      <xdr:rowOff>70754</xdr:rowOff>
    </xdr:to>
    <xdr:grpSp>
      <xdr:nvGrpSpPr>
        <xdr:cNvPr id="37" name="C06">
          <a:extLst>
            <a:ext uri="{FF2B5EF4-FFF2-40B4-BE49-F238E27FC236}">
              <a16:creationId xmlns:a16="http://schemas.microsoft.com/office/drawing/2014/main" id="{00000000-0008-0000-0500-000025000000}"/>
            </a:ext>
          </a:extLst>
        </xdr:cNvPr>
        <xdr:cNvGrpSpPr/>
      </xdr:nvGrpSpPr>
      <xdr:grpSpPr>
        <a:xfrm>
          <a:off x="3476439" y="4701195"/>
          <a:ext cx="5158812" cy="916471"/>
          <a:chOff x="3804613" y="4715092"/>
          <a:chExt cx="5601974" cy="918061"/>
        </a:xfrm>
        <a:solidFill>
          <a:srgbClr val="CC66FF"/>
        </a:solidFill>
      </xdr:grpSpPr>
      <xdr:sp macro="" textlink="">
        <xdr:nvSpPr>
          <xdr:cNvPr id="24" name="box6">
            <a:extLst>
              <a:ext uri="{FF2B5EF4-FFF2-40B4-BE49-F238E27FC236}">
                <a16:creationId xmlns:a16="http://schemas.microsoft.com/office/drawing/2014/main" id="{00000000-0008-0000-0500-000018000000}"/>
              </a:ext>
            </a:extLst>
          </xdr:cNvPr>
          <xdr:cNvSpPr/>
        </xdr:nvSpPr>
        <xdr:spPr>
          <a:xfrm>
            <a:off x="3804613" y="5023084"/>
            <a:ext cx="1086271" cy="61006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+U6.2L</a:t>
            </a:r>
            <a:endParaRPr lang="zh-CN" altLang="zh-CN">
              <a:effectLst/>
            </a:endParaRPr>
          </a:p>
          <a:p>
            <a:r>
              <a:rPr lang="en-US" altLang="zh-CN" sz="1100">
                <a:solidFill>
                  <a:schemeClr val="lt1"/>
                </a:solidFill>
                <a:effectLst/>
                <a:latin typeface="+mn-lt"/>
                <a:ea typeface="+mn-ea"/>
                <a:cs typeface="+mn-cs"/>
              </a:rPr>
              <a:t>=MM4-MMB1</a:t>
            </a:r>
            <a:endParaRPr lang="zh-CN" altLang="zh-CN">
              <a:effectLst/>
            </a:endParaRPr>
          </a:p>
          <a:p>
            <a:r>
              <a:rPr lang="en-US" altLang="zh-CN" sz="1100">
                <a:solidFill>
                  <a:schemeClr val="lt1"/>
                </a:solidFill>
                <a:effectLst/>
                <a:latin typeface="+mn-lt"/>
                <a:ea typeface="+mn-ea"/>
                <a:cs typeface="+mn-cs"/>
              </a:rPr>
              <a:t>Group 4 Pins</a:t>
            </a:r>
            <a:endParaRPr lang="zh-CN" altLang="zh-CN">
              <a:effectLst/>
            </a:endParaRPr>
          </a:p>
        </xdr:txBody>
      </xdr:sp>
      <xdr:sp macro="" textlink="">
        <xdr:nvSpPr>
          <xdr:cNvPr id="25" name="dot6">
            <a:extLst>
              <a:ext uri="{FF2B5EF4-FFF2-40B4-BE49-F238E27FC236}">
                <a16:creationId xmlns:a16="http://schemas.microsoft.com/office/drawing/2014/main" id="{00000000-0008-0000-0500-000019000000}"/>
              </a:ext>
            </a:extLst>
          </xdr:cNvPr>
          <xdr:cNvSpPr/>
        </xdr:nvSpPr>
        <xdr:spPr>
          <a:xfrm>
            <a:off x="9315147" y="4715092"/>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26" name="arrow6">
            <a:extLst>
              <a:ext uri="{FF2B5EF4-FFF2-40B4-BE49-F238E27FC236}">
                <a16:creationId xmlns:a16="http://schemas.microsoft.com/office/drawing/2014/main" id="{00000000-0008-0000-0500-00001A000000}"/>
              </a:ext>
            </a:extLst>
          </xdr:cNvPr>
          <xdr:cNvCxnSpPr>
            <a:stCxn id="25" idx="2"/>
            <a:endCxn id="24" idx="3"/>
          </xdr:cNvCxnSpPr>
        </xdr:nvCxnSpPr>
        <xdr:spPr>
          <a:xfrm flipH="1">
            <a:off x="4890884" y="4760812"/>
            <a:ext cx="4424263" cy="567307"/>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10</xdr:col>
      <xdr:colOff>618935</xdr:colOff>
      <xdr:row>24</xdr:row>
      <xdr:rowOff>176429</xdr:rowOff>
    </xdr:from>
    <xdr:to>
      <xdr:col>12</xdr:col>
      <xdr:colOff>651187</xdr:colOff>
      <xdr:row>29</xdr:row>
      <xdr:rowOff>118464</xdr:rowOff>
    </xdr:to>
    <xdr:grpSp>
      <xdr:nvGrpSpPr>
        <xdr:cNvPr id="38" name="C07">
          <a:extLst>
            <a:ext uri="{FF2B5EF4-FFF2-40B4-BE49-F238E27FC236}">
              <a16:creationId xmlns:a16="http://schemas.microsoft.com/office/drawing/2014/main" id="{00000000-0008-0000-0500-000026000000}"/>
            </a:ext>
          </a:extLst>
        </xdr:cNvPr>
        <xdr:cNvGrpSpPr/>
      </xdr:nvGrpSpPr>
      <xdr:grpSpPr>
        <a:xfrm>
          <a:off x="7992406" y="5510429"/>
          <a:ext cx="1354546" cy="1006594"/>
          <a:chOff x="8696137" y="5525667"/>
          <a:chExt cx="1526045" cy="1008611"/>
        </a:xfrm>
        <a:solidFill>
          <a:srgbClr val="00B050"/>
        </a:solidFill>
      </xdr:grpSpPr>
      <xdr:sp macro="" textlink="">
        <xdr:nvSpPr>
          <xdr:cNvPr id="28" name="box7">
            <a:extLst>
              <a:ext uri="{FF2B5EF4-FFF2-40B4-BE49-F238E27FC236}">
                <a16:creationId xmlns:a16="http://schemas.microsoft.com/office/drawing/2014/main" id="{00000000-0008-0000-0500-00001C000000}"/>
              </a:ext>
            </a:extLst>
          </xdr:cNvPr>
          <xdr:cNvSpPr/>
        </xdr:nvSpPr>
        <xdr:spPr>
          <a:xfrm>
            <a:off x="8696137" y="5924044"/>
            <a:ext cx="1236793" cy="610234"/>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+U7.1L</a:t>
            </a:r>
            <a:endParaRPr lang="zh-CN" altLang="zh-CN">
              <a:effectLst/>
            </a:endParaRPr>
          </a:p>
          <a:p>
            <a:r>
              <a:rPr lang="en-US" altLang="zh-CN" sz="1100">
                <a:solidFill>
                  <a:schemeClr val="lt1"/>
                </a:solidFill>
                <a:effectLst/>
                <a:latin typeface="+mn-lt"/>
                <a:ea typeface="+mn-ea"/>
                <a:cs typeface="+mn-cs"/>
              </a:rPr>
              <a:t>=MM1-MMB6</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29" name="dot7">
            <a:extLst>
              <a:ext uri="{FF2B5EF4-FFF2-40B4-BE49-F238E27FC236}">
                <a16:creationId xmlns:a16="http://schemas.microsoft.com/office/drawing/2014/main" id="{00000000-0008-0000-0500-00001D000000}"/>
              </a:ext>
            </a:extLst>
          </xdr:cNvPr>
          <xdr:cNvSpPr/>
        </xdr:nvSpPr>
        <xdr:spPr>
          <a:xfrm>
            <a:off x="10130742" y="5525667"/>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30" name="arrow7">
            <a:extLst>
              <a:ext uri="{FF2B5EF4-FFF2-40B4-BE49-F238E27FC236}">
                <a16:creationId xmlns:a16="http://schemas.microsoft.com/office/drawing/2014/main" id="{00000000-0008-0000-0500-00001E000000}"/>
              </a:ext>
            </a:extLst>
          </xdr:cNvPr>
          <xdr:cNvCxnSpPr>
            <a:stCxn id="29" idx="2"/>
            <a:endCxn id="28" idx="0"/>
          </xdr:cNvCxnSpPr>
        </xdr:nvCxnSpPr>
        <xdr:spPr>
          <a:xfrm flipH="1">
            <a:off x="9314534" y="5571387"/>
            <a:ext cx="816208" cy="352656"/>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59204</xdr:colOff>
      <xdr:row>19</xdr:row>
      <xdr:rowOff>53413</xdr:rowOff>
    </xdr:from>
    <xdr:to>
      <xdr:col>13</xdr:col>
      <xdr:colOff>259280</xdr:colOff>
      <xdr:row>22</xdr:row>
      <xdr:rowOff>23691</xdr:rowOff>
    </xdr:to>
    <xdr:grpSp>
      <xdr:nvGrpSpPr>
        <xdr:cNvPr id="39" name="C08">
          <a:extLst>
            <a:ext uri="{FF2B5EF4-FFF2-40B4-BE49-F238E27FC236}">
              <a16:creationId xmlns:a16="http://schemas.microsoft.com/office/drawing/2014/main" id="{00000000-0008-0000-0500-000027000000}"/>
            </a:ext>
          </a:extLst>
        </xdr:cNvPr>
        <xdr:cNvGrpSpPr/>
      </xdr:nvGrpSpPr>
      <xdr:grpSpPr>
        <a:xfrm>
          <a:off x="3465792" y="4322854"/>
          <a:ext cx="6150400" cy="609013"/>
          <a:chOff x="3791964" y="4335743"/>
          <a:chExt cx="6721600" cy="610332"/>
        </a:xfrm>
        <a:solidFill>
          <a:srgbClr val="00B050"/>
        </a:solidFill>
      </xdr:grpSpPr>
      <xdr:sp macro="" textlink="">
        <xdr:nvSpPr>
          <xdr:cNvPr id="6560" name="box8">
            <a:extLst>
              <a:ext uri="{FF2B5EF4-FFF2-40B4-BE49-F238E27FC236}">
                <a16:creationId xmlns:a16="http://schemas.microsoft.com/office/drawing/2014/main" id="{00000000-0008-0000-0500-0000A0190000}"/>
              </a:ext>
            </a:extLst>
          </xdr:cNvPr>
          <xdr:cNvSpPr/>
        </xdr:nvSpPr>
        <xdr:spPr>
          <a:xfrm>
            <a:off x="3791964" y="4335743"/>
            <a:ext cx="1199756" cy="61033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+U8.1L</a:t>
            </a:r>
            <a:endParaRPr lang="zh-CN" altLang="zh-CN">
              <a:effectLst/>
            </a:endParaRPr>
          </a:p>
          <a:p>
            <a:r>
              <a:rPr lang="en-US" altLang="zh-CN" sz="1100">
                <a:solidFill>
                  <a:schemeClr val="lt1"/>
                </a:solidFill>
                <a:effectLst/>
                <a:latin typeface="+mn-lt"/>
                <a:ea typeface="+mn-ea"/>
                <a:cs typeface="+mn-cs"/>
              </a:rPr>
              <a:t>=MM1-MMB7</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6561" name="dot8">
            <a:extLst>
              <a:ext uri="{FF2B5EF4-FFF2-40B4-BE49-F238E27FC236}">
                <a16:creationId xmlns:a16="http://schemas.microsoft.com/office/drawing/2014/main" id="{00000000-0008-0000-0500-0000A1190000}"/>
              </a:ext>
            </a:extLst>
          </xdr:cNvPr>
          <xdr:cNvSpPr/>
        </xdr:nvSpPr>
        <xdr:spPr>
          <a:xfrm>
            <a:off x="10422124" y="4477922"/>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562" name="arrow8">
            <a:extLst>
              <a:ext uri="{FF2B5EF4-FFF2-40B4-BE49-F238E27FC236}">
                <a16:creationId xmlns:a16="http://schemas.microsoft.com/office/drawing/2014/main" id="{00000000-0008-0000-0500-0000A2190000}"/>
              </a:ext>
            </a:extLst>
          </xdr:cNvPr>
          <xdr:cNvCxnSpPr>
            <a:stCxn id="6561" idx="2"/>
            <a:endCxn id="6560" idx="3"/>
          </xdr:cNvCxnSpPr>
        </xdr:nvCxnSpPr>
        <xdr:spPr>
          <a:xfrm flipH="1">
            <a:off x="4991720" y="4523642"/>
            <a:ext cx="5430405" cy="117267"/>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8</xdr:col>
      <xdr:colOff>372967</xdr:colOff>
      <xdr:row>4</xdr:row>
      <xdr:rowOff>157785</xdr:rowOff>
    </xdr:from>
    <xdr:to>
      <xdr:col>13</xdr:col>
      <xdr:colOff>267961</xdr:colOff>
      <xdr:row>13</xdr:row>
      <xdr:rowOff>45901</xdr:rowOff>
    </xdr:to>
    <xdr:grpSp>
      <xdr:nvGrpSpPr>
        <xdr:cNvPr id="40" name="C09">
          <a:extLst>
            <a:ext uri="{FF2B5EF4-FFF2-40B4-BE49-F238E27FC236}">
              <a16:creationId xmlns:a16="http://schemas.microsoft.com/office/drawing/2014/main" id="{00000000-0008-0000-0500-000028000000}"/>
            </a:ext>
          </a:extLst>
        </xdr:cNvPr>
        <xdr:cNvGrpSpPr/>
      </xdr:nvGrpSpPr>
      <xdr:grpSpPr>
        <a:xfrm>
          <a:off x="6424143" y="1233550"/>
          <a:ext cx="3200730" cy="1804322"/>
          <a:chOff x="6994631" y="1243473"/>
          <a:chExt cx="3528114" cy="1803263"/>
        </a:xfrm>
        <a:solidFill>
          <a:srgbClr val="00B050"/>
        </a:solidFill>
      </xdr:grpSpPr>
      <xdr:sp macro="" textlink="">
        <xdr:nvSpPr>
          <xdr:cNvPr id="6564" name="box9">
            <a:extLst>
              <a:ext uri="{FF2B5EF4-FFF2-40B4-BE49-F238E27FC236}">
                <a16:creationId xmlns:a16="http://schemas.microsoft.com/office/drawing/2014/main" id="{00000000-0008-0000-0500-0000A4190000}"/>
              </a:ext>
            </a:extLst>
          </xdr:cNvPr>
          <xdr:cNvSpPr/>
        </xdr:nvSpPr>
        <xdr:spPr>
          <a:xfrm>
            <a:off x="6994631" y="1243473"/>
            <a:ext cx="1210089" cy="60865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+U9.1L</a:t>
            </a:r>
            <a:endParaRPr lang="zh-CN" altLang="zh-CN">
              <a:effectLst/>
            </a:endParaRPr>
          </a:p>
          <a:p>
            <a:r>
              <a:rPr lang="en-US" altLang="zh-CN" sz="1100">
                <a:solidFill>
                  <a:schemeClr val="lt1"/>
                </a:solidFill>
                <a:effectLst/>
                <a:latin typeface="+mn-lt"/>
                <a:ea typeface="+mn-ea"/>
                <a:cs typeface="+mn-cs"/>
              </a:rPr>
              <a:t>=MM1-MMB8</a:t>
            </a:r>
            <a:endParaRPr lang="zh-CN" altLang="zh-CN">
              <a:effectLst/>
            </a:endParaRPr>
          </a:p>
          <a:p>
            <a:r>
              <a:rPr lang="en-US" altLang="zh-CN" sz="1100">
                <a:solidFill>
                  <a:schemeClr val="lt1"/>
                </a:solidFill>
                <a:effectLst/>
                <a:latin typeface="+mn-lt"/>
                <a:ea typeface="+mn-ea"/>
                <a:cs typeface="+mn-cs"/>
              </a:rPr>
              <a:t>Group 1 Clamps</a:t>
            </a:r>
            <a:endParaRPr lang="zh-CN" altLang="zh-CN">
              <a:effectLst/>
            </a:endParaRPr>
          </a:p>
        </xdr:txBody>
      </xdr:sp>
      <xdr:sp macro="" textlink="">
        <xdr:nvSpPr>
          <xdr:cNvPr id="6565" name="dot9">
            <a:extLst>
              <a:ext uri="{FF2B5EF4-FFF2-40B4-BE49-F238E27FC236}">
                <a16:creationId xmlns:a16="http://schemas.microsoft.com/office/drawing/2014/main" id="{00000000-0008-0000-0500-0000A5190000}"/>
              </a:ext>
            </a:extLst>
          </xdr:cNvPr>
          <xdr:cNvSpPr/>
        </xdr:nvSpPr>
        <xdr:spPr>
          <a:xfrm>
            <a:off x="10431305" y="2955296"/>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566" name="arrow9">
            <a:extLst>
              <a:ext uri="{FF2B5EF4-FFF2-40B4-BE49-F238E27FC236}">
                <a16:creationId xmlns:a16="http://schemas.microsoft.com/office/drawing/2014/main" id="{00000000-0008-0000-0500-0000A6190000}"/>
              </a:ext>
            </a:extLst>
          </xdr:cNvPr>
          <xdr:cNvCxnSpPr>
            <a:stCxn id="6565" idx="2"/>
            <a:endCxn id="6564" idx="3"/>
          </xdr:cNvCxnSpPr>
        </xdr:nvCxnSpPr>
        <xdr:spPr>
          <a:xfrm flipH="1" flipV="1">
            <a:off x="8204720" y="1547800"/>
            <a:ext cx="2226585" cy="1453216"/>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12</xdr:col>
      <xdr:colOff>563465</xdr:colOff>
      <xdr:row>2</xdr:row>
      <xdr:rowOff>59330</xdr:rowOff>
    </xdr:from>
    <xdr:to>
      <xdr:col>14</xdr:col>
      <xdr:colOff>338972</xdr:colOff>
      <xdr:row>10</xdr:row>
      <xdr:rowOff>70955</xdr:rowOff>
    </xdr:to>
    <xdr:grpSp>
      <xdr:nvGrpSpPr>
        <xdr:cNvPr id="41" name="C10">
          <a:extLst>
            <a:ext uri="{FF2B5EF4-FFF2-40B4-BE49-F238E27FC236}">
              <a16:creationId xmlns:a16="http://schemas.microsoft.com/office/drawing/2014/main" id="{00000000-0008-0000-0500-000029000000}"/>
            </a:ext>
          </a:extLst>
        </xdr:cNvPr>
        <xdr:cNvGrpSpPr/>
      </xdr:nvGrpSpPr>
      <xdr:grpSpPr>
        <a:xfrm>
          <a:off x="9259230" y="574801"/>
          <a:ext cx="1097801" cy="1849389"/>
          <a:chOff x="10088468" y="585112"/>
          <a:chExt cx="1239508" cy="1847017"/>
        </a:xfrm>
        <a:solidFill>
          <a:srgbClr val="7030A0"/>
        </a:solidFill>
      </xdr:grpSpPr>
      <xdr:sp macro="" textlink="">
        <xdr:nvSpPr>
          <xdr:cNvPr id="6568" name="box10">
            <a:extLst>
              <a:ext uri="{FF2B5EF4-FFF2-40B4-BE49-F238E27FC236}">
                <a16:creationId xmlns:a16="http://schemas.microsoft.com/office/drawing/2014/main" id="{00000000-0008-0000-0500-0000A8190000}"/>
              </a:ext>
            </a:extLst>
          </xdr:cNvPr>
          <xdr:cNvSpPr/>
        </xdr:nvSpPr>
        <xdr:spPr>
          <a:xfrm>
            <a:off x="10088468" y="585112"/>
            <a:ext cx="1239508" cy="60823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+U10.1</a:t>
            </a:r>
            <a:endParaRPr lang="zh-CN" altLang="zh-CN">
              <a:effectLst/>
            </a:endParaRPr>
          </a:p>
          <a:p>
            <a:r>
              <a:rPr lang="en-US" altLang="zh-CN" sz="1100">
                <a:solidFill>
                  <a:schemeClr val="lt1"/>
                </a:solidFill>
                <a:effectLst/>
                <a:latin typeface="+mn-lt"/>
                <a:ea typeface="+mn-ea"/>
                <a:cs typeface="+mn-cs"/>
              </a:rPr>
              <a:t>=MM2-MMB1</a:t>
            </a:r>
            <a:endParaRPr lang="zh-CN" altLang="zh-CN">
              <a:effectLst/>
            </a:endParaRPr>
          </a:p>
          <a:p>
            <a:r>
              <a:rPr lang="en-US" altLang="zh-CN" sz="1100">
                <a:solidFill>
                  <a:schemeClr val="lt1"/>
                </a:solidFill>
                <a:effectLst/>
                <a:latin typeface="+mn-lt"/>
                <a:ea typeface="+mn-ea"/>
                <a:cs typeface="+mn-cs"/>
              </a:rPr>
              <a:t>Group 2 Clamps</a:t>
            </a:r>
            <a:endParaRPr lang="zh-CN" altLang="zh-CN">
              <a:effectLst/>
            </a:endParaRPr>
          </a:p>
        </xdr:txBody>
      </xdr:sp>
      <xdr:sp macro="" textlink="">
        <xdr:nvSpPr>
          <xdr:cNvPr id="6569" name="dot10">
            <a:extLst>
              <a:ext uri="{FF2B5EF4-FFF2-40B4-BE49-F238E27FC236}">
                <a16:creationId xmlns:a16="http://schemas.microsoft.com/office/drawing/2014/main" id="{00000000-0008-0000-0500-0000A9190000}"/>
              </a:ext>
            </a:extLst>
          </xdr:cNvPr>
          <xdr:cNvSpPr/>
        </xdr:nvSpPr>
        <xdr:spPr>
          <a:xfrm>
            <a:off x="10701540" y="2340689"/>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570" name="arrow10">
            <a:extLst>
              <a:ext uri="{FF2B5EF4-FFF2-40B4-BE49-F238E27FC236}">
                <a16:creationId xmlns:a16="http://schemas.microsoft.com/office/drawing/2014/main" id="{00000000-0008-0000-0500-0000AA190000}"/>
              </a:ext>
            </a:extLst>
          </xdr:cNvPr>
          <xdr:cNvCxnSpPr>
            <a:stCxn id="6569" idx="2"/>
            <a:endCxn id="6568" idx="2"/>
          </xdr:cNvCxnSpPr>
        </xdr:nvCxnSpPr>
        <xdr:spPr>
          <a:xfrm flipV="1">
            <a:off x="10701540" y="1193344"/>
            <a:ext cx="6683" cy="1193066"/>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11</xdr:col>
      <xdr:colOff>160053</xdr:colOff>
      <xdr:row>2</xdr:row>
      <xdr:rowOff>39323</xdr:rowOff>
    </xdr:from>
    <xdr:to>
      <xdr:col>13</xdr:col>
      <xdr:colOff>572654</xdr:colOff>
      <xdr:row>11</xdr:row>
      <xdr:rowOff>106904</xdr:rowOff>
    </xdr:to>
    <xdr:grpSp>
      <xdr:nvGrpSpPr>
        <xdr:cNvPr id="42" name="C11">
          <a:extLst>
            <a:ext uri="{FF2B5EF4-FFF2-40B4-BE49-F238E27FC236}">
              <a16:creationId xmlns:a16="http://schemas.microsoft.com/office/drawing/2014/main" id="{00000000-0008-0000-0500-00002A000000}"/>
            </a:ext>
          </a:extLst>
        </xdr:cNvPr>
        <xdr:cNvGrpSpPr/>
      </xdr:nvGrpSpPr>
      <xdr:grpSpPr>
        <a:xfrm>
          <a:off x="8194671" y="554794"/>
          <a:ext cx="1734895" cy="2118257"/>
          <a:chOff x="8961155" y="565104"/>
          <a:chExt cx="1864008" cy="2116345"/>
        </a:xfrm>
        <a:solidFill>
          <a:srgbClr val="CC66FF"/>
        </a:solidFill>
      </xdr:grpSpPr>
      <xdr:sp macro="" textlink="">
        <xdr:nvSpPr>
          <xdr:cNvPr id="6144" name="box11">
            <a:extLst>
              <a:ext uri="{FF2B5EF4-FFF2-40B4-BE49-F238E27FC236}">
                <a16:creationId xmlns:a16="http://schemas.microsoft.com/office/drawing/2014/main" id="{00000000-0008-0000-0500-000000180000}"/>
              </a:ext>
            </a:extLst>
          </xdr:cNvPr>
          <xdr:cNvSpPr/>
        </xdr:nvSpPr>
        <xdr:spPr>
          <a:xfrm>
            <a:off x="8961155" y="565104"/>
            <a:ext cx="1074784" cy="608463"/>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+U10.2</a:t>
            </a:r>
            <a:endParaRPr lang="zh-CN" altLang="zh-CN">
              <a:effectLst/>
            </a:endParaRPr>
          </a:p>
          <a:p>
            <a:r>
              <a:rPr lang="en-US" altLang="zh-CN" sz="1100">
                <a:solidFill>
                  <a:schemeClr val="lt1"/>
                </a:solidFill>
                <a:effectLst/>
                <a:latin typeface="+mn-lt"/>
                <a:ea typeface="+mn-ea"/>
                <a:cs typeface="+mn-cs"/>
              </a:rPr>
              <a:t>=MM4-MMB2</a:t>
            </a:r>
            <a:endParaRPr lang="zh-CN" altLang="zh-CN">
              <a:effectLst/>
            </a:endParaRPr>
          </a:p>
          <a:p>
            <a:r>
              <a:rPr lang="en-US" altLang="zh-CN" sz="1100">
                <a:solidFill>
                  <a:schemeClr val="lt1"/>
                </a:solidFill>
                <a:effectLst/>
                <a:latin typeface="+mn-lt"/>
                <a:ea typeface="+mn-ea"/>
                <a:cs typeface="+mn-cs"/>
              </a:rPr>
              <a:t>Group 4 Pins</a:t>
            </a:r>
            <a:endParaRPr lang="zh-CN" altLang="zh-CN">
              <a:effectLst/>
            </a:endParaRPr>
          </a:p>
        </xdr:txBody>
      </xdr:sp>
      <xdr:sp macro="" textlink="">
        <xdr:nvSpPr>
          <xdr:cNvPr id="6148" name="dot11">
            <a:extLst>
              <a:ext uri="{FF2B5EF4-FFF2-40B4-BE49-F238E27FC236}">
                <a16:creationId xmlns:a16="http://schemas.microsoft.com/office/drawing/2014/main" id="{00000000-0008-0000-0500-000004180000}"/>
              </a:ext>
            </a:extLst>
          </xdr:cNvPr>
          <xdr:cNvSpPr/>
        </xdr:nvSpPr>
        <xdr:spPr>
          <a:xfrm>
            <a:off x="10733723" y="2590009"/>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149" name="arrow11">
            <a:extLst>
              <a:ext uri="{FF2B5EF4-FFF2-40B4-BE49-F238E27FC236}">
                <a16:creationId xmlns:a16="http://schemas.microsoft.com/office/drawing/2014/main" id="{00000000-0008-0000-0500-000005180000}"/>
              </a:ext>
            </a:extLst>
          </xdr:cNvPr>
          <xdr:cNvCxnSpPr>
            <a:stCxn id="6148" idx="2"/>
            <a:endCxn id="6144" idx="2"/>
          </xdr:cNvCxnSpPr>
        </xdr:nvCxnSpPr>
        <xdr:spPr>
          <a:xfrm flipH="1" flipV="1">
            <a:off x="9498547" y="1173567"/>
            <a:ext cx="1235176" cy="1462162"/>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652704</xdr:colOff>
      <xdr:row>24</xdr:row>
      <xdr:rowOff>48361</xdr:rowOff>
    </xdr:from>
    <xdr:to>
      <xdr:col>15</xdr:col>
      <xdr:colOff>448165</xdr:colOff>
      <xdr:row>29</xdr:row>
      <xdr:rowOff>102746</xdr:rowOff>
    </xdr:to>
    <xdr:grpSp>
      <xdr:nvGrpSpPr>
        <xdr:cNvPr id="43" name="C12">
          <a:extLst>
            <a:ext uri="{FF2B5EF4-FFF2-40B4-BE49-F238E27FC236}">
              <a16:creationId xmlns:a16="http://schemas.microsoft.com/office/drawing/2014/main" id="{00000000-0008-0000-0500-00002B000000}"/>
            </a:ext>
          </a:extLst>
        </xdr:cNvPr>
        <xdr:cNvGrpSpPr/>
      </xdr:nvGrpSpPr>
      <xdr:grpSpPr>
        <a:xfrm>
          <a:off x="10009616" y="5382361"/>
          <a:ext cx="1117755" cy="1118944"/>
          <a:chOff x="10901601" y="5397599"/>
          <a:chExt cx="1272725" cy="1120868"/>
        </a:xfrm>
        <a:solidFill>
          <a:srgbClr val="7030A0"/>
        </a:solidFill>
      </xdr:grpSpPr>
      <xdr:sp macro="" textlink="">
        <xdr:nvSpPr>
          <xdr:cNvPr id="6151" name="box12">
            <a:extLst>
              <a:ext uri="{FF2B5EF4-FFF2-40B4-BE49-F238E27FC236}">
                <a16:creationId xmlns:a16="http://schemas.microsoft.com/office/drawing/2014/main" id="{00000000-0008-0000-0500-000007180000}"/>
              </a:ext>
            </a:extLst>
          </xdr:cNvPr>
          <xdr:cNvSpPr/>
        </xdr:nvSpPr>
        <xdr:spPr>
          <a:xfrm>
            <a:off x="10924321" y="5908407"/>
            <a:ext cx="1250005" cy="61006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+U11.1</a:t>
            </a:r>
            <a:endParaRPr lang="zh-CN" altLang="zh-CN">
              <a:effectLst/>
            </a:endParaRPr>
          </a:p>
          <a:p>
            <a:r>
              <a:rPr lang="en-US" altLang="zh-CN" sz="1100">
                <a:solidFill>
                  <a:schemeClr val="lt1"/>
                </a:solidFill>
                <a:effectLst/>
                <a:latin typeface="+mn-lt"/>
                <a:ea typeface="+mn-ea"/>
                <a:cs typeface="+mn-cs"/>
              </a:rPr>
              <a:t>=MM2-MMB2</a:t>
            </a:r>
            <a:endParaRPr lang="zh-CN" altLang="zh-CN">
              <a:effectLst/>
            </a:endParaRPr>
          </a:p>
          <a:p>
            <a:r>
              <a:rPr lang="en-US" altLang="zh-CN" sz="1100">
                <a:solidFill>
                  <a:schemeClr val="lt1"/>
                </a:solidFill>
                <a:effectLst/>
                <a:latin typeface="+mn-lt"/>
                <a:ea typeface="+mn-ea"/>
                <a:cs typeface="+mn-cs"/>
              </a:rPr>
              <a:t>Group 2 Clamps</a:t>
            </a:r>
            <a:endParaRPr lang="zh-CN" altLang="zh-CN">
              <a:effectLst/>
            </a:endParaRPr>
          </a:p>
        </xdr:txBody>
      </xdr:sp>
      <xdr:sp macro="" textlink="">
        <xdr:nvSpPr>
          <xdr:cNvPr id="6152" name="dot12">
            <a:extLst>
              <a:ext uri="{FF2B5EF4-FFF2-40B4-BE49-F238E27FC236}">
                <a16:creationId xmlns:a16="http://schemas.microsoft.com/office/drawing/2014/main" id="{00000000-0008-0000-0500-000008180000}"/>
              </a:ext>
            </a:extLst>
          </xdr:cNvPr>
          <xdr:cNvSpPr/>
        </xdr:nvSpPr>
        <xdr:spPr>
          <a:xfrm>
            <a:off x="10901601" y="5397599"/>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153" name="arrow12">
            <a:extLst>
              <a:ext uri="{FF2B5EF4-FFF2-40B4-BE49-F238E27FC236}">
                <a16:creationId xmlns:a16="http://schemas.microsoft.com/office/drawing/2014/main" id="{00000000-0008-0000-0500-000009180000}"/>
              </a:ext>
            </a:extLst>
          </xdr:cNvPr>
          <xdr:cNvCxnSpPr>
            <a:stCxn id="6152" idx="2"/>
            <a:endCxn id="6151" idx="0"/>
          </xdr:cNvCxnSpPr>
        </xdr:nvCxnSpPr>
        <xdr:spPr>
          <a:xfrm>
            <a:off x="10901601" y="5443319"/>
            <a:ext cx="647723" cy="465087"/>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3172</xdr:colOff>
      <xdr:row>22</xdr:row>
      <xdr:rowOff>50760</xdr:rowOff>
    </xdr:from>
    <xdr:to>
      <xdr:col>19</xdr:col>
      <xdr:colOff>335454</xdr:colOff>
      <xdr:row>29</xdr:row>
      <xdr:rowOff>60834</xdr:rowOff>
    </xdr:to>
    <xdr:grpSp>
      <xdr:nvGrpSpPr>
        <xdr:cNvPr id="44" name="C13">
          <a:extLst>
            <a:ext uri="{FF2B5EF4-FFF2-40B4-BE49-F238E27FC236}">
              <a16:creationId xmlns:a16="http://schemas.microsoft.com/office/drawing/2014/main" id="{00000000-0008-0000-0500-00002C000000}"/>
            </a:ext>
          </a:extLst>
        </xdr:cNvPr>
        <xdr:cNvGrpSpPr/>
      </xdr:nvGrpSpPr>
      <xdr:grpSpPr>
        <a:xfrm>
          <a:off x="10021231" y="4958936"/>
          <a:ext cx="3638017" cy="1500457"/>
          <a:chOff x="10975971" y="4973279"/>
          <a:chExt cx="4004221" cy="1503087"/>
        </a:xfrm>
        <a:solidFill>
          <a:srgbClr val="CC66FF"/>
        </a:solidFill>
      </xdr:grpSpPr>
      <xdr:sp macro="" textlink="">
        <xdr:nvSpPr>
          <xdr:cNvPr id="6155" name="box13">
            <a:extLst>
              <a:ext uri="{FF2B5EF4-FFF2-40B4-BE49-F238E27FC236}">
                <a16:creationId xmlns:a16="http://schemas.microsoft.com/office/drawing/2014/main" id="{00000000-0008-0000-0500-00000B180000}"/>
              </a:ext>
            </a:extLst>
          </xdr:cNvPr>
          <xdr:cNvSpPr/>
        </xdr:nvSpPr>
        <xdr:spPr>
          <a:xfrm flipH="1">
            <a:off x="13879160" y="5866285"/>
            <a:ext cx="1101032" cy="610081"/>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+U11.2</a:t>
            </a:r>
            <a:endParaRPr lang="zh-CN" altLang="zh-CN">
              <a:effectLst/>
            </a:endParaRPr>
          </a:p>
          <a:p>
            <a:r>
              <a:rPr lang="en-US" altLang="zh-CN" sz="1100">
                <a:solidFill>
                  <a:schemeClr val="lt1"/>
                </a:solidFill>
                <a:effectLst/>
                <a:latin typeface="+mn-lt"/>
                <a:ea typeface="+mn-ea"/>
                <a:cs typeface="+mn-cs"/>
              </a:rPr>
              <a:t>=MM4-MMB3</a:t>
            </a:r>
            <a:endParaRPr lang="zh-CN" altLang="zh-CN">
              <a:effectLst/>
            </a:endParaRPr>
          </a:p>
          <a:p>
            <a:r>
              <a:rPr lang="en-US" altLang="zh-CN" sz="1100">
                <a:solidFill>
                  <a:schemeClr val="lt1"/>
                </a:solidFill>
                <a:effectLst/>
                <a:latin typeface="+mn-lt"/>
                <a:ea typeface="+mn-ea"/>
                <a:cs typeface="+mn-cs"/>
              </a:rPr>
              <a:t>Group 4 Pins</a:t>
            </a:r>
            <a:endParaRPr lang="zh-CN" altLang="zh-CN">
              <a:effectLst/>
            </a:endParaRPr>
          </a:p>
        </xdr:txBody>
      </xdr:sp>
      <xdr:sp macro="" textlink="">
        <xdr:nvSpPr>
          <xdr:cNvPr id="6156" name="dot13">
            <a:extLst>
              <a:ext uri="{FF2B5EF4-FFF2-40B4-BE49-F238E27FC236}">
                <a16:creationId xmlns:a16="http://schemas.microsoft.com/office/drawing/2014/main" id="{00000000-0008-0000-0500-00000C180000}"/>
              </a:ext>
            </a:extLst>
          </xdr:cNvPr>
          <xdr:cNvSpPr/>
        </xdr:nvSpPr>
        <xdr:spPr>
          <a:xfrm flipH="1">
            <a:off x="10975971" y="4973279"/>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157" name="arrow13">
            <a:extLst>
              <a:ext uri="{FF2B5EF4-FFF2-40B4-BE49-F238E27FC236}">
                <a16:creationId xmlns:a16="http://schemas.microsoft.com/office/drawing/2014/main" id="{00000000-0008-0000-0500-00000D180000}"/>
              </a:ext>
            </a:extLst>
          </xdr:cNvPr>
          <xdr:cNvCxnSpPr>
            <a:stCxn id="6156" idx="2"/>
            <a:endCxn id="6155" idx="0"/>
          </xdr:cNvCxnSpPr>
        </xdr:nvCxnSpPr>
        <xdr:spPr>
          <a:xfrm>
            <a:off x="11067411" y="5018999"/>
            <a:ext cx="3362265" cy="847286"/>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126439</xdr:colOff>
      <xdr:row>7</xdr:row>
      <xdr:rowOff>1706</xdr:rowOff>
    </xdr:from>
    <xdr:to>
      <xdr:col>12</xdr:col>
      <xdr:colOff>25960</xdr:colOff>
      <xdr:row>12</xdr:row>
      <xdr:rowOff>118159</xdr:rowOff>
    </xdr:to>
    <xdr:grpSp>
      <xdr:nvGrpSpPr>
        <xdr:cNvPr id="45" name="C14">
          <a:extLst>
            <a:ext uri="{FF2B5EF4-FFF2-40B4-BE49-F238E27FC236}">
              <a16:creationId xmlns:a16="http://schemas.microsoft.com/office/drawing/2014/main" id="{00000000-0008-0000-0500-00002D000000}"/>
            </a:ext>
          </a:extLst>
        </xdr:cNvPr>
        <xdr:cNvGrpSpPr/>
      </xdr:nvGrpSpPr>
      <xdr:grpSpPr>
        <a:xfrm>
          <a:off x="3533027" y="1716206"/>
          <a:ext cx="5188698" cy="1181012"/>
          <a:chOff x="3863507" y="1723460"/>
          <a:chExt cx="5693128" cy="1182869"/>
        </a:xfrm>
        <a:solidFill>
          <a:srgbClr val="CC66FF"/>
        </a:solidFill>
      </xdr:grpSpPr>
      <xdr:sp macro="" textlink="">
        <xdr:nvSpPr>
          <xdr:cNvPr id="6159" name="box14">
            <a:extLst>
              <a:ext uri="{FF2B5EF4-FFF2-40B4-BE49-F238E27FC236}">
                <a16:creationId xmlns:a16="http://schemas.microsoft.com/office/drawing/2014/main" id="{00000000-0008-0000-0500-00000F180000}"/>
              </a:ext>
            </a:extLst>
          </xdr:cNvPr>
          <xdr:cNvSpPr/>
        </xdr:nvSpPr>
        <xdr:spPr>
          <a:xfrm>
            <a:off x="3863507" y="1723460"/>
            <a:ext cx="1097588" cy="609971"/>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+U12.1L</a:t>
            </a:r>
            <a:endParaRPr lang="zh-CN" altLang="zh-CN">
              <a:effectLst/>
            </a:endParaRPr>
          </a:p>
          <a:p>
            <a:r>
              <a:rPr lang="en-US" altLang="zh-CN" sz="1100">
                <a:solidFill>
                  <a:schemeClr val="lt1"/>
                </a:solidFill>
                <a:effectLst/>
                <a:latin typeface="+mn-lt"/>
                <a:ea typeface="+mn-ea"/>
                <a:cs typeface="+mn-cs"/>
              </a:rPr>
              <a:t>=MM4-MMB4</a:t>
            </a:r>
            <a:endParaRPr lang="zh-CN" altLang="zh-CN">
              <a:effectLst/>
            </a:endParaRPr>
          </a:p>
          <a:p>
            <a:r>
              <a:rPr lang="en-US" altLang="zh-CN" sz="1100">
                <a:solidFill>
                  <a:schemeClr val="lt1"/>
                </a:solidFill>
                <a:effectLst/>
                <a:latin typeface="+mn-lt"/>
                <a:ea typeface="+mn-ea"/>
                <a:cs typeface="+mn-cs"/>
              </a:rPr>
              <a:t>Group 4 Pins</a:t>
            </a:r>
            <a:endParaRPr lang="zh-CN" altLang="zh-CN">
              <a:effectLst/>
            </a:endParaRPr>
          </a:p>
        </xdr:txBody>
      </xdr:sp>
      <xdr:sp macro="" textlink="">
        <xdr:nvSpPr>
          <xdr:cNvPr id="6160" name="dot14">
            <a:extLst>
              <a:ext uri="{FF2B5EF4-FFF2-40B4-BE49-F238E27FC236}">
                <a16:creationId xmlns:a16="http://schemas.microsoft.com/office/drawing/2014/main" id="{00000000-0008-0000-0500-000010180000}"/>
              </a:ext>
            </a:extLst>
          </xdr:cNvPr>
          <xdr:cNvSpPr/>
        </xdr:nvSpPr>
        <xdr:spPr>
          <a:xfrm>
            <a:off x="9465195" y="2814889"/>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161" name="arrow14">
            <a:extLst>
              <a:ext uri="{FF2B5EF4-FFF2-40B4-BE49-F238E27FC236}">
                <a16:creationId xmlns:a16="http://schemas.microsoft.com/office/drawing/2014/main" id="{00000000-0008-0000-0500-000011180000}"/>
              </a:ext>
            </a:extLst>
          </xdr:cNvPr>
          <xdr:cNvCxnSpPr>
            <a:stCxn id="6160" idx="2"/>
            <a:endCxn id="6159" idx="3"/>
          </xdr:cNvCxnSpPr>
        </xdr:nvCxnSpPr>
        <xdr:spPr>
          <a:xfrm flipH="1" flipV="1">
            <a:off x="4961095" y="2028446"/>
            <a:ext cx="4504100" cy="832164"/>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15</xdr:col>
      <xdr:colOff>55841</xdr:colOff>
      <xdr:row>2</xdr:row>
      <xdr:rowOff>98230</xdr:rowOff>
    </xdr:from>
    <xdr:to>
      <xdr:col>17</xdr:col>
      <xdr:colOff>547605</xdr:colOff>
      <xdr:row>10</xdr:row>
      <xdr:rowOff>8942</xdr:rowOff>
    </xdr:to>
    <xdr:grpSp>
      <xdr:nvGrpSpPr>
        <xdr:cNvPr id="46" name="C15">
          <a:extLst>
            <a:ext uri="{FF2B5EF4-FFF2-40B4-BE49-F238E27FC236}">
              <a16:creationId xmlns:a16="http://schemas.microsoft.com/office/drawing/2014/main" id="{00000000-0008-0000-0500-00002E000000}"/>
            </a:ext>
          </a:extLst>
        </xdr:cNvPr>
        <xdr:cNvGrpSpPr/>
      </xdr:nvGrpSpPr>
      <xdr:grpSpPr>
        <a:xfrm>
          <a:off x="10735047" y="613701"/>
          <a:ext cx="1814058" cy="1748476"/>
          <a:chOff x="11752542" y="624013"/>
          <a:chExt cx="1958761" cy="1745811"/>
        </a:xfrm>
        <a:solidFill>
          <a:srgbClr val="00B0F0"/>
        </a:solidFill>
      </xdr:grpSpPr>
      <xdr:sp macro="" textlink="">
        <xdr:nvSpPr>
          <xdr:cNvPr id="6163" name="box15">
            <a:extLst>
              <a:ext uri="{FF2B5EF4-FFF2-40B4-BE49-F238E27FC236}">
                <a16:creationId xmlns:a16="http://schemas.microsoft.com/office/drawing/2014/main" id="{00000000-0008-0000-0500-000013180000}"/>
              </a:ext>
            </a:extLst>
          </xdr:cNvPr>
          <xdr:cNvSpPr/>
        </xdr:nvSpPr>
        <xdr:spPr>
          <a:xfrm flipH="1">
            <a:off x="12525933" y="624013"/>
            <a:ext cx="1185370" cy="60808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+U2.1R</a:t>
            </a:r>
            <a:endParaRPr lang="zh-CN" altLang="zh-CN">
              <a:effectLst/>
            </a:endParaRPr>
          </a:p>
          <a:p>
            <a:r>
              <a:rPr lang="en-US" altLang="zh-CN" sz="1100">
                <a:solidFill>
                  <a:schemeClr val="lt1"/>
                </a:solidFill>
                <a:effectLst/>
                <a:latin typeface="+mn-lt"/>
                <a:ea typeface="+mn-ea"/>
                <a:cs typeface="+mn-cs"/>
              </a:rPr>
              <a:t>=MM3-MMB1</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164" name="dot15">
            <a:extLst>
              <a:ext uri="{FF2B5EF4-FFF2-40B4-BE49-F238E27FC236}">
                <a16:creationId xmlns:a16="http://schemas.microsoft.com/office/drawing/2014/main" id="{00000000-0008-0000-0500-000014180000}"/>
              </a:ext>
            </a:extLst>
          </xdr:cNvPr>
          <xdr:cNvSpPr/>
        </xdr:nvSpPr>
        <xdr:spPr>
          <a:xfrm flipH="1">
            <a:off x="11752542" y="2278384"/>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165" name="arrow15">
            <a:extLst>
              <a:ext uri="{FF2B5EF4-FFF2-40B4-BE49-F238E27FC236}">
                <a16:creationId xmlns:a16="http://schemas.microsoft.com/office/drawing/2014/main" id="{00000000-0008-0000-0500-000015180000}"/>
              </a:ext>
            </a:extLst>
          </xdr:cNvPr>
          <xdr:cNvCxnSpPr>
            <a:stCxn id="6164" idx="2"/>
            <a:endCxn id="6163" idx="2"/>
          </xdr:cNvCxnSpPr>
        </xdr:nvCxnSpPr>
        <xdr:spPr>
          <a:xfrm flipV="1">
            <a:off x="11843982" y="1232098"/>
            <a:ext cx="1274635" cy="1092006"/>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123080</xdr:colOff>
      <xdr:row>8</xdr:row>
      <xdr:rowOff>897</xdr:rowOff>
    </xdr:from>
    <xdr:to>
      <xdr:col>24</xdr:col>
      <xdr:colOff>270310</xdr:colOff>
      <xdr:row>14</xdr:row>
      <xdr:rowOff>89904</xdr:rowOff>
    </xdr:to>
    <xdr:grpSp>
      <xdr:nvGrpSpPr>
        <xdr:cNvPr id="47" name="C16">
          <a:extLst>
            <a:ext uri="{FF2B5EF4-FFF2-40B4-BE49-F238E27FC236}">
              <a16:creationId xmlns:a16="http://schemas.microsoft.com/office/drawing/2014/main" id="{00000000-0008-0000-0500-00002F000000}"/>
            </a:ext>
          </a:extLst>
        </xdr:cNvPr>
        <xdr:cNvGrpSpPr/>
      </xdr:nvGrpSpPr>
      <xdr:grpSpPr>
        <a:xfrm>
          <a:off x="11463433" y="1928309"/>
          <a:ext cx="5436406" cy="1366477"/>
          <a:chOff x="12543679" y="1935791"/>
          <a:chExt cx="6000220" cy="1368521"/>
        </a:xfrm>
        <a:solidFill>
          <a:srgbClr val="00B0F0"/>
        </a:solidFill>
      </xdr:grpSpPr>
      <xdr:sp macro="" textlink="">
        <xdr:nvSpPr>
          <xdr:cNvPr id="6167" name="box16">
            <a:extLst>
              <a:ext uri="{FF2B5EF4-FFF2-40B4-BE49-F238E27FC236}">
                <a16:creationId xmlns:a16="http://schemas.microsoft.com/office/drawing/2014/main" id="{00000000-0008-0000-0500-000017180000}"/>
              </a:ext>
            </a:extLst>
          </xdr:cNvPr>
          <xdr:cNvSpPr/>
        </xdr:nvSpPr>
        <xdr:spPr>
          <a:xfrm flipH="1">
            <a:off x="17332244" y="1935791"/>
            <a:ext cx="1211655" cy="609924"/>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+U3.1R</a:t>
            </a:r>
            <a:endParaRPr lang="zh-CN" altLang="zh-CN">
              <a:effectLst/>
            </a:endParaRPr>
          </a:p>
          <a:p>
            <a:r>
              <a:rPr lang="en-US" altLang="zh-CN" sz="1100">
                <a:solidFill>
                  <a:schemeClr val="lt1"/>
                </a:solidFill>
                <a:effectLst/>
                <a:latin typeface="+mn-lt"/>
                <a:ea typeface="+mn-ea"/>
                <a:cs typeface="+mn-cs"/>
              </a:rPr>
              <a:t>=MM3-MMB2</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168" name="dot16">
            <a:extLst>
              <a:ext uri="{FF2B5EF4-FFF2-40B4-BE49-F238E27FC236}">
                <a16:creationId xmlns:a16="http://schemas.microsoft.com/office/drawing/2014/main" id="{00000000-0008-0000-0500-000018180000}"/>
              </a:ext>
            </a:extLst>
          </xdr:cNvPr>
          <xdr:cNvSpPr/>
        </xdr:nvSpPr>
        <xdr:spPr>
          <a:xfrm flipH="1">
            <a:off x="12543679" y="3212872"/>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169" name="arrow16">
            <a:extLst>
              <a:ext uri="{FF2B5EF4-FFF2-40B4-BE49-F238E27FC236}">
                <a16:creationId xmlns:a16="http://schemas.microsoft.com/office/drawing/2014/main" id="{00000000-0008-0000-0500-000019180000}"/>
              </a:ext>
            </a:extLst>
          </xdr:cNvPr>
          <xdr:cNvCxnSpPr>
            <a:stCxn id="6168" idx="2"/>
            <a:endCxn id="6167" idx="3"/>
          </xdr:cNvCxnSpPr>
        </xdr:nvCxnSpPr>
        <xdr:spPr>
          <a:xfrm flipV="1">
            <a:off x="12635119" y="2240753"/>
            <a:ext cx="4697125" cy="1017839"/>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78254</xdr:colOff>
      <xdr:row>11</xdr:row>
      <xdr:rowOff>3299</xdr:rowOff>
    </xdr:from>
    <xdr:to>
      <xdr:col>24</xdr:col>
      <xdr:colOff>282298</xdr:colOff>
      <xdr:row>16</xdr:row>
      <xdr:rowOff>137162</xdr:rowOff>
    </xdr:to>
    <xdr:grpSp>
      <xdr:nvGrpSpPr>
        <xdr:cNvPr id="48" name="C17">
          <a:extLst>
            <a:ext uri="{FF2B5EF4-FFF2-40B4-BE49-F238E27FC236}">
              <a16:creationId xmlns:a16="http://schemas.microsoft.com/office/drawing/2014/main" id="{00000000-0008-0000-0500-000030000000}"/>
            </a:ext>
          </a:extLst>
        </xdr:cNvPr>
        <xdr:cNvGrpSpPr/>
      </xdr:nvGrpSpPr>
      <xdr:grpSpPr>
        <a:xfrm>
          <a:off x="11418607" y="2569446"/>
          <a:ext cx="5493220" cy="1198422"/>
          <a:chOff x="12498855" y="2578268"/>
          <a:chExt cx="6057932" cy="1200481"/>
        </a:xfrm>
        <a:solidFill>
          <a:srgbClr val="00B0F0"/>
        </a:solidFill>
      </xdr:grpSpPr>
      <xdr:sp macro="" textlink="">
        <xdr:nvSpPr>
          <xdr:cNvPr id="6171" name="box17">
            <a:extLst>
              <a:ext uri="{FF2B5EF4-FFF2-40B4-BE49-F238E27FC236}">
                <a16:creationId xmlns:a16="http://schemas.microsoft.com/office/drawing/2014/main" id="{00000000-0008-0000-0500-00001B180000}"/>
              </a:ext>
            </a:extLst>
          </xdr:cNvPr>
          <xdr:cNvSpPr/>
        </xdr:nvSpPr>
        <xdr:spPr>
          <a:xfrm flipH="1">
            <a:off x="17346130" y="2578268"/>
            <a:ext cx="1210657" cy="610060"/>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+U4.1R</a:t>
            </a:r>
            <a:endParaRPr lang="zh-CN" altLang="zh-CN">
              <a:effectLst/>
            </a:endParaRPr>
          </a:p>
          <a:p>
            <a:r>
              <a:rPr lang="en-US" altLang="zh-CN" sz="1100">
                <a:solidFill>
                  <a:schemeClr val="lt1"/>
                </a:solidFill>
                <a:effectLst/>
                <a:latin typeface="+mn-lt"/>
                <a:ea typeface="+mn-ea"/>
                <a:cs typeface="+mn-cs"/>
              </a:rPr>
              <a:t>=MM3-MMB3</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172" name="dot17">
            <a:extLst>
              <a:ext uri="{FF2B5EF4-FFF2-40B4-BE49-F238E27FC236}">
                <a16:creationId xmlns:a16="http://schemas.microsoft.com/office/drawing/2014/main" id="{00000000-0008-0000-0500-00001C180000}"/>
              </a:ext>
            </a:extLst>
          </xdr:cNvPr>
          <xdr:cNvSpPr/>
        </xdr:nvSpPr>
        <xdr:spPr>
          <a:xfrm flipH="1">
            <a:off x="12498855" y="3687309"/>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173" name="arrow17">
            <a:extLst>
              <a:ext uri="{FF2B5EF4-FFF2-40B4-BE49-F238E27FC236}">
                <a16:creationId xmlns:a16="http://schemas.microsoft.com/office/drawing/2014/main" id="{00000000-0008-0000-0500-00001D180000}"/>
              </a:ext>
            </a:extLst>
          </xdr:cNvPr>
          <xdr:cNvCxnSpPr>
            <a:stCxn id="6172" idx="2"/>
            <a:endCxn id="6171" idx="3"/>
          </xdr:cNvCxnSpPr>
        </xdr:nvCxnSpPr>
        <xdr:spPr>
          <a:xfrm flipV="1">
            <a:off x="12590295" y="2883298"/>
            <a:ext cx="4755835" cy="849732"/>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67048</xdr:colOff>
      <xdr:row>14</xdr:row>
      <xdr:rowOff>39320</xdr:rowOff>
    </xdr:from>
    <xdr:to>
      <xdr:col>24</xdr:col>
      <xdr:colOff>293304</xdr:colOff>
      <xdr:row>19</xdr:row>
      <xdr:rowOff>27479</xdr:rowOff>
    </xdr:to>
    <xdr:grpSp>
      <xdr:nvGrpSpPr>
        <xdr:cNvPr id="49" name="C18">
          <a:extLst>
            <a:ext uri="{FF2B5EF4-FFF2-40B4-BE49-F238E27FC236}">
              <a16:creationId xmlns:a16="http://schemas.microsoft.com/office/drawing/2014/main" id="{00000000-0008-0000-0500-000031000000}"/>
            </a:ext>
          </a:extLst>
        </xdr:cNvPr>
        <xdr:cNvGrpSpPr/>
      </xdr:nvGrpSpPr>
      <xdr:grpSpPr>
        <a:xfrm>
          <a:off x="11407401" y="3244202"/>
          <a:ext cx="5515432" cy="1052718"/>
          <a:chOff x="12487648" y="3254694"/>
          <a:chExt cx="6083674" cy="1054460"/>
        </a:xfrm>
        <a:solidFill>
          <a:srgbClr val="00B0F0"/>
        </a:solidFill>
      </xdr:grpSpPr>
      <xdr:sp macro="" textlink="">
        <xdr:nvSpPr>
          <xdr:cNvPr id="6175" name="box18">
            <a:extLst>
              <a:ext uri="{FF2B5EF4-FFF2-40B4-BE49-F238E27FC236}">
                <a16:creationId xmlns:a16="http://schemas.microsoft.com/office/drawing/2014/main" id="{00000000-0008-0000-0500-00001F180000}"/>
              </a:ext>
            </a:extLst>
          </xdr:cNvPr>
          <xdr:cNvSpPr/>
        </xdr:nvSpPr>
        <xdr:spPr>
          <a:xfrm flipH="1">
            <a:off x="17360417" y="3254694"/>
            <a:ext cx="1210905" cy="610021"/>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+U5.1R</a:t>
            </a:r>
            <a:endParaRPr lang="zh-CN" altLang="zh-CN">
              <a:effectLst/>
            </a:endParaRPr>
          </a:p>
          <a:p>
            <a:r>
              <a:rPr lang="en-US" altLang="zh-CN" sz="1100">
                <a:solidFill>
                  <a:schemeClr val="lt1"/>
                </a:solidFill>
                <a:effectLst/>
                <a:latin typeface="+mn-lt"/>
                <a:ea typeface="+mn-ea"/>
                <a:cs typeface="+mn-cs"/>
              </a:rPr>
              <a:t>=MM3-MMB4</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668" name="dot18">
            <a:extLst>
              <a:ext uri="{FF2B5EF4-FFF2-40B4-BE49-F238E27FC236}">
                <a16:creationId xmlns:a16="http://schemas.microsoft.com/office/drawing/2014/main" id="{00000000-0008-0000-0500-00000C1A0000}"/>
              </a:ext>
            </a:extLst>
          </xdr:cNvPr>
          <xdr:cNvSpPr/>
        </xdr:nvSpPr>
        <xdr:spPr>
          <a:xfrm flipH="1">
            <a:off x="12487648" y="4217714"/>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669" name="arrow18">
            <a:extLst>
              <a:ext uri="{FF2B5EF4-FFF2-40B4-BE49-F238E27FC236}">
                <a16:creationId xmlns:a16="http://schemas.microsoft.com/office/drawing/2014/main" id="{00000000-0008-0000-0500-00000D1A0000}"/>
              </a:ext>
            </a:extLst>
          </xdr:cNvPr>
          <xdr:cNvCxnSpPr>
            <a:stCxn id="6668" idx="2"/>
            <a:endCxn id="6175" idx="3"/>
          </xdr:cNvCxnSpPr>
        </xdr:nvCxnSpPr>
        <xdr:spPr>
          <a:xfrm flipV="1">
            <a:off x="12579088" y="3559705"/>
            <a:ext cx="4781329" cy="703730"/>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201515</xdr:colOff>
      <xdr:row>21</xdr:row>
      <xdr:rowOff>205322</xdr:rowOff>
    </xdr:from>
    <xdr:to>
      <xdr:col>24</xdr:col>
      <xdr:colOff>347182</xdr:colOff>
      <xdr:row>26</xdr:row>
      <xdr:rowOff>793</xdr:rowOff>
    </xdr:to>
    <xdr:grpSp>
      <xdr:nvGrpSpPr>
        <xdr:cNvPr id="50" name="C19">
          <a:extLst>
            <a:ext uri="{FF2B5EF4-FFF2-40B4-BE49-F238E27FC236}">
              <a16:creationId xmlns:a16="http://schemas.microsoft.com/office/drawing/2014/main" id="{00000000-0008-0000-0500-000032000000}"/>
            </a:ext>
          </a:extLst>
        </xdr:cNvPr>
        <xdr:cNvGrpSpPr/>
      </xdr:nvGrpSpPr>
      <xdr:grpSpPr>
        <a:xfrm>
          <a:off x="11541868" y="4900587"/>
          <a:ext cx="5434843" cy="860030"/>
          <a:chOff x="12622117" y="4914570"/>
          <a:chExt cx="6008630" cy="861894"/>
        </a:xfrm>
        <a:solidFill>
          <a:srgbClr val="00B0F0"/>
        </a:solidFill>
      </xdr:grpSpPr>
      <xdr:sp macro="" textlink="">
        <xdr:nvSpPr>
          <xdr:cNvPr id="6671" name="box19">
            <a:extLst>
              <a:ext uri="{FF2B5EF4-FFF2-40B4-BE49-F238E27FC236}">
                <a16:creationId xmlns:a16="http://schemas.microsoft.com/office/drawing/2014/main" id="{00000000-0008-0000-0500-00000F1A0000}"/>
              </a:ext>
            </a:extLst>
          </xdr:cNvPr>
          <xdr:cNvSpPr/>
        </xdr:nvSpPr>
        <xdr:spPr>
          <a:xfrm flipH="1">
            <a:off x="17417045" y="5166131"/>
            <a:ext cx="1213702" cy="610333"/>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+U6.1R</a:t>
            </a:r>
            <a:endParaRPr lang="zh-CN" altLang="zh-CN">
              <a:effectLst/>
            </a:endParaRPr>
          </a:p>
          <a:p>
            <a:r>
              <a:rPr lang="en-US" altLang="zh-CN" sz="1100">
                <a:solidFill>
                  <a:schemeClr val="lt1"/>
                </a:solidFill>
                <a:effectLst/>
                <a:latin typeface="+mn-lt"/>
                <a:ea typeface="+mn-ea"/>
                <a:cs typeface="+mn-cs"/>
              </a:rPr>
              <a:t>=MM3-MMB5</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672" name="dot19">
            <a:extLst>
              <a:ext uri="{FF2B5EF4-FFF2-40B4-BE49-F238E27FC236}">
                <a16:creationId xmlns:a16="http://schemas.microsoft.com/office/drawing/2014/main" id="{00000000-0008-0000-0500-0000101A0000}"/>
              </a:ext>
            </a:extLst>
          </xdr:cNvPr>
          <xdr:cNvSpPr/>
        </xdr:nvSpPr>
        <xdr:spPr>
          <a:xfrm flipH="1">
            <a:off x="12622117" y="4914570"/>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673" name="arrow19">
            <a:extLst>
              <a:ext uri="{FF2B5EF4-FFF2-40B4-BE49-F238E27FC236}">
                <a16:creationId xmlns:a16="http://schemas.microsoft.com/office/drawing/2014/main" id="{00000000-0008-0000-0500-0000111A0000}"/>
              </a:ext>
            </a:extLst>
          </xdr:cNvPr>
          <xdr:cNvCxnSpPr>
            <a:stCxn id="6672" idx="2"/>
            <a:endCxn id="6671" idx="3"/>
          </xdr:cNvCxnSpPr>
        </xdr:nvCxnSpPr>
        <xdr:spPr>
          <a:xfrm>
            <a:off x="12713557" y="4960290"/>
            <a:ext cx="4703488" cy="511008"/>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15</xdr:col>
      <xdr:colOff>638542</xdr:colOff>
      <xdr:row>20</xdr:row>
      <xdr:rowOff>44121</xdr:rowOff>
    </xdr:from>
    <xdr:to>
      <xdr:col>24</xdr:col>
      <xdr:colOff>261936</xdr:colOff>
      <xdr:row>23</xdr:row>
      <xdr:rowOff>14399</xdr:rowOff>
    </xdr:to>
    <xdr:grpSp>
      <xdr:nvGrpSpPr>
        <xdr:cNvPr id="51" name="C20">
          <a:extLst>
            <a:ext uri="{FF2B5EF4-FFF2-40B4-BE49-F238E27FC236}">
              <a16:creationId xmlns:a16="http://schemas.microsoft.com/office/drawing/2014/main" id="{00000000-0008-0000-0500-000033000000}"/>
            </a:ext>
          </a:extLst>
        </xdr:cNvPr>
        <xdr:cNvGrpSpPr/>
      </xdr:nvGrpSpPr>
      <xdr:grpSpPr>
        <a:xfrm>
          <a:off x="11317748" y="4526474"/>
          <a:ext cx="5573717" cy="609013"/>
          <a:chOff x="12335245" y="4539730"/>
          <a:chExt cx="6216347" cy="610332"/>
        </a:xfrm>
        <a:solidFill>
          <a:srgbClr val="CC66FF"/>
        </a:solidFill>
      </xdr:grpSpPr>
      <xdr:sp macro="" textlink="">
        <xdr:nvSpPr>
          <xdr:cNvPr id="6675" name="box20">
            <a:extLst>
              <a:ext uri="{FF2B5EF4-FFF2-40B4-BE49-F238E27FC236}">
                <a16:creationId xmlns:a16="http://schemas.microsoft.com/office/drawing/2014/main" id="{00000000-0008-0000-0500-0000131A0000}"/>
              </a:ext>
            </a:extLst>
          </xdr:cNvPr>
          <xdr:cNvSpPr/>
        </xdr:nvSpPr>
        <xdr:spPr>
          <a:xfrm flipH="1">
            <a:off x="17435919" y="4539730"/>
            <a:ext cx="1115673" cy="610332"/>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+U6.2R</a:t>
            </a:r>
            <a:endParaRPr lang="zh-CN" altLang="zh-CN">
              <a:effectLst/>
            </a:endParaRPr>
          </a:p>
          <a:p>
            <a:r>
              <a:rPr lang="en-US" altLang="zh-CN" sz="1100">
                <a:solidFill>
                  <a:schemeClr val="lt1"/>
                </a:solidFill>
                <a:effectLst/>
                <a:latin typeface="+mn-lt"/>
                <a:ea typeface="+mn-ea"/>
                <a:cs typeface="+mn-cs"/>
              </a:rPr>
              <a:t>=MM4-MMB5</a:t>
            </a:r>
            <a:endParaRPr lang="zh-CN" altLang="zh-CN">
              <a:effectLst/>
            </a:endParaRPr>
          </a:p>
          <a:p>
            <a:r>
              <a:rPr lang="en-US" altLang="zh-CN" sz="1100">
                <a:solidFill>
                  <a:schemeClr val="lt1"/>
                </a:solidFill>
                <a:effectLst/>
                <a:latin typeface="+mn-lt"/>
                <a:ea typeface="+mn-ea"/>
                <a:cs typeface="+mn-cs"/>
              </a:rPr>
              <a:t>Group 4 Pins</a:t>
            </a:r>
            <a:endParaRPr lang="zh-CN" altLang="zh-CN">
              <a:effectLst/>
            </a:endParaRPr>
          </a:p>
        </xdr:txBody>
      </xdr:sp>
      <xdr:sp macro="" textlink="">
        <xdr:nvSpPr>
          <xdr:cNvPr id="6676" name="dot20">
            <a:extLst>
              <a:ext uri="{FF2B5EF4-FFF2-40B4-BE49-F238E27FC236}">
                <a16:creationId xmlns:a16="http://schemas.microsoft.com/office/drawing/2014/main" id="{00000000-0008-0000-0500-0000141A0000}"/>
              </a:ext>
            </a:extLst>
          </xdr:cNvPr>
          <xdr:cNvSpPr/>
        </xdr:nvSpPr>
        <xdr:spPr>
          <a:xfrm flipH="1">
            <a:off x="12335245" y="4738430"/>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677" name="arrow20">
            <a:extLst>
              <a:ext uri="{FF2B5EF4-FFF2-40B4-BE49-F238E27FC236}">
                <a16:creationId xmlns:a16="http://schemas.microsoft.com/office/drawing/2014/main" id="{00000000-0008-0000-0500-0000151A0000}"/>
              </a:ext>
            </a:extLst>
          </xdr:cNvPr>
          <xdr:cNvCxnSpPr>
            <a:stCxn id="6676" idx="2"/>
            <a:endCxn id="6675" idx="3"/>
          </xdr:cNvCxnSpPr>
        </xdr:nvCxnSpPr>
        <xdr:spPr>
          <a:xfrm>
            <a:off x="12426685" y="4784149"/>
            <a:ext cx="5009234" cy="60747"/>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582513</xdr:colOff>
      <xdr:row>24</xdr:row>
      <xdr:rowOff>187630</xdr:rowOff>
    </xdr:from>
    <xdr:to>
      <xdr:col>17</xdr:col>
      <xdr:colOff>251528</xdr:colOff>
      <xdr:row>29</xdr:row>
      <xdr:rowOff>118430</xdr:rowOff>
    </xdr:to>
    <xdr:grpSp>
      <xdr:nvGrpSpPr>
        <xdr:cNvPr id="52" name="C21">
          <a:extLst>
            <a:ext uri="{FF2B5EF4-FFF2-40B4-BE49-F238E27FC236}">
              <a16:creationId xmlns:a16="http://schemas.microsoft.com/office/drawing/2014/main" id="{00000000-0008-0000-0500-000034000000}"/>
            </a:ext>
          </a:extLst>
        </xdr:cNvPr>
        <xdr:cNvGrpSpPr/>
      </xdr:nvGrpSpPr>
      <xdr:grpSpPr>
        <a:xfrm>
          <a:off x="10600572" y="5521630"/>
          <a:ext cx="1652456" cy="995359"/>
          <a:chOff x="11555314" y="5536870"/>
          <a:chExt cx="1872594" cy="997385"/>
        </a:xfrm>
        <a:solidFill>
          <a:srgbClr val="00B0F0"/>
        </a:solidFill>
      </xdr:grpSpPr>
      <xdr:sp macro="" textlink="">
        <xdr:nvSpPr>
          <xdr:cNvPr id="6679" name="box21">
            <a:extLst>
              <a:ext uri="{FF2B5EF4-FFF2-40B4-BE49-F238E27FC236}">
                <a16:creationId xmlns:a16="http://schemas.microsoft.com/office/drawing/2014/main" id="{00000000-0008-0000-0500-0000171A0000}"/>
              </a:ext>
            </a:extLst>
          </xdr:cNvPr>
          <xdr:cNvSpPr/>
        </xdr:nvSpPr>
        <xdr:spPr>
          <a:xfrm flipH="1">
            <a:off x="12183859" y="5924002"/>
            <a:ext cx="1244049" cy="610253"/>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+U7.1R</a:t>
            </a:r>
            <a:endParaRPr lang="zh-CN" altLang="zh-CN">
              <a:effectLst/>
            </a:endParaRPr>
          </a:p>
          <a:p>
            <a:r>
              <a:rPr lang="en-US" altLang="zh-CN" sz="1100">
                <a:solidFill>
                  <a:schemeClr val="lt1"/>
                </a:solidFill>
                <a:effectLst/>
                <a:latin typeface="+mn-lt"/>
                <a:ea typeface="+mn-ea"/>
                <a:cs typeface="+mn-cs"/>
              </a:rPr>
              <a:t>=MM3-MMB6</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680" name="dot21">
            <a:extLst>
              <a:ext uri="{FF2B5EF4-FFF2-40B4-BE49-F238E27FC236}">
                <a16:creationId xmlns:a16="http://schemas.microsoft.com/office/drawing/2014/main" id="{00000000-0008-0000-0500-0000181A0000}"/>
              </a:ext>
            </a:extLst>
          </xdr:cNvPr>
          <xdr:cNvSpPr/>
        </xdr:nvSpPr>
        <xdr:spPr>
          <a:xfrm flipH="1">
            <a:off x="11555314" y="5536870"/>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681" name="arrow21">
            <a:extLst>
              <a:ext uri="{FF2B5EF4-FFF2-40B4-BE49-F238E27FC236}">
                <a16:creationId xmlns:a16="http://schemas.microsoft.com/office/drawing/2014/main" id="{00000000-0008-0000-0500-0000191A0000}"/>
              </a:ext>
            </a:extLst>
          </xdr:cNvPr>
          <xdr:cNvCxnSpPr>
            <a:stCxn id="6680" idx="2"/>
            <a:endCxn id="6679" idx="0"/>
          </xdr:cNvCxnSpPr>
        </xdr:nvCxnSpPr>
        <xdr:spPr>
          <a:xfrm>
            <a:off x="11646755" y="5582590"/>
            <a:ext cx="1159129" cy="341413"/>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302931</xdr:colOff>
      <xdr:row>17</xdr:row>
      <xdr:rowOff>42198</xdr:rowOff>
    </xdr:from>
    <xdr:to>
      <xdr:col>24</xdr:col>
      <xdr:colOff>290912</xdr:colOff>
      <xdr:row>20</xdr:row>
      <xdr:rowOff>97406</xdr:rowOff>
    </xdr:to>
    <xdr:grpSp>
      <xdr:nvGrpSpPr>
        <xdr:cNvPr id="53" name="C22">
          <a:extLst>
            <a:ext uri="{FF2B5EF4-FFF2-40B4-BE49-F238E27FC236}">
              <a16:creationId xmlns:a16="http://schemas.microsoft.com/office/drawing/2014/main" id="{00000000-0008-0000-0500-000035000000}"/>
            </a:ext>
          </a:extLst>
        </xdr:cNvPr>
        <xdr:cNvGrpSpPr/>
      </xdr:nvGrpSpPr>
      <xdr:grpSpPr>
        <a:xfrm>
          <a:off x="10320990" y="3885816"/>
          <a:ext cx="6599451" cy="693943"/>
          <a:chOff x="11275731" y="3897449"/>
          <a:chExt cx="7303763" cy="694758"/>
        </a:xfrm>
        <a:solidFill>
          <a:srgbClr val="00B0F0"/>
        </a:solidFill>
      </xdr:grpSpPr>
      <xdr:sp macro="" textlink="">
        <xdr:nvSpPr>
          <xdr:cNvPr id="6683" name="box22">
            <a:extLst>
              <a:ext uri="{FF2B5EF4-FFF2-40B4-BE49-F238E27FC236}">
                <a16:creationId xmlns:a16="http://schemas.microsoft.com/office/drawing/2014/main" id="{00000000-0008-0000-0500-00001B1A0000}"/>
              </a:ext>
            </a:extLst>
          </xdr:cNvPr>
          <xdr:cNvSpPr/>
        </xdr:nvSpPr>
        <xdr:spPr>
          <a:xfrm flipH="1">
            <a:off x="17364533" y="3897449"/>
            <a:ext cx="1214961" cy="609728"/>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+U8.1R</a:t>
            </a:r>
            <a:endParaRPr lang="zh-CN" altLang="zh-CN">
              <a:effectLst/>
            </a:endParaRPr>
          </a:p>
          <a:p>
            <a:r>
              <a:rPr lang="en-US" altLang="zh-CN" sz="1100">
                <a:solidFill>
                  <a:schemeClr val="lt1"/>
                </a:solidFill>
                <a:effectLst/>
                <a:latin typeface="+mn-lt"/>
                <a:ea typeface="+mn-ea"/>
                <a:cs typeface="+mn-cs"/>
              </a:rPr>
              <a:t>=MM3-MMB7</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684" name="dot22">
            <a:extLst>
              <a:ext uri="{FF2B5EF4-FFF2-40B4-BE49-F238E27FC236}">
                <a16:creationId xmlns:a16="http://schemas.microsoft.com/office/drawing/2014/main" id="{00000000-0008-0000-0500-00001C1A0000}"/>
              </a:ext>
            </a:extLst>
          </xdr:cNvPr>
          <xdr:cNvSpPr/>
        </xdr:nvSpPr>
        <xdr:spPr>
          <a:xfrm flipH="1">
            <a:off x="11275731" y="4500767"/>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685" name="arrow22">
            <a:extLst>
              <a:ext uri="{FF2B5EF4-FFF2-40B4-BE49-F238E27FC236}">
                <a16:creationId xmlns:a16="http://schemas.microsoft.com/office/drawing/2014/main" id="{00000000-0008-0000-0500-00001D1A0000}"/>
              </a:ext>
            </a:extLst>
          </xdr:cNvPr>
          <xdr:cNvCxnSpPr>
            <a:stCxn id="6684" idx="2"/>
            <a:endCxn id="6683" idx="3"/>
          </xdr:cNvCxnSpPr>
        </xdr:nvCxnSpPr>
        <xdr:spPr>
          <a:xfrm flipV="1">
            <a:off x="11367171" y="4202314"/>
            <a:ext cx="5997362" cy="344174"/>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302928</xdr:colOff>
      <xdr:row>2</xdr:row>
      <xdr:rowOff>90544</xdr:rowOff>
    </xdr:from>
    <xdr:to>
      <xdr:col>19</xdr:col>
      <xdr:colOff>354017</xdr:colOff>
      <xdr:row>13</xdr:row>
      <xdr:rowOff>34691</xdr:rowOff>
    </xdr:to>
    <xdr:grpSp>
      <xdr:nvGrpSpPr>
        <xdr:cNvPr id="54" name="C23">
          <a:extLst>
            <a:ext uri="{FF2B5EF4-FFF2-40B4-BE49-F238E27FC236}">
              <a16:creationId xmlns:a16="http://schemas.microsoft.com/office/drawing/2014/main" id="{00000000-0008-0000-0500-000036000000}"/>
            </a:ext>
          </a:extLst>
        </xdr:cNvPr>
        <xdr:cNvGrpSpPr/>
      </xdr:nvGrpSpPr>
      <xdr:grpSpPr>
        <a:xfrm>
          <a:off x="10320987" y="606015"/>
          <a:ext cx="3356824" cy="2420647"/>
          <a:chOff x="11275730" y="616327"/>
          <a:chExt cx="3735623" cy="2419199"/>
        </a:xfrm>
        <a:solidFill>
          <a:srgbClr val="00B0F0"/>
        </a:solidFill>
      </xdr:grpSpPr>
      <xdr:sp macro="" textlink="">
        <xdr:nvSpPr>
          <xdr:cNvPr id="6687" name="box23">
            <a:extLst>
              <a:ext uri="{FF2B5EF4-FFF2-40B4-BE49-F238E27FC236}">
                <a16:creationId xmlns:a16="http://schemas.microsoft.com/office/drawing/2014/main" id="{00000000-0008-0000-0500-00001F1A0000}"/>
              </a:ext>
            </a:extLst>
          </xdr:cNvPr>
          <xdr:cNvSpPr/>
        </xdr:nvSpPr>
        <xdr:spPr>
          <a:xfrm flipH="1">
            <a:off x="13789671" y="616327"/>
            <a:ext cx="1221682" cy="60864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+U9.1R</a:t>
            </a:r>
            <a:endParaRPr lang="zh-CN" altLang="zh-CN">
              <a:effectLst/>
            </a:endParaRPr>
          </a:p>
          <a:p>
            <a:r>
              <a:rPr lang="en-US" altLang="zh-CN" sz="1100">
                <a:solidFill>
                  <a:schemeClr val="lt1"/>
                </a:solidFill>
                <a:effectLst/>
                <a:latin typeface="+mn-lt"/>
                <a:ea typeface="+mn-ea"/>
                <a:cs typeface="+mn-cs"/>
              </a:rPr>
              <a:t>=MM3-MMB8</a:t>
            </a:r>
            <a:endParaRPr lang="zh-CN" altLang="zh-CN">
              <a:effectLst/>
            </a:endParaRPr>
          </a:p>
          <a:p>
            <a:r>
              <a:rPr lang="en-US" altLang="zh-CN" sz="1100">
                <a:solidFill>
                  <a:schemeClr val="lt1"/>
                </a:solidFill>
                <a:effectLst/>
                <a:latin typeface="+mn-lt"/>
                <a:ea typeface="+mn-ea"/>
                <a:cs typeface="+mn-cs"/>
              </a:rPr>
              <a:t>Group 3 Clamps</a:t>
            </a:r>
            <a:endParaRPr lang="zh-CN" altLang="zh-CN">
              <a:effectLst/>
            </a:endParaRPr>
          </a:p>
        </xdr:txBody>
      </xdr:sp>
      <xdr:sp macro="" textlink="">
        <xdr:nvSpPr>
          <xdr:cNvPr id="6688" name="dot23">
            <a:extLst>
              <a:ext uri="{FF2B5EF4-FFF2-40B4-BE49-F238E27FC236}">
                <a16:creationId xmlns:a16="http://schemas.microsoft.com/office/drawing/2014/main" id="{00000000-0008-0000-0500-0000201A0000}"/>
              </a:ext>
            </a:extLst>
          </xdr:cNvPr>
          <xdr:cNvSpPr/>
        </xdr:nvSpPr>
        <xdr:spPr>
          <a:xfrm flipH="1">
            <a:off x="11275730" y="2944086"/>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689" name="arrow23">
            <a:extLst>
              <a:ext uri="{FF2B5EF4-FFF2-40B4-BE49-F238E27FC236}">
                <a16:creationId xmlns:a16="http://schemas.microsoft.com/office/drawing/2014/main" id="{00000000-0008-0000-0500-0000211A0000}"/>
              </a:ext>
            </a:extLst>
          </xdr:cNvPr>
          <xdr:cNvCxnSpPr>
            <a:stCxn id="6688" idx="2"/>
            <a:endCxn id="6687" idx="2"/>
          </xdr:cNvCxnSpPr>
        </xdr:nvCxnSpPr>
        <xdr:spPr>
          <a:xfrm flipV="1">
            <a:off x="11367170" y="1224976"/>
            <a:ext cx="3033341" cy="1764831"/>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15</xdr:col>
      <xdr:colOff>538254</xdr:colOff>
      <xdr:row>6</xdr:row>
      <xdr:rowOff>25711</xdr:rowOff>
    </xdr:from>
    <xdr:to>
      <xdr:col>22</xdr:col>
      <xdr:colOff>307483</xdr:colOff>
      <xdr:row>12</xdr:row>
      <xdr:rowOff>104437</xdr:rowOff>
    </xdr:to>
    <xdr:grpSp>
      <xdr:nvGrpSpPr>
        <xdr:cNvPr id="55" name="C24">
          <a:extLst>
            <a:ext uri="{FF2B5EF4-FFF2-40B4-BE49-F238E27FC236}">
              <a16:creationId xmlns:a16="http://schemas.microsoft.com/office/drawing/2014/main" id="{00000000-0008-0000-0500-000037000000}"/>
            </a:ext>
          </a:extLst>
        </xdr:cNvPr>
        <xdr:cNvGrpSpPr/>
      </xdr:nvGrpSpPr>
      <xdr:grpSpPr>
        <a:xfrm>
          <a:off x="11217460" y="1527299"/>
          <a:ext cx="4397258" cy="1356197"/>
          <a:chOff x="12234955" y="1537038"/>
          <a:chExt cx="4906198" cy="1355319"/>
        </a:xfrm>
        <a:solidFill>
          <a:srgbClr val="CC66FF"/>
        </a:solidFill>
      </xdr:grpSpPr>
      <xdr:sp macro="" textlink="">
        <xdr:nvSpPr>
          <xdr:cNvPr id="6691" name="box24">
            <a:extLst>
              <a:ext uri="{FF2B5EF4-FFF2-40B4-BE49-F238E27FC236}">
                <a16:creationId xmlns:a16="http://schemas.microsoft.com/office/drawing/2014/main" id="{00000000-0008-0000-0500-0000231A0000}"/>
              </a:ext>
            </a:extLst>
          </xdr:cNvPr>
          <xdr:cNvSpPr/>
        </xdr:nvSpPr>
        <xdr:spPr>
          <a:xfrm flipH="1">
            <a:off x="16025036" y="1537038"/>
            <a:ext cx="1116117" cy="60861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chemeClr val="lt1"/>
                </a:solidFill>
                <a:effectLst/>
                <a:latin typeface="+mn-lt"/>
                <a:ea typeface="+mn-ea"/>
                <a:cs typeface="+mn-cs"/>
              </a:rPr>
              <a:t>+U12.1R</a:t>
            </a:r>
            <a:endParaRPr lang="zh-CN" altLang="zh-CN">
              <a:effectLst/>
            </a:endParaRPr>
          </a:p>
          <a:p>
            <a:r>
              <a:rPr lang="en-US" altLang="zh-CN" sz="1100">
                <a:solidFill>
                  <a:schemeClr val="lt1"/>
                </a:solidFill>
                <a:effectLst/>
                <a:latin typeface="+mn-lt"/>
                <a:ea typeface="+mn-ea"/>
                <a:cs typeface="+mn-cs"/>
              </a:rPr>
              <a:t>=MM4-MMB6</a:t>
            </a:r>
            <a:endParaRPr lang="zh-CN" altLang="zh-CN">
              <a:effectLst/>
            </a:endParaRPr>
          </a:p>
          <a:p>
            <a:r>
              <a:rPr lang="en-US" altLang="zh-CN" sz="1100">
                <a:solidFill>
                  <a:schemeClr val="lt1"/>
                </a:solidFill>
                <a:effectLst/>
                <a:latin typeface="+mn-lt"/>
                <a:ea typeface="+mn-ea"/>
                <a:cs typeface="+mn-cs"/>
              </a:rPr>
              <a:t>Group 4 Pins</a:t>
            </a:r>
            <a:endParaRPr lang="zh-CN" altLang="zh-CN">
              <a:effectLst/>
            </a:endParaRPr>
          </a:p>
        </xdr:txBody>
      </xdr:sp>
      <xdr:sp macro="" textlink="">
        <xdr:nvSpPr>
          <xdr:cNvPr id="6716" name="dot24">
            <a:extLst>
              <a:ext uri="{FF2B5EF4-FFF2-40B4-BE49-F238E27FC236}">
                <a16:creationId xmlns:a16="http://schemas.microsoft.com/office/drawing/2014/main" id="{00000000-0008-0000-0500-00003C1A0000}"/>
              </a:ext>
            </a:extLst>
          </xdr:cNvPr>
          <xdr:cNvSpPr/>
        </xdr:nvSpPr>
        <xdr:spPr>
          <a:xfrm flipH="1">
            <a:off x="12234955" y="2800917"/>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717" name="arrow24">
            <a:extLst>
              <a:ext uri="{FF2B5EF4-FFF2-40B4-BE49-F238E27FC236}">
                <a16:creationId xmlns:a16="http://schemas.microsoft.com/office/drawing/2014/main" id="{00000000-0008-0000-0500-00003D1A0000}"/>
              </a:ext>
            </a:extLst>
          </xdr:cNvPr>
          <xdr:cNvCxnSpPr>
            <a:stCxn id="6716" idx="2"/>
            <a:endCxn id="6691" idx="3"/>
          </xdr:cNvCxnSpPr>
        </xdr:nvCxnSpPr>
        <xdr:spPr>
          <a:xfrm flipV="1">
            <a:off x="12326395" y="1841348"/>
            <a:ext cx="3698640" cy="1005290"/>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4</xdr:col>
      <xdr:colOff>53602</xdr:colOff>
      <xdr:row>3</xdr:row>
      <xdr:rowOff>109443</xdr:rowOff>
    </xdr:from>
    <xdr:to>
      <xdr:col>11</xdr:col>
      <xdr:colOff>617423</xdr:colOff>
      <xdr:row>11</xdr:row>
      <xdr:rowOff>64911</xdr:rowOff>
    </xdr:to>
    <xdr:grpSp>
      <xdr:nvGrpSpPr>
        <xdr:cNvPr id="56" name="PP01">
          <a:extLst>
            <a:ext uri="{FF2B5EF4-FFF2-40B4-BE49-F238E27FC236}">
              <a16:creationId xmlns:a16="http://schemas.microsoft.com/office/drawing/2014/main" id="{00000000-0008-0000-0500-000038000000}"/>
            </a:ext>
          </a:extLst>
        </xdr:cNvPr>
        <xdr:cNvGrpSpPr/>
      </xdr:nvGrpSpPr>
      <xdr:grpSpPr>
        <a:xfrm>
          <a:off x="3460190" y="972296"/>
          <a:ext cx="5191851" cy="1658762"/>
          <a:chOff x="3770505" y="982234"/>
          <a:chExt cx="5653139" cy="1656927"/>
        </a:xfrm>
        <a:solidFill>
          <a:schemeClr val="accent6"/>
        </a:solidFill>
      </xdr:grpSpPr>
      <xdr:sp macro="" textlink="">
        <xdr:nvSpPr>
          <xdr:cNvPr id="6719" name="form1">
            <a:extLst>
              <a:ext uri="{FF2B5EF4-FFF2-40B4-BE49-F238E27FC236}">
                <a16:creationId xmlns:a16="http://schemas.microsoft.com/office/drawing/2014/main" id="{00000000-0008-0000-0500-00003F1A0000}"/>
              </a:ext>
            </a:extLst>
          </xdr:cNvPr>
          <xdr:cNvSpPr/>
        </xdr:nvSpPr>
        <xdr:spPr>
          <a:xfrm>
            <a:off x="3770505" y="982234"/>
            <a:ext cx="2731594" cy="60833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ysClr val="windowText" lastClr="000000"/>
                </a:solidFill>
                <a:effectLst/>
                <a:latin typeface="+mn-lt"/>
                <a:ea typeface="+mn-ea"/>
                <a:cs typeface="+mn-cs"/>
              </a:rPr>
              <a:t>+U12.2L</a:t>
            </a:r>
            <a:endParaRPr lang="zh-CN" altLang="zh-CN">
              <a:solidFill>
                <a:sysClr val="windowText" lastClr="000000"/>
              </a:solidFill>
              <a:effectLst/>
            </a:endParaRPr>
          </a:p>
          <a:p>
            <a:r>
              <a:rPr lang="en-US" altLang="zh-CN" sz="1100">
                <a:solidFill>
                  <a:sysClr val="windowText" lastClr="000000"/>
                </a:solidFill>
                <a:effectLst/>
                <a:latin typeface="+mn-lt"/>
                <a:ea typeface="+mn-ea"/>
                <a:cs typeface="+mn-cs"/>
              </a:rPr>
              <a:t>=BG1-BGB1</a:t>
            </a:r>
            <a:endParaRPr lang="zh-CN" altLang="zh-CN">
              <a:solidFill>
                <a:sysClr val="windowText" lastClr="000000"/>
              </a:solidFill>
              <a:effectLst/>
            </a:endParaRPr>
          </a:p>
          <a:p>
            <a:pPr rtl="0" eaLnBrk="1" latinLnBrk="0" hangingPunct="1"/>
            <a:r>
              <a:rPr kumimoji="1" lang="en-US" altLang="zh-CN" sz="1100">
                <a:solidFill>
                  <a:sysClr val="windowText" lastClr="000000"/>
                </a:solidFill>
                <a:effectLst/>
                <a:latin typeface="+mn-lt"/>
                <a:ea typeface="+mn-ea"/>
                <a:cs typeface="+mn-cs"/>
              </a:rPr>
              <a:t>PANEL - ROCKER LOWER INNER ASSY; LH</a:t>
            </a:r>
            <a:endParaRPr lang="zh-CN" altLang="zh-CN">
              <a:solidFill>
                <a:sysClr val="windowText" lastClr="000000"/>
              </a:solidFill>
              <a:effectLst/>
            </a:endParaRPr>
          </a:p>
        </xdr:txBody>
      </xdr:sp>
      <xdr:sp macro="" textlink="">
        <xdr:nvSpPr>
          <xdr:cNvPr id="6720" name="point1">
            <a:extLst>
              <a:ext uri="{FF2B5EF4-FFF2-40B4-BE49-F238E27FC236}">
                <a16:creationId xmlns:a16="http://schemas.microsoft.com/office/drawing/2014/main" id="{00000000-0008-0000-0500-0000401A0000}"/>
              </a:ext>
            </a:extLst>
          </xdr:cNvPr>
          <xdr:cNvSpPr/>
        </xdr:nvSpPr>
        <xdr:spPr>
          <a:xfrm>
            <a:off x="9332204" y="2547721"/>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721" name="line1">
            <a:extLst>
              <a:ext uri="{FF2B5EF4-FFF2-40B4-BE49-F238E27FC236}">
                <a16:creationId xmlns:a16="http://schemas.microsoft.com/office/drawing/2014/main" id="{00000000-0008-0000-0500-0000411A0000}"/>
              </a:ext>
            </a:extLst>
          </xdr:cNvPr>
          <xdr:cNvCxnSpPr>
            <a:stCxn id="6720" idx="2"/>
            <a:endCxn id="6719" idx="2"/>
          </xdr:cNvCxnSpPr>
        </xdr:nvCxnSpPr>
        <xdr:spPr>
          <a:xfrm flipH="1" flipV="1">
            <a:off x="5136302" y="1590573"/>
            <a:ext cx="4195902" cy="1002868"/>
          </a:xfrm>
          <a:prstGeom prst="straightConnector1">
            <a:avLst/>
          </a:prstGeom>
          <a:grpFill/>
          <a:ln w="25400">
            <a:solidFill>
              <a:srgbClr val="F79646"/>
            </a:solidFill>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7</xdr:col>
      <xdr:colOff>31189</xdr:colOff>
      <xdr:row>22</xdr:row>
      <xdr:rowOff>6095</xdr:rowOff>
    </xdr:from>
    <xdr:to>
      <xdr:col>12</xdr:col>
      <xdr:colOff>127874</xdr:colOff>
      <xdr:row>29</xdr:row>
      <xdr:rowOff>111521</xdr:rowOff>
    </xdr:to>
    <xdr:grpSp>
      <xdr:nvGrpSpPr>
        <xdr:cNvPr id="57" name="PP02">
          <a:extLst>
            <a:ext uri="{FF2B5EF4-FFF2-40B4-BE49-F238E27FC236}">
              <a16:creationId xmlns:a16="http://schemas.microsoft.com/office/drawing/2014/main" id="{00000000-0008-0000-0500-000039000000}"/>
            </a:ext>
          </a:extLst>
        </xdr:cNvPr>
        <xdr:cNvGrpSpPr/>
      </xdr:nvGrpSpPr>
      <xdr:grpSpPr>
        <a:xfrm>
          <a:off x="5421218" y="4914271"/>
          <a:ext cx="3402421" cy="1595809"/>
          <a:chOff x="5859228" y="4928617"/>
          <a:chExt cx="3800303" cy="1597139"/>
        </a:xfrm>
        <a:solidFill>
          <a:schemeClr val="accent6"/>
        </a:solidFill>
      </xdr:grpSpPr>
      <xdr:sp macro="" textlink="">
        <xdr:nvSpPr>
          <xdr:cNvPr id="6723" name="form2">
            <a:extLst>
              <a:ext uri="{FF2B5EF4-FFF2-40B4-BE49-F238E27FC236}">
                <a16:creationId xmlns:a16="http://schemas.microsoft.com/office/drawing/2014/main" id="{00000000-0008-0000-0500-0000431A0000}"/>
              </a:ext>
            </a:extLst>
          </xdr:cNvPr>
          <xdr:cNvSpPr/>
        </xdr:nvSpPr>
        <xdr:spPr>
          <a:xfrm>
            <a:off x="5859228" y="5916236"/>
            <a:ext cx="2802069" cy="60952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ysClr val="windowText" lastClr="000000"/>
                </a:solidFill>
                <a:effectLst/>
                <a:latin typeface="+mn-lt"/>
                <a:ea typeface="+mn-ea"/>
                <a:cs typeface="+mn-cs"/>
              </a:rPr>
              <a:t>+U6.3L</a:t>
            </a:r>
            <a:endParaRPr lang="zh-CN" altLang="zh-CN">
              <a:solidFill>
                <a:sysClr val="windowText" lastClr="000000"/>
              </a:solidFill>
              <a:effectLst/>
            </a:endParaRPr>
          </a:p>
          <a:p>
            <a:r>
              <a:rPr lang="en-US" altLang="zh-CN" sz="1100">
                <a:solidFill>
                  <a:sysClr val="windowText" lastClr="000000"/>
                </a:solidFill>
                <a:effectLst/>
                <a:latin typeface="+mn-lt"/>
                <a:ea typeface="+mn-ea"/>
                <a:cs typeface="+mn-cs"/>
              </a:rPr>
              <a:t>=BG1-BGB2</a:t>
            </a:r>
            <a:endParaRPr lang="zh-CN" altLang="zh-CN">
              <a:solidFill>
                <a:sysClr val="windowText" lastClr="000000"/>
              </a:solidFill>
              <a:effectLst/>
            </a:endParaRPr>
          </a:p>
          <a:p>
            <a:pPr rtl="0" eaLnBrk="1" latinLnBrk="0" hangingPunct="1"/>
            <a:r>
              <a:rPr kumimoji="1" lang="en-US" altLang="zh-CN" sz="1100">
                <a:solidFill>
                  <a:sysClr val="windowText" lastClr="000000"/>
                </a:solidFill>
                <a:effectLst/>
                <a:latin typeface="+mn-lt"/>
                <a:ea typeface="+mn-ea"/>
                <a:cs typeface="+mn-cs"/>
              </a:rPr>
              <a:t>PANEL - ROCKER LOWER INNER ASSY; LH</a:t>
            </a:r>
            <a:endParaRPr lang="zh-CN" altLang="zh-CN">
              <a:solidFill>
                <a:sysClr val="windowText" lastClr="000000"/>
              </a:solidFill>
              <a:effectLst/>
            </a:endParaRPr>
          </a:p>
        </xdr:txBody>
      </xdr:sp>
      <xdr:sp macro="" textlink="">
        <xdr:nvSpPr>
          <xdr:cNvPr id="6724" name="point2">
            <a:extLst>
              <a:ext uri="{FF2B5EF4-FFF2-40B4-BE49-F238E27FC236}">
                <a16:creationId xmlns:a16="http://schemas.microsoft.com/office/drawing/2014/main" id="{00000000-0008-0000-0500-0000441A0000}"/>
              </a:ext>
            </a:extLst>
          </xdr:cNvPr>
          <xdr:cNvSpPr/>
        </xdr:nvSpPr>
        <xdr:spPr>
          <a:xfrm>
            <a:off x="9568091" y="4928617"/>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725" name="line2">
            <a:extLst>
              <a:ext uri="{FF2B5EF4-FFF2-40B4-BE49-F238E27FC236}">
                <a16:creationId xmlns:a16="http://schemas.microsoft.com/office/drawing/2014/main" id="{00000000-0008-0000-0500-0000451A0000}"/>
              </a:ext>
            </a:extLst>
          </xdr:cNvPr>
          <xdr:cNvCxnSpPr>
            <a:stCxn id="6724" idx="2"/>
            <a:endCxn id="6723" idx="0"/>
          </xdr:cNvCxnSpPr>
        </xdr:nvCxnSpPr>
        <xdr:spPr>
          <a:xfrm flipH="1">
            <a:off x="7260263" y="4974337"/>
            <a:ext cx="2307829" cy="941899"/>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98424</xdr:colOff>
      <xdr:row>2</xdr:row>
      <xdr:rowOff>104151</xdr:rowOff>
    </xdr:from>
    <xdr:to>
      <xdr:col>16</xdr:col>
      <xdr:colOff>40923</xdr:colOff>
      <xdr:row>11</xdr:row>
      <xdr:rowOff>138115</xdr:rowOff>
    </xdr:to>
    <xdr:grpSp>
      <xdr:nvGrpSpPr>
        <xdr:cNvPr id="58" name="PP03">
          <a:extLst>
            <a:ext uri="{FF2B5EF4-FFF2-40B4-BE49-F238E27FC236}">
              <a16:creationId xmlns:a16="http://schemas.microsoft.com/office/drawing/2014/main" id="{00000000-0008-0000-0500-00003A000000}"/>
            </a:ext>
          </a:extLst>
        </xdr:cNvPr>
        <xdr:cNvGrpSpPr/>
      </xdr:nvGrpSpPr>
      <xdr:grpSpPr>
        <a:xfrm>
          <a:off x="10116483" y="619622"/>
          <a:ext cx="1264793" cy="2084640"/>
          <a:chOff x="11071227" y="629934"/>
          <a:chExt cx="1339070" cy="2082728"/>
        </a:xfrm>
        <a:solidFill>
          <a:schemeClr val="accent6"/>
        </a:solidFill>
      </xdr:grpSpPr>
      <xdr:sp macro="" textlink="">
        <xdr:nvSpPr>
          <xdr:cNvPr id="6727" name="form3">
            <a:extLst>
              <a:ext uri="{FF2B5EF4-FFF2-40B4-BE49-F238E27FC236}">
                <a16:creationId xmlns:a16="http://schemas.microsoft.com/office/drawing/2014/main" id="{00000000-0008-0000-0500-0000471A0000}"/>
              </a:ext>
            </a:extLst>
          </xdr:cNvPr>
          <xdr:cNvSpPr/>
        </xdr:nvSpPr>
        <xdr:spPr>
          <a:xfrm flipH="1">
            <a:off x="11424665" y="629934"/>
            <a:ext cx="985632" cy="608454"/>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ysClr val="windowText" lastClr="000000"/>
                </a:solidFill>
                <a:effectLst/>
                <a:latin typeface="+mn-lt"/>
                <a:ea typeface="+mn-ea"/>
                <a:cs typeface="+mn-cs"/>
              </a:rPr>
              <a:t>+U10.3</a:t>
            </a:r>
            <a:endParaRPr lang="zh-CN" altLang="zh-CN">
              <a:solidFill>
                <a:sysClr val="windowText" lastClr="000000"/>
              </a:solidFill>
              <a:effectLst/>
            </a:endParaRPr>
          </a:p>
          <a:p>
            <a:r>
              <a:rPr lang="en-US" altLang="zh-CN" sz="1100">
                <a:solidFill>
                  <a:sysClr val="windowText" lastClr="000000"/>
                </a:solidFill>
                <a:effectLst/>
                <a:latin typeface="+mn-lt"/>
                <a:ea typeface="+mn-ea"/>
                <a:cs typeface="+mn-cs"/>
              </a:rPr>
              <a:t>=BG2-BGB1</a:t>
            </a:r>
            <a:endParaRPr lang="zh-CN" altLang="zh-CN">
              <a:solidFill>
                <a:sysClr val="windowText" lastClr="000000"/>
              </a:solidFill>
              <a:effectLst/>
            </a:endParaRPr>
          </a:p>
          <a:p>
            <a:pPr rtl="0" eaLnBrk="1" latinLnBrk="0" hangingPunct="1"/>
            <a:r>
              <a:rPr kumimoji="1" lang="en-US" altLang="zh-CN" sz="1100">
                <a:solidFill>
                  <a:sysClr val="windowText" lastClr="000000"/>
                </a:solidFill>
                <a:effectLst/>
                <a:latin typeface="+mn-lt"/>
                <a:ea typeface="+mn-ea"/>
                <a:cs typeface="+mn-cs"/>
              </a:rPr>
              <a:t>PANEL - FFLR</a:t>
            </a:r>
            <a:endParaRPr lang="zh-CN" altLang="zh-CN">
              <a:solidFill>
                <a:sysClr val="windowText" lastClr="000000"/>
              </a:solidFill>
              <a:effectLst/>
            </a:endParaRPr>
          </a:p>
        </xdr:txBody>
      </xdr:sp>
      <xdr:sp macro="" textlink="">
        <xdr:nvSpPr>
          <xdr:cNvPr id="6728" name="point3">
            <a:extLst>
              <a:ext uri="{FF2B5EF4-FFF2-40B4-BE49-F238E27FC236}">
                <a16:creationId xmlns:a16="http://schemas.microsoft.com/office/drawing/2014/main" id="{00000000-0008-0000-0500-0000481A0000}"/>
              </a:ext>
            </a:extLst>
          </xdr:cNvPr>
          <xdr:cNvSpPr/>
        </xdr:nvSpPr>
        <xdr:spPr>
          <a:xfrm flipH="1">
            <a:off x="11071227" y="2621222"/>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729" name="line3">
            <a:extLst>
              <a:ext uri="{FF2B5EF4-FFF2-40B4-BE49-F238E27FC236}">
                <a16:creationId xmlns:a16="http://schemas.microsoft.com/office/drawing/2014/main" id="{00000000-0008-0000-0500-0000491A0000}"/>
              </a:ext>
            </a:extLst>
          </xdr:cNvPr>
          <xdr:cNvCxnSpPr>
            <a:stCxn id="6728" idx="2"/>
            <a:endCxn id="6727" idx="2"/>
          </xdr:cNvCxnSpPr>
        </xdr:nvCxnSpPr>
        <xdr:spPr>
          <a:xfrm flipV="1">
            <a:off x="11162667" y="1238388"/>
            <a:ext cx="754814" cy="1428554"/>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12</xdr:col>
      <xdr:colOff>445811</xdr:colOff>
      <xdr:row>22</xdr:row>
      <xdr:rowOff>57156</xdr:rowOff>
    </xdr:from>
    <xdr:to>
      <xdr:col>14</xdr:col>
      <xdr:colOff>54477</xdr:colOff>
      <xdr:row>29</xdr:row>
      <xdr:rowOff>100925</xdr:rowOff>
    </xdr:to>
    <xdr:grpSp>
      <xdr:nvGrpSpPr>
        <xdr:cNvPr id="59" name="PP04">
          <a:extLst>
            <a:ext uri="{FF2B5EF4-FFF2-40B4-BE49-F238E27FC236}">
              <a16:creationId xmlns:a16="http://schemas.microsoft.com/office/drawing/2014/main" id="{00000000-0008-0000-0500-00003B000000}"/>
            </a:ext>
          </a:extLst>
        </xdr:cNvPr>
        <xdr:cNvGrpSpPr/>
      </xdr:nvGrpSpPr>
      <xdr:grpSpPr>
        <a:xfrm>
          <a:off x="9141576" y="4965332"/>
          <a:ext cx="930960" cy="1534152"/>
          <a:chOff x="9970809" y="4979680"/>
          <a:chExt cx="1012229" cy="1536758"/>
        </a:xfrm>
        <a:solidFill>
          <a:schemeClr val="accent6"/>
        </a:solidFill>
      </xdr:grpSpPr>
      <xdr:sp macro="" textlink="">
        <xdr:nvSpPr>
          <xdr:cNvPr id="6731" name="form4">
            <a:extLst>
              <a:ext uri="{FF2B5EF4-FFF2-40B4-BE49-F238E27FC236}">
                <a16:creationId xmlns:a16="http://schemas.microsoft.com/office/drawing/2014/main" id="{00000000-0008-0000-0500-00004B1A0000}"/>
              </a:ext>
            </a:extLst>
          </xdr:cNvPr>
          <xdr:cNvSpPr/>
        </xdr:nvSpPr>
        <xdr:spPr>
          <a:xfrm>
            <a:off x="9970809" y="5906390"/>
            <a:ext cx="1012229" cy="610048"/>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overflow" wrap="none" rtlCol="0" anchor="t">
            <a:spAutoFit/>
          </a:bodyPr>
          <a:lstStyle/>
          <a:p>
            <a:r>
              <a:rPr lang="en-US" altLang="zh-CN" sz="1100">
                <a:solidFill>
                  <a:sysClr val="windowText" lastClr="000000"/>
                </a:solidFill>
                <a:effectLst/>
                <a:latin typeface="+mn-lt"/>
                <a:ea typeface="+mn-ea"/>
                <a:cs typeface="+mn-cs"/>
              </a:rPr>
              <a:t>+U11.3</a:t>
            </a:r>
            <a:endParaRPr lang="zh-CN" altLang="zh-CN">
              <a:solidFill>
                <a:sysClr val="windowText" lastClr="000000"/>
              </a:solidFill>
              <a:effectLst/>
            </a:endParaRPr>
          </a:p>
          <a:p>
            <a:r>
              <a:rPr lang="en-US" altLang="zh-CN" sz="1100">
                <a:solidFill>
                  <a:sysClr val="windowText" lastClr="000000"/>
                </a:solidFill>
                <a:effectLst/>
                <a:latin typeface="+mn-lt"/>
                <a:ea typeface="+mn-ea"/>
                <a:cs typeface="+mn-cs"/>
              </a:rPr>
              <a:t>=BG2-BGB2</a:t>
            </a:r>
            <a:endParaRPr lang="zh-CN" altLang="zh-CN">
              <a:solidFill>
                <a:sysClr val="windowText" lastClr="000000"/>
              </a:solidFill>
              <a:effectLst/>
            </a:endParaRPr>
          </a:p>
          <a:p>
            <a:pPr rtl="0" eaLnBrk="1" latinLnBrk="0" hangingPunct="1"/>
            <a:r>
              <a:rPr kumimoji="1" lang="en-US" altLang="zh-CN" sz="1100">
                <a:solidFill>
                  <a:sysClr val="windowText" lastClr="000000"/>
                </a:solidFill>
                <a:effectLst/>
                <a:latin typeface="+mn-lt"/>
                <a:ea typeface="+mn-ea"/>
                <a:cs typeface="+mn-cs"/>
              </a:rPr>
              <a:t>PANEL - FFLR</a:t>
            </a:r>
            <a:endParaRPr lang="zh-CN" altLang="zh-CN">
              <a:solidFill>
                <a:sysClr val="windowText" lastClr="000000"/>
              </a:solidFill>
              <a:effectLst/>
            </a:endParaRPr>
          </a:p>
        </xdr:txBody>
      </xdr:sp>
      <xdr:sp macro="" textlink="">
        <xdr:nvSpPr>
          <xdr:cNvPr id="6732" name="point4">
            <a:extLst>
              <a:ext uri="{FF2B5EF4-FFF2-40B4-BE49-F238E27FC236}">
                <a16:creationId xmlns:a16="http://schemas.microsoft.com/office/drawing/2014/main" id="{00000000-0008-0000-0500-00004C1A0000}"/>
              </a:ext>
            </a:extLst>
          </xdr:cNvPr>
          <xdr:cNvSpPr/>
        </xdr:nvSpPr>
        <xdr:spPr>
          <a:xfrm>
            <a:off x="10614901" y="4979680"/>
            <a:ext cx="91440" cy="9144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solidFill>
                <a:sysClr val="windowText" lastClr="000000"/>
              </a:solidFill>
            </a:endParaRPr>
          </a:p>
        </xdr:txBody>
      </xdr:sp>
      <xdr:cxnSp macro="">
        <xdr:nvCxnSpPr>
          <xdr:cNvPr id="6733" name="line4">
            <a:extLst>
              <a:ext uri="{FF2B5EF4-FFF2-40B4-BE49-F238E27FC236}">
                <a16:creationId xmlns:a16="http://schemas.microsoft.com/office/drawing/2014/main" id="{00000000-0008-0000-0500-00004D1A0000}"/>
              </a:ext>
            </a:extLst>
          </xdr:cNvPr>
          <xdr:cNvCxnSpPr>
            <a:stCxn id="6732" idx="2"/>
            <a:endCxn id="6731" idx="0"/>
          </xdr:cNvCxnSpPr>
        </xdr:nvCxnSpPr>
        <xdr:spPr>
          <a:xfrm flipH="1">
            <a:off x="10476923" y="5025401"/>
            <a:ext cx="137978" cy="880990"/>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15</xdr:col>
      <xdr:colOff>412189</xdr:colOff>
      <xdr:row>21</xdr:row>
      <xdr:rowOff>204762</xdr:rowOff>
    </xdr:from>
    <xdr:to>
      <xdr:col>24</xdr:col>
      <xdr:colOff>558041</xdr:colOff>
      <xdr:row>29</xdr:row>
      <xdr:rowOff>12487</xdr:rowOff>
    </xdr:to>
    <xdr:grpSp>
      <xdr:nvGrpSpPr>
        <xdr:cNvPr id="19" name="PP06">
          <a:extLst>
            <a:ext uri="{FF2B5EF4-FFF2-40B4-BE49-F238E27FC236}">
              <a16:creationId xmlns:a16="http://schemas.microsoft.com/office/drawing/2014/main" id="{00000000-0008-0000-0500-000013000000}"/>
            </a:ext>
          </a:extLst>
        </xdr:cNvPr>
        <xdr:cNvGrpSpPr/>
      </xdr:nvGrpSpPr>
      <xdr:grpSpPr>
        <a:xfrm flipH="1">
          <a:off x="11091395" y="4900027"/>
          <a:ext cx="6096175" cy="1511019"/>
          <a:chOff x="8537963" y="895057"/>
          <a:chExt cx="6058588" cy="1491803"/>
        </a:xfrm>
        <a:solidFill>
          <a:schemeClr val="accent6"/>
        </a:solidFill>
      </xdr:grpSpPr>
      <xdr:sp macro="" textlink="">
        <xdr:nvSpPr>
          <xdr:cNvPr id="7" name="form6">
            <a:extLst>
              <a:ext uri="{FF2B5EF4-FFF2-40B4-BE49-F238E27FC236}">
                <a16:creationId xmlns:a16="http://schemas.microsoft.com/office/drawing/2014/main" id="{00000000-0008-0000-0500-000007000000}"/>
              </a:ext>
            </a:extLst>
          </xdr:cNvPr>
          <xdr:cNvSpPr/>
        </xdr:nvSpPr>
        <xdr:spPr>
          <a:xfrm>
            <a:off x="8537963" y="1785591"/>
            <a:ext cx="2510438" cy="60126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lang="en-US" altLang="zh-CN" sz="1100">
                <a:solidFill>
                  <a:srgbClr val="000000"/>
                </a:solidFill>
              </a:rPr>
              <a:t>+U6.3R</a:t>
            </a:r>
          </a:p>
          <a:p>
            <a:pPr algn="l"/>
            <a:r>
              <a:rPr lang="en-US" altLang="zh-CN" sz="1100">
                <a:solidFill>
                  <a:srgbClr val="000000"/>
                </a:solidFill>
              </a:rPr>
              <a:t>=BG3-BGB2</a:t>
            </a:r>
          </a:p>
          <a:p>
            <a:pPr rtl="0" eaLnBrk="1" latinLnBrk="0" hangingPunct="1"/>
            <a:r>
              <a:rPr kumimoji="1" lang="en-US" altLang="zh-CN" sz="1100">
                <a:solidFill>
                  <a:sysClr val="windowText" lastClr="000000"/>
                </a:solidFill>
                <a:effectLst/>
                <a:latin typeface="+mn-lt"/>
                <a:ea typeface="+mn-ea"/>
                <a:cs typeface="+mn-cs"/>
              </a:rPr>
              <a:t>PANEL - ROCKER LOWER INNER ASSY; RH</a:t>
            </a:r>
            <a:endParaRPr lang="zh-CN" altLang="zh-CN">
              <a:solidFill>
                <a:sysClr val="windowText" lastClr="000000"/>
              </a:solidFill>
              <a:effectLst/>
            </a:endParaRPr>
          </a:p>
        </xdr:txBody>
      </xdr:sp>
      <xdr:sp macro="" textlink="">
        <xdr:nvSpPr>
          <xdr:cNvPr id="11" name="point6">
            <a:extLst>
              <a:ext uri="{FF2B5EF4-FFF2-40B4-BE49-F238E27FC236}">
                <a16:creationId xmlns:a16="http://schemas.microsoft.com/office/drawing/2014/main" id="{00000000-0008-0000-0500-00000B000000}"/>
              </a:ext>
            </a:extLst>
          </xdr:cNvPr>
          <xdr:cNvSpPr/>
        </xdr:nvSpPr>
        <xdr:spPr>
          <a:xfrm>
            <a:off x="14507651" y="895057"/>
            <a:ext cx="88900" cy="8890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15" name="line6">
            <a:extLst>
              <a:ext uri="{FF2B5EF4-FFF2-40B4-BE49-F238E27FC236}">
                <a16:creationId xmlns:a16="http://schemas.microsoft.com/office/drawing/2014/main" id="{00000000-0008-0000-0500-00000F000000}"/>
              </a:ext>
            </a:extLst>
          </xdr:cNvPr>
          <xdr:cNvCxnSpPr>
            <a:stCxn id="11" idx="2"/>
            <a:endCxn id="7" idx="3"/>
          </xdr:cNvCxnSpPr>
        </xdr:nvCxnSpPr>
        <xdr:spPr>
          <a:xfrm flipH="1">
            <a:off x="11048401" y="939507"/>
            <a:ext cx="3459249" cy="1146718"/>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15</xdr:col>
      <xdr:colOff>580276</xdr:colOff>
      <xdr:row>2</xdr:row>
      <xdr:rowOff>120651</xdr:rowOff>
    </xdr:from>
    <xdr:to>
      <xdr:col>23</xdr:col>
      <xdr:colOff>333922</xdr:colOff>
      <xdr:row>11</xdr:row>
      <xdr:rowOff>70690</xdr:rowOff>
    </xdr:to>
    <xdr:grpSp>
      <xdr:nvGrpSpPr>
        <xdr:cNvPr id="6726" name="PP05">
          <a:extLst>
            <a:ext uri="{FF2B5EF4-FFF2-40B4-BE49-F238E27FC236}">
              <a16:creationId xmlns:a16="http://schemas.microsoft.com/office/drawing/2014/main" id="{00000000-0008-0000-0500-0000461A0000}"/>
            </a:ext>
          </a:extLst>
        </xdr:cNvPr>
        <xdr:cNvGrpSpPr/>
      </xdr:nvGrpSpPr>
      <xdr:grpSpPr>
        <a:xfrm flipH="1">
          <a:off x="11259482" y="636122"/>
          <a:ext cx="5042822" cy="2000715"/>
          <a:chOff x="9584822" y="-991317"/>
          <a:chExt cx="5011729" cy="1975274"/>
        </a:xfrm>
        <a:solidFill>
          <a:schemeClr val="accent6"/>
        </a:solidFill>
      </xdr:grpSpPr>
      <xdr:sp macro="" textlink="">
        <xdr:nvSpPr>
          <xdr:cNvPr id="27" name="form5">
            <a:extLst>
              <a:ext uri="{FF2B5EF4-FFF2-40B4-BE49-F238E27FC236}">
                <a16:creationId xmlns:a16="http://schemas.microsoft.com/office/drawing/2014/main" id="{00000000-0008-0000-0500-00001B000000}"/>
              </a:ext>
            </a:extLst>
          </xdr:cNvPr>
          <xdr:cNvSpPr/>
        </xdr:nvSpPr>
        <xdr:spPr>
          <a:xfrm>
            <a:off x="9584822" y="-991317"/>
            <a:ext cx="2510438" cy="60126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lang="en-US" altLang="zh-CN" sz="1100">
                <a:solidFill>
                  <a:srgbClr val="000000"/>
                </a:solidFill>
              </a:rPr>
              <a:t>+U12.2R</a:t>
            </a:r>
          </a:p>
          <a:p>
            <a:pPr algn="l"/>
            <a:r>
              <a:rPr lang="en-US" altLang="zh-CN" sz="1100">
                <a:solidFill>
                  <a:srgbClr val="000000"/>
                </a:solidFill>
              </a:rPr>
              <a:t>=BG3-BGB1</a:t>
            </a:r>
          </a:p>
          <a:p>
            <a:pPr rtl="0" eaLnBrk="1" latinLnBrk="0" hangingPunct="1"/>
            <a:r>
              <a:rPr kumimoji="1" lang="en-US" altLang="zh-CN" sz="1100">
                <a:solidFill>
                  <a:sysClr val="windowText" lastClr="000000"/>
                </a:solidFill>
                <a:effectLst/>
                <a:latin typeface="+mn-lt"/>
                <a:ea typeface="+mn-ea"/>
                <a:cs typeface="+mn-cs"/>
              </a:rPr>
              <a:t>PANEL - ROCKER LOWER INNER ASSY; RH</a:t>
            </a:r>
            <a:endParaRPr lang="zh-CN" altLang="zh-CN">
              <a:solidFill>
                <a:sysClr val="windowText" lastClr="000000"/>
              </a:solidFill>
              <a:effectLst/>
            </a:endParaRPr>
          </a:p>
        </xdr:txBody>
      </xdr:sp>
      <xdr:sp macro="" textlink="">
        <xdr:nvSpPr>
          <xdr:cNvPr id="31" name="point5">
            <a:extLst>
              <a:ext uri="{FF2B5EF4-FFF2-40B4-BE49-F238E27FC236}">
                <a16:creationId xmlns:a16="http://schemas.microsoft.com/office/drawing/2014/main" id="{00000000-0008-0000-0500-00001F000000}"/>
              </a:ext>
            </a:extLst>
          </xdr:cNvPr>
          <xdr:cNvSpPr/>
        </xdr:nvSpPr>
        <xdr:spPr>
          <a:xfrm>
            <a:off x="14507651" y="895057"/>
            <a:ext cx="88900" cy="88900"/>
          </a:xfrm>
          <a:prstGeom prst="ellipse">
            <a:avLst/>
          </a:prstGeom>
          <a:grpFill/>
          <a:ln>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xnSp macro="">
        <xdr:nvCxnSpPr>
          <xdr:cNvPr id="6722" name="line5">
            <a:extLst>
              <a:ext uri="{FF2B5EF4-FFF2-40B4-BE49-F238E27FC236}">
                <a16:creationId xmlns:a16="http://schemas.microsoft.com/office/drawing/2014/main" id="{00000000-0008-0000-0500-0000421A0000}"/>
              </a:ext>
            </a:extLst>
          </xdr:cNvPr>
          <xdr:cNvCxnSpPr>
            <a:stCxn id="31" idx="2"/>
            <a:endCxn id="27" idx="2"/>
          </xdr:cNvCxnSpPr>
        </xdr:nvCxnSpPr>
        <xdr:spPr>
          <a:xfrm flipH="1" flipV="1">
            <a:off x="10840042" y="-390048"/>
            <a:ext cx="3667609" cy="1329556"/>
          </a:xfrm>
          <a:prstGeom prst="straightConnector1">
            <a:avLst/>
          </a:prstGeom>
          <a:grpFill/>
          <a:ln w="25400">
            <a:prstDash val="solid"/>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20</xdr:row>
      <xdr:rowOff>0</xdr:rowOff>
    </xdr:from>
    <xdr:ext cx="3536768" cy="17653551"/>
    <xdr:sp macro="" textlink="">
      <xdr:nvSpPr>
        <xdr:cNvPr id="4" name="Rectangle 3">
          <a:extLst>
            <a:ext uri="{FF2B5EF4-FFF2-40B4-BE49-F238E27FC236}">
              <a16:creationId xmlns:a16="http://schemas.microsoft.com/office/drawing/2014/main" id="{00000000-0008-0000-0600-000004000000}"/>
            </a:ext>
          </a:extLst>
        </xdr:cNvPr>
        <xdr:cNvSpPr/>
      </xdr:nvSpPr>
      <xdr:spPr>
        <a:xfrm>
          <a:off x="163286" y="4517571"/>
          <a:ext cx="3536768" cy="176535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spAutoFit/>
        </a:bodyPr>
        <a:lstStyle/>
        <a:p>
          <a:pPr algn="l"/>
          <a:r>
            <a:rPr lang="en-US" sz="1200" b="1" i="0">
              <a:solidFill>
                <a:schemeClr val="tx2">
                  <a:lumMod val="50000"/>
                </a:schemeClr>
              </a:solidFill>
              <a:latin typeface="Söhne Halbfett" panose="020B0703030202060203" pitchFamily="34" charset="0"/>
              <a:cs typeface="Arial" panose="020B0604020202020204" pitchFamily="34" charset="0"/>
            </a:rPr>
            <a:t>Sheet Instructions:</a:t>
          </a:r>
          <a:br>
            <a:rPr lang="en-US" sz="1200" b="0" i="0">
              <a:solidFill>
                <a:schemeClr val="tx1">
                  <a:lumMod val="50000"/>
                  <a:lumOff val="50000"/>
                </a:schemeClr>
              </a:solidFill>
              <a:latin typeface="Söhne Halbfett" panose="020B0703030202060203" pitchFamily="34" charset="0"/>
              <a:cs typeface="Arial" panose="020B0604020202020204" pitchFamily="34" charset="0"/>
            </a:rPr>
          </a:br>
          <a:r>
            <a:rPr lang="en-US" sz="1200" b="1" i="0">
              <a:solidFill>
                <a:schemeClr val="tx1">
                  <a:lumMod val="50000"/>
                  <a:lumOff val="50000"/>
                </a:schemeClr>
              </a:solidFill>
              <a:latin typeface="Söhne Halbfett" panose="020B0703030202060203" pitchFamily="34" charset="0"/>
              <a:cs typeface="Arial" panose="020B0604020202020204" pitchFamily="34" charset="0"/>
            </a:rPr>
            <a:t>General</a:t>
          </a:r>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 Row Information:</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If you select a Style and then select a Row Type of Start Conditions Header or Sequence Header, then you can create a clean header row to separate your start conditions and sequence from each other.</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For each row that is not a header:</a:t>
          </a: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Fill out the row from left to right beginning with the Style and Row Type, then moving on to Actor Type, etc.</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For Actor Type = CylinderUnits or SensorUnits:</a:t>
          </a: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Actor/Unit will autopopulate a list of cylinders and sensors from the other tabs in this workbook. Once one is selected, select a Standard Action/Status which is also a predefined drop down.</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For Actor Type = Operators or Robots:</a:t>
          </a: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The Actor/Unit column will autopopulate a list of predefined operators and robots. For these, a Custom Action/Status and Custom Duration must be added. This is free-form to be whatever you need.</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Ind. Start allows you to configure a row to start at a specific time. Typically, only the very first row of a sequence will use Ind. Start and will have the value set to 0.0</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Dep ID is auto populated depending on the Row Type you select while creating the Sequence, basically after every Row Type Transition State you will placed the CylinderUnits motions, different steps can be selected to determine which units are moving at the same time, see example row 18 to 25 where the units are moving in 3 steps </a:t>
          </a:r>
        </a:p>
        <a:p>
          <a:pPr algn="l"/>
          <a:endParaRPr lang="en-US" sz="1200" b="1"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How to fill out the sheet:</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1.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Turn the first row into a Start Conditions Header following the instructions above.</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2.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Below your Start Conditions Header add a row for each cylinder/sensor to indicate the start conditions for your selected style.</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Be sure to populate the Style column and also select Start Conditions as the Row Type for each of these rows.</a:t>
          </a: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Tip: copy the unit name from the Cylinders and Sensors Tables then assign the Actor Type.</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3.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Next, add a Sequence Header below all your start conditions following the instructions above.</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4.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Below your Sequence Header, begin adding rows for each action/event that occcurs in the sequence for your selected Style.</a:t>
          </a:r>
          <a:br>
            <a:rPr lang="en-US" sz="1200" b="0" i="0" baseline="0">
              <a:solidFill>
                <a:schemeClr val="tx1">
                  <a:lumMod val="50000"/>
                  <a:lumOff val="50000"/>
                </a:schemeClr>
              </a:solidFill>
              <a:latin typeface="Söhne Halbfett" panose="020B0703030202060203" pitchFamily="34" charset="0"/>
              <a:cs typeface="Arial" panose="020B0604020202020204" pitchFamily="34" charset="0"/>
            </a:rPr>
          </a:b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Be sure to populate the Style column and also select Sequence as the Row Type for each of these rows.</a:t>
          </a: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First Row after Sequence Header must be a Fixed State</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5.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Finish the Sequence with a Row Type Sequence Header with a End of Sequence in the Custom Description.</a:t>
          </a:r>
        </a:p>
        <a:p>
          <a:pPr algn="l"/>
          <a:endParaRPr lang="en-US" sz="1200" b="1"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6.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Repeat the above process for any additional styles.</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Other Tips/Tricks:</a:t>
          </a:r>
        </a:p>
        <a:p>
          <a:pPr algn="l"/>
          <a:endParaRPr lang="en-US" sz="1200" b="1"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Once complete, you can easily use the column headers to filter and only look at certain styles, or to filter out external actors like robots/operators.</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If desired, you can also insert Step Headers to more visually differentiate between independent steps for the PLC. Typically this would be done by a controls engineer after the sequence is originally filled out.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lumMod val="50000"/>
                  <a:lumOff val="50000"/>
                </a:prstClr>
              </a:solidFill>
              <a:effectLst/>
              <a:uLnTx/>
              <a:uFillTx/>
              <a:latin typeface="Söhne Halbfett" panose="020B0703030202060203" pitchFamily="34" charset="0"/>
              <a:ea typeface="+mn-ea"/>
              <a:cs typeface="Arial" panose="020B0604020202020204" pitchFamily="34" charset="0"/>
            </a:rPr>
            <a:t>To add more rows you can either type something in the next custom description rows, the table will detect this as a new entry on the table and will apply the format; other way is to drag and drop from starting from the style column, DO NOT drag and drop from the ID column this will affect the format on the table.</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34637</xdr:colOff>
      <xdr:row>19</xdr:row>
      <xdr:rowOff>11258</xdr:rowOff>
    </xdr:from>
    <xdr:to>
      <xdr:col>3</xdr:col>
      <xdr:colOff>35330</xdr:colOff>
      <xdr:row>31</xdr:row>
      <xdr:rowOff>102005</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164523" y="4072372"/>
          <a:ext cx="3135284" cy="258456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algn="l"/>
          <a:r>
            <a:rPr lang="en-US" sz="1200" b="1" i="0">
              <a:solidFill>
                <a:schemeClr val="tx2">
                  <a:lumMod val="50000"/>
                </a:schemeClr>
              </a:solidFill>
              <a:latin typeface="Söhne Halbfett" panose="020B0703030202060203" pitchFamily="34" charset="0"/>
              <a:cs typeface="Arial" panose="020B0604020202020204" pitchFamily="34" charset="0"/>
            </a:rPr>
            <a:t>Sheet Instructions:</a:t>
          </a:r>
          <a:br>
            <a:rPr lang="en-US" sz="1200" b="0" i="0">
              <a:solidFill>
                <a:schemeClr val="tx2">
                  <a:lumMod val="50000"/>
                </a:schemeClr>
              </a:solidFill>
              <a:latin typeface="Söhne Halbfett" panose="020B0703030202060203" pitchFamily="34" charset="0"/>
              <a:cs typeface="Arial" panose="020B0604020202020204" pitchFamily="34" charset="0"/>
            </a:rPr>
          </a:br>
          <a:r>
            <a:rPr lang="en-US" sz="1200" b="1" i="0">
              <a:solidFill>
                <a:schemeClr val="tx1">
                  <a:lumMod val="50000"/>
                  <a:lumOff val="50000"/>
                </a:schemeClr>
              </a:solidFill>
              <a:latin typeface="Söhne Halbfett" panose="020B0703030202060203" pitchFamily="34" charset="0"/>
              <a:cs typeface="Arial" panose="020B0604020202020204" pitchFamily="34" charset="0"/>
            </a:rPr>
            <a:t>1. </a:t>
          </a:r>
          <a:r>
            <a:rPr lang="en-US" sz="1200" b="0" i="0">
              <a:solidFill>
                <a:schemeClr val="tx1">
                  <a:lumMod val="50000"/>
                  <a:lumOff val="50000"/>
                </a:schemeClr>
              </a:solidFill>
              <a:latin typeface="Söhne Halbfett" panose="020B0703030202060203" pitchFamily="34" charset="0"/>
              <a:cs typeface="Arial" panose="020B0604020202020204" pitchFamily="34" charset="0"/>
            </a:rPr>
            <a:t>Transition</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States and Fixed States are auto populated from the Sequence detail names place in those rungs</a:t>
          </a:r>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a:solidFill>
                <a:schemeClr val="tx1">
                  <a:lumMod val="50000"/>
                  <a:lumOff val="50000"/>
                </a:schemeClr>
              </a:solidFill>
              <a:latin typeface="Söhne Halbfett" panose="020B0703030202060203" pitchFamily="34" charset="0"/>
              <a:cs typeface="Arial" panose="020B0604020202020204" pitchFamily="34" charset="0"/>
            </a:rPr>
            <a:t>2. </a:t>
          </a:r>
          <a:r>
            <a:rPr lang="en-US" sz="1200" b="0" i="0">
              <a:solidFill>
                <a:schemeClr val="tx1">
                  <a:lumMod val="50000"/>
                  <a:lumOff val="50000"/>
                </a:schemeClr>
              </a:solidFill>
              <a:latin typeface="Söhne Halbfett" panose="020B0703030202060203" pitchFamily="34" charset="0"/>
              <a:cs typeface="Arial" panose="020B0604020202020204" pitchFamily="34" charset="0"/>
            </a:rPr>
            <a:t>Use Verification</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 Pushbutton to assure both commands (To Work / To Home) were used in the sequence</a:t>
          </a:r>
        </a:p>
        <a:p>
          <a:pPr algn="l"/>
          <a:endParaRPr lang="en-US" sz="1200" b="0" i="0" baseline="0">
            <a:solidFill>
              <a:schemeClr val="tx1">
                <a:lumMod val="50000"/>
                <a:lumOff val="50000"/>
              </a:schemeClr>
            </a:solidFill>
            <a:latin typeface="Söhne Halbfett" panose="020B0703030202060203" pitchFamily="34" charset="0"/>
            <a:cs typeface="Arial" panose="020B0604020202020204" pitchFamily="34" charset="0"/>
          </a:endParaRPr>
        </a:p>
        <a:p>
          <a:pPr algn="l"/>
          <a:r>
            <a:rPr lang="en-US" sz="1200" b="1" i="0" baseline="0">
              <a:solidFill>
                <a:schemeClr val="tx1">
                  <a:lumMod val="50000"/>
                  <a:lumOff val="50000"/>
                </a:schemeClr>
              </a:solidFill>
              <a:latin typeface="Söhne Halbfett" panose="020B0703030202060203" pitchFamily="34" charset="0"/>
              <a:cs typeface="Arial" panose="020B0604020202020204" pitchFamily="34" charset="0"/>
            </a:rPr>
            <a:t>3. </a:t>
          </a:r>
          <a:r>
            <a:rPr lang="en-US" sz="1200" b="0" i="0" baseline="0">
              <a:solidFill>
                <a:schemeClr val="tx1">
                  <a:lumMod val="50000"/>
                  <a:lumOff val="50000"/>
                </a:schemeClr>
              </a:solidFill>
              <a:latin typeface="Söhne Halbfett" panose="020B0703030202060203" pitchFamily="34" charset="0"/>
              <a:cs typeface="Arial" panose="020B0604020202020204" pitchFamily="34" charset="0"/>
            </a:rPr>
            <a:t>No edits required on this sheet.</a:t>
          </a:r>
        </a:p>
        <a:p>
          <a:pPr algn="l"/>
          <a:endParaRPr lang="en-US" sz="1200" b="0" i="0">
            <a:solidFill>
              <a:schemeClr val="tx1">
                <a:lumMod val="50000"/>
                <a:lumOff val="50000"/>
              </a:schemeClr>
            </a:solidFill>
            <a:latin typeface="Söhne Halbfett" panose="020B0703030202060203" pitchFamily="34" charset="0"/>
            <a:cs typeface="Arial" panose="020B0604020202020204" pitchFamily="34" charset="0"/>
          </a:endParaRPr>
        </a:p>
        <a:p>
          <a:pPr algn="l"/>
          <a:endParaRPr lang="en-US" sz="1200" b="0" i="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161925</xdr:colOff>
          <xdr:row>0</xdr:row>
          <xdr:rowOff>47625</xdr:rowOff>
        </xdr:from>
        <xdr:to>
          <xdr:col>5</xdr:col>
          <xdr:colOff>1390650</xdr:colOff>
          <xdr:row>1</xdr:row>
          <xdr:rowOff>142875</xdr:rowOff>
        </xdr:to>
        <xdr:sp macro="" textlink="">
          <xdr:nvSpPr>
            <xdr:cNvPr id="8194" name="Verification PB" descr="Create Sensors"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200" b="1" i="0" u="none" strike="noStrike" baseline="0">
                  <a:solidFill>
                    <a:srgbClr val="000000"/>
                  </a:solidFill>
                  <a:latin typeface="Calibri"/>
                  <a:cs typeface="Calibri"/>
                </a:rPr>
                <a:t>Run Verification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2</xdr:col>
      <xdr:colOff>1676400</xdr:colOff>
      <xdr:row>0</xdr:row>
      <xdr:rowOff>257175</xdr:rowOff>
    </xdr:from>
    <xdr:ext cx="1805940" cy="264560"/>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6667500" y="257175"/>
          <a:ext cx="180594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2</xdr:col>
      <xdr:colOff>1977390</xdr:colOff>
      <xdr:row>0</xdr:row>
      <xdr:rowOff>180976</xdr:rowOff>
    </xdr:from>
    <xdr:to>
      <xdr:col>4</xdr:col>
      <xdr:colOff>3810</xdr:colOff>
      <xdr:row>0</xdr:row>
      <xdr:rowOff>472440</xdr:rowOff>
    </xdr:to>
    <xdr:sp macro="" textlink="">
      <xdr:nvSpPr>
        <xdr:cNvPr id="5121" name="Text Box 1">
          <a:extLst>
            <a:ext uri="{FF2B5EF4-FFF2-40B4-BE49-F238E27FC236}">
              <a16:creationId xmlns:a16="http://schemas.microsoft.com/office/drawing/2014/main" id="{00000000-0008-0000-0800-000001140000}"/>
            </a:ext>
          </a:extLst>
        </xdr:cNvPr>
        <xdr:cNvSpPr txBox="1">
          <a:spLocks noChangeArrowheads="1"/>
        </xdr:cNvSpPr>
      </xdr:nvSpPr>
      <xdr:spPr bwMode="auto">
        <a:xfrm>
          <a:off x="6968490" y="180976"/>
          <a:ext cx="1424940" cy="291464"/>
        </a:xfrm>
        <a:prstGeom prst="rect">
          <a:avLst/>
        </a:prstGeom>
        <a:solidFill>
          <a:srgbClr val="FFFFFF"/>
        </a:solidFill>
        <a:ln w="9525">
          <a:noFill/>
          <a:miter lim="800000"/>
          <a:headEnd/>
          <a:tailEnd/>
        </a:ln>
      </xdr:spPr>
      <xdr:txBody>
        <a:bodyPr vertOverflow="clip" wrap="square" lIns="36576" tIns="32004" rIns="0" bIns="0" anchor="t" upright="1"/>
        <a:lstStyle/>
        <a:p>
          <a:pPr algn="l" rtl="0">
            <a:defRPr sz="1000"/>
          </a:pPr>
          <a:r>
            <a:rPr lang="en-US" sz="900" b="0" i="0" u="none" strike="noStrike" baseline="0">
              <a:solidFill>
                <a:srgbClr val="000000"/>
              </a:solidFill>
              <a:latin typeface="Söhne Kräftig" panose="020B0603030202060203" pitchFamily="34" charset="0"/>
              <a:cs typeface="Calibri"/>
            </a:rPr>
            <a:t>DOC ID: ME-RSTD-0227</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1">
    <v>11</v>
  </rv>
</rvData>
</file>

<file path=xl/richData/rdrichvaluestructure.xml><?xml version="1.0" encoding="utf-8"?>
<rvStructures xmlns="http://schemas.microsoft.com/office/spreadsheetml/2017/richdata" count="2">
  <s t="_localImage">
    <k n="_rvRel:LocalImageIdentifier" t="i"/>
    <k n="CalcOrigin" t="i"/>
  </s>
  <s t="_error">
    <k n="errorType"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DE31E4-E8E6-42BA-A872-0B85F150B136}" name="RevisionNotes" displayName="RevisionNotes" ref="H3:K54" totalsRowShown="0" headerRowDxfId="119" dataDxfId="117" headerRowBorderDxfId="118" tableBorderDxfId="116" totalsRowBorderDxfId="115" headerRowCellStyle="Normal 2">
  <autoFilter ref="H3:K54" xr:uid="{37DE31E4-E8E6-42BA-A872-0B85F150B136}">
    <filterColumn colId="0" hiddenButton="1"/>
    <filterColumn colId="1" hiddenButton="1"/>
    <filterColumn colId="2" hiddenButton="1"/>
    <filterColumn colId="3" hiddenButton="1"/>
  </autoFilter>
  <tableColumns count="4">
    <tableColumn id="1" xr3:uid="{78CBA420-6B50-47FF-87B7-3785B91D48F8}" name="Rev" dataDxfId="114"/>
    <tableColumn id="4" xr3:uid="{89914037-C173-4707-8FF2-D4ACB0A10C4D}" name="Date" dataDxfId="113"/>
    <tableColumn id="2" xr3:uid="{34967982-8F40-4BFA-B93F-C5DB2AB3DA1C}" name="Author" dataDxfId="112"/>
    <tableColumn id="3" xr3:uid="{CC39105D-2CF2-48FB-8778-14E0F69A45AD}" name="Revision Note" dataDxfId="1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43B2111-3D61-46AA-A0CC-518B2F0DEB0F}" name="Styles" displayName="Styles" ref="F3:F54" totalsRowShown="0" headerRowDxfId="110" dataDxfId="108" headerRowBorderDxfId="109" tableBorderDxfId="107" totalsRowBorderDxfId="106" headerRowCellStyle="Normal 3 3">
  <autoFilter ref="F3:F54" xr:uid="{F43B2111-3D61-46AA-A0CC-518B2F0DEB0F}"/>
  <tableColumns count="1">
    <tableColumn id="1" xr3:uid="{64BBC176-52EA-4AE7-AEF8-A76B03283032}" name="Style List" dataDxfId="105"/>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5F25EE-7B3D-4489-AA10-C353F041F37A}" name="Cylinders" displayName="Cylinders" ref="E3:AD103" totalsRowShown="0" headerRowDxfId="99" dataDxfId="97" headerRowBorderDxfId="98" headerRowCellStyle="Normal 2">
  <autoFilter ref="E3:AD103" xr:uid="{BA5F25EE-7B3D-4489-AA10-C353F041F37A}"/>
  <tableColumns count="26">
    <tableColumn id="1" xr3:uid="{177E6709-E660-4F52-A3AD-3E940A6B00F0}" name="Unit Name" dataDxfId="96"/>
    <tableColumn id="2" xr3:uid="{72C24548-E546-4AD3-A276-1087E1878D9A}" name="Mechanical_x000a_Unit Type" dataDxfId="95"/>
    <tableColumn id="18" xr3:uid="{4FEDE91C-93B6-4437-9D06-65C32880A5F2}" name="Style" dataDxfId="94"/>
    <tableColumn id="3" xr3:uid="{01A65C33-9EF8-47B6-AF4B-12BB897BA459}" name="Bore (mm)" dataDxfId="93"/>
    <tableColumn id="4" xr3:uid="{70B86CA2-1E45-4753-9F19-D67C79A50113}" name="Stroke (mm)" dataDxfId="92"/>
    <tableColumn id="5" xr3:uid="{A27EFBA2-9014-4AFA-B006-0D388016FAB1}" name="Actuation Time(s)" dataDxfId="91"/>
    <tableColumn id="25" xr3:uid="{56210E0F-6F49-422A-9CDE-4EDDD0EC29B6}" name="1st Motion" dataDxfId="90" dataCellStyle="Normal 2">
      <calculatedColumnFormula array="1">IFERROR(
INDEX(Sequence[Dep. ID],
MATCH(1, (Sequence[Actor Type]="CylinderUnits") * (Sequence[Row Type]&lt;&gt;"Start Conditions") * (Sequence[Actor/Unit]=Cylinders[[#This Row],[Unit Name]]), 0)), "")</calculatedColumnFormula>
    </tableColumn>
    <tableColumn id="24" xr3:uid="{BB67D5D9-B432-4ED5-88AF-C663ACD07DDC}" name="2nd Motion" dataDxfId="89" dataCellStyle="Normal 2">
      <calculatedColumnFormula array="1">IFERROR(
  INDEX(Sequence[Dep. ID],
  MATCH(1, (Sequence[Actor Type]="CylinderUnits") * (Sequence[Row Type]&lt;&gt;"Start Conditions") *  (Sequence[Actor/Unit]=Cylinders[[#This Row],[Unit Name]]) * (Sequence[Dep. ID]&gt;Cylinders[[#This Row],[1st Motion]]), 0)), "")</calculatedColumnFormula>
    </tableColumn>
    <tableColumn id="23" xr3:uid="{05E17933-6AE7-4056-9CC0-DE2454709B68}" name="3rd Motion" dataDxfId="88" dataCellStyle="Normal 2">
      <calculatedColumnFormula array="1">IFERROR(
  INDEX(Sequence[Dep. ID],
  MATCH(1, (Sequence[Actor Type]="CylinderUnits") * (Sequence[Row Type]&lt;&gt;"Start Conditions") *  (Sequence[Actor/Unit]=Cylinders[[#This Row],[Unit Name]]) * (Sequence[Dep. ID]&gt;Cylinders[[#This Row],[2nd Motion]]), 0)), "")</calculatedColumnFormula>
    </tableColumn>
    <tableColumn id="22" xr3:uid="{051E3081-376B-49D7-B08D-D163F647A924}" name="4th Motion" dataDxfId="87" dataCellStyle="Normal 2">
      <calculatedColumnFormula array="1">IFERROR(
  INDEX(Sequence[Dep. ID],
  MATCH(1, (Sequence[Actor Type]="CylinderUnits") * (Sequence[Row Type]&lt;&gt;"Start Conditions") *  (Sequence[Actor/Unit]=Cylinders[[#This Row],[Unit Name]]) * (Sequence[Dep. ID]&gt;Cylinders[[#This Row],[3rd Motion]]), 0)), "")</calculatedColumnFormula>
    </tableColumn>
    <tableColumn id="21" xr3:uid="{4047552E-B8F2-400F-B5F8-3DF67ABDA481}" name="5th Motion" dataDxfId="86" dataCellStyle="Normal 2">
      <calculatedColumnFormula array="1">IFERROR(
  INDEX(Sequence[Dep. ID],
  MATCH(1, (Sequence[Actor Type]="CylinderUnits") * (Sequence[Row Type]&lt;&gt;"Start Conditions") *  (Sequence[Actor/Unit]=Cylinders[[#This Row],[Unit Name]]) * (Sequence[Dep. ID]&gt;Cylinders[[#This Row],[4th Motion]]), 0)), "")</calculatedColumnFormula>
    </tableColumn>
    <tableColumn id="20" xr3:uid="{215D1059-7529-4FE3-80FC-B0A1C9C65A46}" name="6th Motion" dataDxfId="85" dataCellStyle="Normal 2">
      <calculatedColumnFormula array="1">IFERROR(
  INDEX(Sequence[Dep. ID],
  MATCH(1, (Sequence[Actor Type]="CylinderUnits") * (Sequence[Row Type]&lt;&gt;"Start Conditions") *  (Sequence[Actor/Unit]=Cylinders[[#This Row],[Unit Name]]) * (Sequence[Dep. ID]&gt;Cylinders[[#This Row],[5th Motion]]), 0)), "")</calculatedColumnFormula>
    </tableColumn>
    <tableColumn id="6" xr3:uid="{893D3CF1-EE98-4BDD-A487-FAC7FB31A422}" name="Cylinder Part #" dataDxfId="84"/>
    <tableColumn id="7" xr3:uid="{21ABDDC3-B467-4115-B1F5-871A3101FD80}" name="Home Position" dataDxfId="83"/>
    <tableColumn id="8" xr3:uid="{7FA641E2-6DE0-4A96-8C94-7AE91B93A880}" name="External Home Switch Part #" dataDxfId="82"/>
    <tableColumn id="9" xr3:uid="{B0F9400D-863C-44E4-A65B-4D66F75F372D}" name="External Work Switch Part #" dataDxfId="81"/>
    <tableColumn id="10" xr3:uid="{343FC2CA-C7C3-4F8A-AAE8-811676522BC7}" name="Controls Manifold Name" dataDxfId="80"/>
    <tableColumn id="11" xr3:uid="{E1A9DD68-0083-42DB-97EF-BFCED7FD8C2F}" name="Controls Valve Name" dataDxfId="79"/>
    <tableColumn id="12" xr3:uid="{281C77C3-21FF-4261-9BD0-B08A12212A90}" name="Controls_x000a_Motion _x000a_Group" dataDxfId="78"/>
    <tableColumn id="13" xr3:uid="{B27DCBA3-30A0-4586-B3E7-1405CC91F7A8}" name="Controls_x000a_Unit _x000a_Name" dataDxfId="77"/>
    <tableColumn id="14" xr3:uid="{7BBD6956-8089-4544-9AE6-DC025544E92A}" name="MotionGroup Description" dataDxfId="76"/>
    <tableColumn id="15" xr3:uid="{CC08C704-CD60-4026-84F0-77639515B987}" name="Valve _x000a_Part _x000a_Description" dataDxfId="75"/>
    <tableColumn id="16" xr3:uid="{D7D114C2-10F3-435C-9A84-806E7B65E903}" name="Valve _x000a_Part _x000a_Number" dataDxfId="74"/>
    <tableColumn id="17" xr3:uid="{86180AFB-541C-4465-8B4F-5F5F8766C6DD}" name="Port _x000a_Size _x000a_(mm)" dataDxfId="73"/>
    <tableColumn id="19" xr3:uid="{99115B5F-8A61-4A47-BDEA-EE10E91C51B4}" name="Valve Name" dataDxfId="72">
      <calculatedColumnFormula>IF(AND(Cylinders[[#This Row],[Controls Manifold Name]]&lt;&gt;"",Cylinders[[#This Row],[Controls Valve Name]]&lt;&gt;"",Cylinders[[#This Row],[Unit Name]]&lt;&gt;""),_xlfn.CONCAT(U4,V4),"")</calculatedColumnFormula>
    </tableColumn>
    <tableColumn id="26" xr3:uid="{315CCEF1-2F9D-41A6-8459-162DDB231291}" name="Cylinder Name" dataDxfId="71">
      <calculatedColumnFormula>IF(AND(Cylinders[[#This Row],[Controls
Motion 
Group]]&lt;&gt;"",Cylinders[[#This Row],[Controls
Unit 
Name]]&lt;&gt;"",Cylinders[[#This Row],[Unit Name]]&lt;&gt;""),_xlfn.CONCAT(W4,X4),"")</calculatedColumnFormula>
    </tableColumn>
  </tableColumns>
  <tableStyleInfo name="TableStyleMedium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B13FBF-0714-4428-9CE9-00B0A9A4D0B2}" name="Sensors" displayName="Sensors" ref="E3:P103" totalsRowShown="0" headerRowDxfId="67" dataDxfId="65" headerRowBorderDxfId="66" tableBorderDxfId="64" totalsRowBorderDxfId="63" headerRowCellStyle="Normal 2">
  <autoFilter ref="E3:P103" xr:uid="{ACB13FBF-0714-4428-9CE9-00B0A9A4D0B2}"/>
  <tableColumns count="12">
    <tableColumn id="15" xr3:uid="{6620DB88-14BE-458F-9E25-E9DABCD1C5CD}" name="Mechanical Unit Name" dataDxfId="62"/>
    <tableColumn id="16" xr3:uid="{2A3AA276-7669-46A1-A696-A50541F5EBE6}" name="Controls Sensor Group" dataDxfId="61"/>
    <tableColumn id="3" xr3:uid="{FFC0B7F3-47B4-460F-B196-23EE2B517863}" name="Controls Unit Name" dataDxfId="60"/>
    <tableColumn id="1" xr3:uid="{DE1DD2BB-AEAB-4E58-AEEB-C9B54D096058}" name="Sensor Group _x000a_Description" dataDxfId="59"/>
    <tableColumn id="17" xr3:uid="{900615FE-C817-4BE5-819E-CD5E69B87D5A}" name="Sensor Description" dataDxfId="58"/>
    <tableColumn id="5" xr3:uid="{F20238E6-434B-4A45-A054-0A9EEF5E19A8}" name="Part Number" dataDxfId="57" dataCellStyle="Normal 2"/>
    <tableColumn id="10" xr3:uid="{D0911342-337A-4047-BAED-5B1AB3BB1587}" name="Sensor Type" dataDxfId="56"/>
    <tableColumn id="11" xr3:uid="{11668D37-2434-41B9-AF43-197895782412}" name="Output Type" dataDxfId="55"/>
    <tableColumn id="12" xr3:uid="{0EE540ED-FD57-4AA8-814E-A18B022D7C77}" name="Light Operate" dataDxfId="54"/>
    <tableColumn id="13" xr3:uid="{45C3BD50-E563-48F6-B499-67D238033F35}" name="Range _x000a_(mm)" dataDxfId="53"/>
    <tableColumn id="14" xr3:uid="{831DF6EC-2E45-4CE7-97A3-6E043C5DF313}" name="Body _x000a_Style" dataDxfId="52"/>
    <tableColumn id="2" xr3:uid="{67DE41A7-F1F6-44CC-9FBE-DF851326FCED}" name="Sensor Name" dataDxfId="51">
      <calculatedColumnFormula>IF(AND(Sensors[[#This Row],[Mechanical Unit Name]]&lt;&gt;"",Sensors[[#This Row],[Controls Sensor Group]]&lt;&gt;"",Sensors[[#This Row],[Controls Unit Name]]&lt;&gt;""),_xlfn.CONCAT("=",Sensors[[#This Row],[Controls Sensor Group]],"-",Sensors[[#This Row],[Controls Unit Name]]),"")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3ACFEF4-E5BF-437E-AB14-51704760AB75}" name="Sequence" displayName="Sequence" ref="E3:V110" totalsRowShown="0" headerRowDxfId="28" dataDxfId="26" headerRowBorderDxfId="27" tableBorderDxfId="25" totalsRowBorderDxfId="24">
  <autoFilter ref="E3:V110" xr:uid="{D634B459-4118-46DD-AA98-C8F1EA1D95E4}"/>
  <tableColumns count="18">
    <tableColumn id="1" xr3:uid="{63522D33-EDEF-4599-94E9-26F6AA11E486}" name="ID" dataDxfId="23">
      <calculatedColumnFormula>ROW() - ROW(Sequence[[#Headers],[ID]])</calculatedColumnFormula>
    </tableColumn>
    <tableColumn id="3" xr3:uid="{5F4035D3-6821-4C87-BEFC-4D3D4D1BBA79}" name="Style" dataDxfId="22" dataCellStyle="Normal 2"/>
    <tableColumn id="4" xr3:uid="{9E1368DF-2AF6-4408-BC04-11E002474F49}" name="Row Type" dataDxfId="21" dataCellStyle="Normal 2"/>
    <tableColumn id="17" xr3:uid="{BF393155-C3F1-4D38-9E86-9270A49B7915}" name="Actor Type" dataDxfId="20"/>
    <tableColumn id="19" xr3:uid="{93DB1785-CA3E-46ED-BDED-40BC0DEE0AD4}" name="Actor/Unit" dataDxfId="19"/>
    <tableColumn id="34" xr3:uid="{79E00E09-C64B-406F-87A6-03CCFF293119}" name="Custom Description" dataDxfId="18"/>
    <tableColumn id="39" xr3:uid="{E26954CF-A2E5-4A05-86F8-8214EF63A7C5}" name="Custom _x000a_Duration" dataDxfId="17"/>
    <tableColumn id="38" xr3:uid="{EBD884F5-9397-4670-98A1-6283B184030C}" name="Standard _x000a_Action/_x000a_Status" dataDxfId="16"/>
    <tableColumn id="36" xr3:uid="{9445C44E-3056-48AA-A056-A652BAF5FECF}" name="Standard Duration" dataDxfId="15">
      <calculatedColumnFormula>IF(AND(ActorType = "CylinderUnits", OR(StandardAction = "TO WORK", StandardAction = "TO HOME")), INDEX(Cylinders[Actuation Time(s)], MATCH(Actor,Cylinders[Unit Name],0)),
   IF(OR(ActorType = "CylinderUnits", ActorType = "SensorUnits"), 0, ""))</calculatedColumnFormula>
    </tableColumn>
    <tableColumn id="40" xr3:uid="{E58C2217-5CC1-47CF-94ED-8A2E8F25A2A6}" name="Actor/Group _x000a_Description" dataDxfId="14">
      <calculatedColumnFormula>IFERROR(
  IF(AND(ActorType = "CylinderUnits",Actor&lt;&gt;""), INDEX(Cylinders[MotionGroup Description], MATCH(Actor,Cylinders[Unit Name],0)),
  IF(AND(ActorType = "SensorUnits",Actor&lt;&gt;""), INDEX(Sensors[Sensor Description], MATCH(Actor,Sensors[Mechanical Unit Name],0)), "")),"Error")</calculatedColumnFormula>
    </tableColumn>
    <tableColumn id="32" xr3:uid="{86B3D2ED-5468-4B95-8D0C-F5E15BA05A81}" name="Actor/_x000a_Group _x000a_Name" dataDxfId="13">
      <calculatedColumnFormula>IFERROR(
  IF(AND(ActorType = "CylinderUnits",Actor&lt;&gt;""), INDEX(Cylinders[Cylinder Name],MATCH(Actor,Cylinders[Unit Name],0)),
  IF(AND(ActorType =    "SensorUnits",Actor&lt;&gt;""), INDEX(Sensors[Sensor Name],  MATCH(Actor,Sensors[Mechanical Unit Name],0)),"")),"Error")</calculatedColumnFormula>
    </tableColumn>
    <tableColumn id="30" xr3:uid="{350462D7-F5F9-458D-9AA1-C9F758F1D389}" name="Valve _x000a_Name" dataDxfId="12">
      <calculatedColumnFormula>IFERROR(
  IF(ActorType = "CylinderUnits", INDEX(Cylinders[Valve Name], MATCH(Actor,Cylinders[Unit Name],0)), ""),"Error")</calculatedColumnFormula>
    </tableColumn>
    <tableColumn id="6" xr3:uid="{E9197711-C70C-4E24-B2A2-66981B294F8C}" name="Ind. _x000a_Start" dataDxfId="11"/>
    <tableColumn id="7" xr3:uid="{C6CBE108-380B-4CA4-B946-66FE2D1A1635}" name="Dep. ID" dataDxfId="10">
      <calculatedColumnFormula>IF(LEN(Auxiliar)&gt;0,Auxiliar,
  IF(OR(RowType="Start Conditions",RowType="Start Conditions Header",RowType="Sequence Header"),"",
  OFFSET(DepID,-1,0)))</calculatedColumnFormula>
    </tableColumn>
    <tableColumn id="5" xr3:uid="{08355423-AF31-4E42-82D9-BA64BCB097F9}" name="Aux" dataDxfId="9" dataCellStyle="Normal 2">
      <calculatedColumnFormula>IF(OR(RowType="Fixed State", RowType="Step1", RowType="Step2",RowType="Step3", RowType="Step4", RowType="Step5"),
  IF(RowType&lt;&gt;OFFSET(RowType, -1, 0), ID, ""), "")</calculatedColumnFormula>
    </tableColumn>
    <tableColumn id="8" xr3:uid="{57356F63-4E5A-4EC5-A2C7-67A7142B796C}" name="Start" dataDxfId="8">
      <calculatedColumnFormula>IFERROR(
  IF(OR(RowType="Start Conditions Header",RowType="Sequence Header"), "",
  IF(IndStart&lt;&gt;"", IndStart,
  IF(OR(AND(Auxiliar&gt;0,Auxiliar=DepID),Duration=0,Duration&lt;OFFSET(Duration,-1,0),RowType="Wait Conditions"), OFFSET(End, -1, 0),OFFSET(Start, -1, 0)))),"")</calculatedColumnFormula>
    </tableColumn>
    <tableColumn id="9" xr3:uid="{19BE4DAE-F67F-47FE-98A9-DFCF9CF98CBC}" name="Duration" dataDxfId="7">
      <calculatedColumnFormula>IF(OR(RowType="Start Conditions",RowType="Start Conditions Header",RowType="Sequence Header"),"",
  IF(NOT(ISBLANK(CustomDuration)),CustomDuration,IF(LEN(StandardDuration)&gt;0,StandardDuration,0)))</calculatedColumnFormula>
    </tableColumn>
    <tableColumn id="2" xr3:uid="{0BF4ED7C-D0F6-4B75-B6C7-84F5CB0ACE6B}" name="End" dataDxfId="6">
      <calculatedColumnFormula>IF(RowType="Start Conditions Header","",
  IF(AND(OFFSET(Duration,-1,0)&gt;Duration,RowType=OFFSET(RowType,-1,0),RowType&lt;&gt;"Wait Conditions"),OFFSET(End,-1,0),
  IF(AND(Start&lt;&gt;"",Duration&lt;&gt;""),Start+Duration,"")))</calculatedColumnFormula>
    </tableColumn>
  </tableColumns>
  <tableStyleInfo name="TableStyleMedium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A9582A5-20D4-46F4-B032-9555C2361245}" name="Type" displayName="Type" ref="G1:G13" totalsRowShown="0" headerRowDxfId="2" headerRowBorderDxfId="1" tableBorderDxfId="0">
  <autoFilter ref="G1:G13" xr:uid="{1A9582A5-20D4-46F4-B032-9555C2361245}"/>
  <tableColumns count="1">
    <tableColumn id="1" xr3:uid="{E2E50891-6378-461B-A052-CCCB8EBE2EEE}" name="Type"/>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3A1A9-F0ED-1B4D-8487-FC2DA6BB5F6B}">
  <sheetPr codeName="Sheet1"/>
  <dimension ref="A1:O20000"/>
  <sheetViews>
    <sheetView zoomScale="85" zoomScaleNormal="85" workbookViewId="0"/>
  </sheetViews>
  <sheetFormatPr defaultColWidth="10.625" defaultRowHeight="15.75"/>
  <cols>
    <col min="1" max="1" width="26" style="47" customWidth="1"/>
    <col min="2" max="4" width="10.625" style="47"/>
    <col min="5" max="5" width="58.625" style="47" customWidth="1"/>
    <col min="6" max="16384" width="10.625" style="47"/>
  </cols>
  <sheetData>
    <row r="1" spans="1:15" s="42" customFormat="1" ht="42.6" customHeight="1">
      <c r="A1" s="40"/>
      <c r="B1" s="41" t="s">
        <v>0</v>
      </c>
      <c r="D1" s="43"/>
      <c r="E1" s="40"/>
      <c r="F1" s="44" t="s">
        <v>1</v>
      </c>
      <c r="G1" s="40"/>
      <c r="H1" s="40"/>
      <c r="I1" s="45"/>
      <c r="J1" s="45"/>
      <c r="K1" s="45"/>
      <c r="L1" s="45"/>
      <c r="M1" s="45"/>
      <c r="N1" s="45"/>
      <c r="O1" s="45"/>
    </row>
    <row r="7" spans="1:15">
      <c r="G7"/>
    </row>
    <row r="8" spans="1:15">
      <c r="G8"/>
    </row>
    <row r="9" spans="1:15">
      <c r="G9"/>
    </row>
    <row r="10" spans="1:15">
      <c r="G10"/>
    </row>
    <row r="11" spans="1:15">
      <c r="G11"/>
    </row>
    <row r="12" spans="1:15">
      <c r="G12"/>
    </row>
    <row r="13" spans="1:15">
      <c r="G13"/>
    </row>
    <row r="14" spans="1:15">
      <c r="G14"/>
    </row>
    <row r="15" spans="1:15">
      <c r="G15"/>
    </row>
    <row r="16" spans="1:15">
      <c r="G16"/>
    </row>
    <row r="17" spans="1:15">
      <c r="G17"/>
    </row>
    <row r="18" spans="1:15">
      <c r="G18"/>
    </row>
    <row r="19" spans="1:15">
      <c r="G19"/>
    </row>
    <row r="20" spans="1:15">
      <c r="G20"/>
    </row>
    <row r="21" spans="1:15">
      <c r="G21"/>
    </row>
    <row r="22" spans="1:15">
      <c r="G22"/>
    </row>
    <row r="23" spans="1:15">
      <c r="G23"/>
    </row>
    <row r="24" spans="1:15">
      <c r="G24"/>
    </row>
    <row r="25" spans="1:15">
      <c r="G25"/>
    </row>
    <row r="26" spans="1:15">
      <c r="G26"/>
    </row>
    <row r="27" spans="1:15">
      <c r="G27"/>
    </row>
    <row r="28" spans="1:15">
      <c r="G28"/>
    </row>
    <row r="29" spans="1:15">
      <c r="G29"/>
    </row>
    <row r="30" spans="1:15">
      <c r="G30"/>
    </row>
    <row r="31" spans="1:15">
      <c r="G31"/>
    </row>
    <row r="32" spans="1:15">
      <c r="A32" s="46"/>
      <c r="B32" s="46"/>
      <c r="C32" s="46"/>
      <c r="D32" s="46"/>
      <c r="E32" s="46"/>
      <c r="F32" s="46"/>
      <c r="G32"/>
      <c r="H32" s="46"/>
      <c r="I32" s="46"/>
      <c r="J32" s="46"/>
      <c r="K32" s="46"/>
      <c r="L32" s="46"/>
      <c r="M32" s="46"/>
      <c r="N32" s="46"/>
      <c r="O32" s="46"/>
    </row>
    <row r="33" spans="7:7">
      <c r="G33"/>
    </row>
    <row r="34" spans="7:7" ht="16.350000000000001" customHeight="1">
      <c r="G34"/>
    </row>
    <row r="35" spans="7:7">
      <c r="G35"/>
    </row>
    <row r="36" spans="7:7">
      <c r="G36"/>
    </row>
    <row r="37" spans="7:7">
      <c r="G37"/>
    </row>
    <row r="38" spans="7:7" ht="16.350000000000001" customHeight="1">
      <c r="G38"/>
    </row>
    <row r="39" spans="7:7">
      <c r="G39"/>
    </row>
    <row r="40" spans="7:7">
      <c r="G40"/>
    </row>
    <row r="41" spans="7:7">
      <c r="G41"/>
    </row>
    <row r="42" spans="7:7">
      <c r="G42"/>
    </row>
    <row r="43" spans="7:7">
      <c r="G43"/>
    </row>
    <row r="44" spans="7:7">
      <c r="G44"/>
    </row>
    <row r="45" spans="7:7">
      <c r="G45"/>
    </row>
    <row r="46" spans="7:7">
      <c r="G46"/>
    </row>
    <row r="47" spans="7:7">
      <c r="G47"/>
    </row>
    <row r="48" spans="7:7">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row r="811" spans="7:7">
      <c r="G811"/>
    </row>
    <row r="812" spans="7:7">
      <c r="G812"/>
    </row>
    <row r="813" spans="7:7">
      <c r="G813"/>
    </row>
    <row r="814" spans="7:7">
      <c r="G814"/>
    </row>
    <row r="815" spans="7:7">
      <c r="G815"/>
    </row>
    <row r="816" spans="7:7">
      <c r="G816"/>
    </row>
    <row r="817" spans="7:7">
      <c r="G817"/>
    </row>
    <row r="818" spans="7:7">
      <c r="G818"/>
    </row>
    <row r="819" spans="7:7">
      <c r="G819"/>
    </row>
    <row r="820" spans="7:7">
      <c r="G820"/>
    </row>
    <row r="821" spans="7:7">
      <c r="G821"/>
    </row>
    <row r="822" spans="7:7">
      <c r="G822"/>
    </row>
    <row r="823" spans="7:7">
      <c r="G823"/>
    </row>
    <row r="824" spans="7:7">
      <c r="G824"/>
    </row>
    <row r="825" spans="7:7">
      <c r="G825"/>
    </row>
    <row r="826" spans="7:7">
      <c r="G826"/>
    </row>
    <row r="827" spans="7:7">
      <c r="G827"/>
    </row>
    <row r="828" spans="7:7">
      <c r="G828"/>
    </row>
    <row r="829" spans="7:7">
      <c r="G829"/>
    </row>
    <row r="830" spans="7:7">
      <c r="G830"/>
    </row>
    <row r="831" spans="7:7">
      <c r="G831"/>
    </row>
    <row r="832" spans="7:7">
      <c r="G832"/>
    </row>
    <row r="833" spans="7:7">
      <c r="G833"/>
    </row>
    <row r="834" spans="7:7">
      <c r="G834"/>
    </row>
    <row r="835" spans="7:7">
      <c r="G835"/>
    </row>
    <row r="836" spans="7:7">
      <c r="G836"/>
    </row>
    <row r="837" spans="7:7">
      <c r="G837"/>
    </row>
    <row r="838" spans="7:7">
      <c r="G838"/>
    </row>
    <row r="839" spans="7:7">
      <c r="G839"/>
    </row>
    <row r="840" spans="7:7">
      <c r="G840"/>
    </row>
    <row r="841" spans="7:7">
      <c r="G841"/>
    </row>
    <row r="842" spans="7:7">
      <c r="G842"/>
    </row>
    <row r="843" spans="7:7">
      <c r="G843"/>
    </row>
    <row r="844" spans="7:7">
      <c r="G844"/>
    </row>
    <row r="845" spans="7:7">
      <c r="G845"/>
    </row>
    <row r="846" spans="7:7">
      <c r="G846"/>
    </row>
    <row r="847" spans="7:7">
      <c r="G847"/>
    </row>
    <row r="848" spans="7:7">
      <c r="G848"/>
    </row>
    <row r="849" spans="7:7">
      <c r="G849"/>
    </row>
    <row r="850" spans="7:7">
      <c r="G850"/>
    </row>
    <row r="851" spans="7:7">
      <c r="G851"/>
    </row>
    <row r="852" spans="7:7">
      <c r="G852"/>
    </row>
    <row r="853" spans="7:7">
      <c r="G853"/>
    </row>
    <row r="854" spans="7:7">
      <c r="G854"/>
    </row>
    <row r="855" spans="7:7">
      <c r="G855"/>
    </row>
    <row r="856" spans="7:7">
      <c r="G856"/>
    </row>
    <row r="857" spans="7:7">
      <c r="G857"/>
    </row>
    <row r="858" spans="7:7">
      <c r="G858"/>
    </row>
    <row r="859" spans="7:7">
      <c r="G859"/>
    </row>
    <row r="860" spans="7:7">
      <c r="G860"/>
    </row>
    <row r="861" spans="7:7">
      <c r="G861"/>
    </row>
    <row r="862" spans="7:7">
      <c r="G862"/>
    </row>
    <row r="863" spans="7:7">
      <c r="G863"/>
    </row>
    <row r="864" spans="7:7">
      <c r="G864"/>
    </row>
    <row r="865" spans="7:7">
      <c r="G865"/>
    </row>
    <row r="866" spans="7:7">
      <c r="G866"/>
    </row>
    <row r="867" spans="7:7">
      <c r="G867"/>
    </row>
    <row r="868" spans="7:7">
      <c r="G868"/>
    </row>
    <row r="869" spans="7:7">
      <c r="G869"/>
    </row>
    <row r="870" spans="7:7">
      <c r="G870"/>
    </row>
    <row r="871" spans="7:7">
      <c r="G871"/>
    </row>
    <row r="872" spans="7:7">
      <c r="G872"/>
    </row>
    <row r="873" spans="7:7">
      <c r="G873"/>
    </row>
    <row r="874" spans="7:7">
      <c r="G874"/>
    </row>
    <row r="875" spans="7:7">
      <c r="G875"/>
    </row>
    <row r="876" spans="7:7">
      <c r="G876"/>
    </row>
    <row r="877" spans="7:7">
      <c r="G877"/>
    </row>
    <row r="878" spans="7:7">
      <c r="G878"/>
    </row>
    <row r="879" spans="7:7">
      <c r="G879"/>
    </row>
    <row r="880" spans="7:7">
      <c r="G880"/>
    </row>
    <row r="881" spans="7:7">
      <c r="G881"/>
    </row>
    <row r="882" spans="7:7">
      <c r="G882"/>
    </row>
    <row r="883" spans="7:7">
      <c r="G883"/>
    </row>
    <row r="884" spans="7:7">
      <c r="G884"/>
    </row>
    <row r="885" spans="7:7">
      <c r="G885"/>
    </row>
    <row r="886" spans="7:7">
      <c r="G886"/>
    </row>
    <row r="887" spans="7:7">
      <c r="G887"/>
    </row>
    <row r="888" spans="7:7">
      <c r="G888"/>
    </row>
    <row r="889" spans="7:7">
      <c r="G889"/>
    </row>
    <row r="890" spans="7:7">
      <c r="G890"/>
    </row>
    <row r="891" spans="7:7">
      <c r="G891"/>
    </row>
    <row r="892" spans="7:7">
      <c r="G892"/>
    </row>
    <row r="893" spans="7:7">
      <c r="G893"/>
    </row>
    <row r="894" spans="7:7">
      <c r="G894"/>
    </row>
    <row r="895" spans="7:7">
      <c r="G895"/>
    </row>
    <row r="896" spans="7:7">
      <c r="G896"/>
    </row>
    <row r="897" spans="7:7">
      <c r="G897"/>
    </row>
    <row r="898" spans="7:7">
      <c r="G898"/>
    </row>
    <row r="899" spans="7:7">
      <c r="G899"/>
    </row>
    <row r="900" spans="7:7">
      <c r="G900"/>
    </row>
    <row r="901" spans="7:7">
      <c r="G901"/>
    </row>
    <row r="902" spans="7:7">
      <c r="G902"/>
    </row>
    <row r="903" spans="7:7">
      <c r="G903"/>
    </row>
    <row r="904" spans="7:7">
      <c r="G904"/>
    </row>
    <row r="905" spans="7:7">
      <c r="G905"/>
    </row>
    <row r="906" spans="7:7">
      <c r="G906"/>
    </row>
    <row r="907" spans="7:7">
      <c r="G907"/>
    </row>
    <row r="908" spans="7:7">
      <c r="G908"/>
    </row>
    <row r="909" spans="7:7">
      <c r="G909"/>
    </row>
    <row r="910" spans="7:7">
      <c r="G910"/>
    </row>
    <row r="911" spans="7:7">
      <c r="G911"/>
    </row>
    <row r="912" spans="7:7">
      <c r="G912"/>
    </row>
    <row r="913" spans="7:7">
      <c r="G913"/>
    </row>
    <row r="914" spans="7:7">
      <c r="G914"/>
    </row>
    <row r="915" spans="7:7">
      <c r="G915"/>
    </row>
    <row r="916" spans="7:7">
      <c r="G916"/>
    </row>
    <row r="917" spans="7:7">
      <c r="G917"/>
    </row>
    <row r="918" spans="7:7">
      <c r="G918"/>
    </row>
    <row r="919" spans="7:7">
      <c r="G919"/>
    </row>
    <row r="920" spans="7:7">
      <c r="G920"/>
    </row>
    <row r="921" spans="7:7">
      <c r="G921"/>
    </row>
    <row r="922" spans="7:7">
      <c r="G922"/>
    </row>
    <row r="923" spans="7:7">
      <c r="G923"/>
    </row>
    <row r="924" spans="7:7">
      <c r="G924"/>
    </row>
    <row r="925" spans="7:7">
      <c r="G925"/>
    </row>
    <row r="926" spans="7:7">
      <c r="G926"/>
    </row>
    <row r="927" spans="7:7">
      <c r="G927"/>
    </row>
    <row r="928" spans="7:7">
      <c r="G928"/>
    </row>
    <row r="929" spans="7:7">
      <c r="G929"/>
    </row>
    <row r="930" spans="7:7">
      <c r="G930"/>
    </row>
    <row r="931" spans="7:7">
      <c r="G931"/>
    </row>
    <row r="932" spans="7:7">
      <c r="G932"/>
    </row>
    <row r="933" spans="7:7">
      <c r="G933"/>
    </row>
    <row r="934" spans="7:7">
      <c r="G934"/>
    </row>
    <row r="935" spans="7:7">
      <c r="G935"/>
    </row>
    <row r="936" spans="7:7">
      <c r="G936"/>
    </row>
    <row r="937" spans="7:7">
      <c r="G937"/>
    </row>
    <row r="938" spans="7:7">
      <c r="G938"/>
    </row>
    <row r="939" spans="7:7">
      <c r="G939"/>
    </row>
    <row r="940" spans="7:7">
      <c r="G940"/>
    </row>
    <row r="941" spans="7:7">
      <c r="G941"/>
    </row>
    <row r="942" spans="7:7">
      <c r="G942"/>
    </row>
    <row r="943" spans="7:7">
      <c r="G943"/>
    </row>
    <row r="944" spans="7:7">
      <c r="G944"/>
    </row>
    <row r="945" spans="7:7">
      <c r="G945"/>
    </row>
    <row r="946" spans="7:7">
      <c r="G946"/>
    </row>
    <row r="947" spans="7:7">
      <c r="G947"/>
    </row>
    <row r="948" spans="7:7">
      <c r="G948"/>
    </row>
    <row r="949" spans="7:7">
      <c r="G949"/>
    </row>
    <row r="950" spans="7:7">
      <c r="G950"/>
    </row>
    <row r="951" spans="7:7">
      <c r="G951"/>
    </row>
    <row r="952" spans="7:7">
      <c r="G952"/>
    </row>
    <row r="953" spans="7:7">
      <c r="G953"/>
    </row>
    <row r="954" spans="7:7">
      <c r="G954"/>
    </row>
    <row r="955" spans="7:7">
      <c r="G955"/>
    </row>
    <row r="956" spans="7:7">
      <c r="G956"/>
    </row>
    <row r="957" spans="7:7">
      <c r="G957"/>
    </row>
    <row r="958" spans="7:7">
      <c r="G958"/>
    </row>
    <row r="959" spans="7:7">
      <c r="G959"/>
    </row>
    <row r="960" spans="7:7">
      <c r="G960"/>
    </row>
    <row r="961" spans="7:7">
      <c r="G961"/>
    </row>
    <row r="962" spans="7:7">
      <c r="G962"/>
    </row>
    <row r="963" spans="7:7">
      <c r="G963"/>
    </row>
    <row r="964" spans="7:7">
      <c r="G964"/>
    </row>
    <row r="965" spans="7:7">
      <c r="G965"/>
    </row>
    <row r="966" spans="7:7">
      <c r="G966"/>
    </row>
    <row r="967" spans="7:7">
      <c r="G967"/>
    </row>
    <row r="968" spans="7:7">
      <c r="G968"/>
    </row>
    <row r="969" spans="7:7">
      <c r="G969"/>
    </row>
    <row r="970" spans="7:7">
      <c r="G970"/>
    </row>
    <row r="971" spans="7:7">
      <c r="G971"/>
    </row>
    <row r="972" spans="7:7">
      <c r="G972"/>
    </row>
    <row r="973" spans="7:7">
      <c r="G973"/>
    </row>
    <row r="974" spans="7:7">
      <c r="G974"/>
    </row>
    <row r="975" spans="7:7">
      <c r="G975"/>
    </row>
    <row r="976" spans="7:7">
      <c r="G976"/>
    </row>
    <row r="977" spans="7:7">
      <c r="G977"/>
    </row>
    <row r="978" spans="7:7">
      <c r="G978"/>
    </row>
    <row r="979" spans="7:7">
      <c r="G979"/>
    </row>
    <row r="980" spans="7:7">
      <c r="G980"/>
    </row>
    <row r="981" spans="7:7">
      <c r="G981"/>
    </row>
    <row r="982" spans="7:7">
      <c r="G982"/>
    </row>
    <row r="983" spans="7:7">
      <c r="G983"/>
    </row>
    <row r="984" spans="7:7">
      <c r="G984"/>
    </row>
    <row r="985" spans="7:7">
      <c r="G985"/>
    </row>
    <row r="986" spans="7:7">
      <c r="G986"/>
    </row>
    <row r="987" spans="7:7">
      <c r="G987"/>
    </row>
    <row r="988" spans="7:7">
      <c r="G988"/>
    </row>
    <row r="989" spans="7:7">
      <c r="G989"/>
    </row>
    <row r="990" spans="7:7">
      <c r="G990"/>
    </row>
    <row r="991" spans="7:7">
      <c r="G991"/>
    </row>
    <row r="992" spans="7:7">
      <c r="G992"/>
    </row>
    <row r="993" spans="7:7">
      <c r="G993"/>
    </row>
    <row r="994" spans="7:7">
      <c r="G994"/>
    </row>
    <row r="995" spans="7:7">
      <c r="G995"/>
    </row>
    <row r="996" spans="7:7">
      <c r="G996"/>
    </row>
    <row r="997" spans="7:7">
      <c r="G997"/>
    </row>
    <row r="998" spans="7:7">
      <c r="G998"/>
    </row>
    <row r="999" spans="7:7">
      <c r="G999"/>
    </row>
    <row r="1000" spans="7:7">
      <c r="G1000"/>
    </row>
    <row r="1001" spans="7:7">
      <c r="G1001"/>
    </row>
    <row r="1002" spans="7:7">
      <c r="G1002"/>
    </row>
    <row r="1003" spans="7:7">
      <c r="G1003"/>
    </row>
    <row r="1004" spans="7:7">
      <c r="G1004"/>
    </row>
    <row r="1005" spans="7:7">
      <c r="G1005"/>
    </row>
    <row r="1006" spans="7:7">
      <c r="G1006"/>
    </row>
    <row r="1007" spans="7:7">
      <c r="G1007"/>
    </row>
    <row r="1008" spans="7:7">
      <c r="G1008"/>
    </row>
    <row r="1009" spans="7:7">
      <c r="G1009"/>
    </row>
    <row r="1010" spans="7:7">
      <c r="G1010"/>
    </row>
    <row r="1011" spans="7:7">
      <c r="G1011"/>
    </row>
    <row r="1012" spans="7:7">
      <c r="G1012"/>
    </row>
    <row r="1013" spans="7:7">
      <c r="G1013"/>
    </row>
    <row r="1014" spans="7:7">
      <c r="G1014"/>
    </row>
    <row r="1015" spans="7:7">
      <c r="G1015"/>
    </row>
    <row r="1016" spans="7:7">
      <c r="G1016"/>
    </row>
    <row r="1017" spans="7:7">
      <c r="G1017"/>
    </row>
    <row r="1018" spans="7:7">
      <c r="G1018"/>
    </row>
    <row r="1019" spans="7:7">
      <c r="G1019"/>
    </row>
    <row r="1020" spans="7:7">
      <c r="G1020"/>
    </row>
    <row r="1021" spans="7:7">
      <c r="G1021"/>
    </row>
    <row r="1022" spans="7:7">
      <c r="G1022"/>
    </row>
    <row r="1023" spans="7:7">
      <c r="G1023"/>
    </row>
    <row r="1024" spans="7:7">
      <c r="G1024"/>
    </row>
    <row r="1025" spans="7:7">
      <c r="G1025"/>
    </row>
    <row r="1026" spans="7:7">
      <c r="G1026"/>
    </row>
    <row r="1027" spans="7:7">
      <c r="G1027"/>
    </row>
    <row r="1028" spans="7:7">
      <c r="G1028"/>
    </row>
    <row r="1029" spans="7:7">
      <c r="G1029"/>
    </row>
    <row r="1030" spans="7:7">
      <c r="G1030"/>
    </row>
    <row r="1031" spans="7:7">
      <c r="G1031"/>
    </row>
    <row r="1032" spans="7:7">
      <c r="G1032"/>
    </row>
    <row r="1033" spans="7:7">
      <c r="G1033"/>
    </row>
    <row r="1034" spans="7:7">
      <c r="G1034"/>
    </row>
    <row r="1035" spans="7:7">
      <c r="G1035"/>
    </row>
    <row r="1036" spans="7:7">
      <c r="G1036"/>
    </row>
    <row r="1037" spans="7:7">
      <c r="G1037"/>
    </row>
    <row r="1038" spans="7:7">
      <c r="G1038"/>
    </row>
    <row r="1039" spans="7:7">
      <c r="G1039"/>
    </row>
    <row r="1040" spans="7:7">
      <c r="G1040"/>
    </row>
    <row r="1041" spans="7:7">
      <c r="G1041"/>
    </row>
    <row r="1042" spans="7:7">
      <c r="G1042"/>
    </row>
    <row r="1043" spans="7:7">
      <c r="G1043"/>
    </row>
    <row r="1044" spans="7:7">
      <c r="G1044"/>
    </row>
    <row r="1045" spans="7:7">
      <c r="G1045"/>
    </row>
    <row r="1046" spans="7:7">
      <c r="G1046"/>
    </row>
    <row r="1047" spans="7:7">
      <c r="G1047"/>
    </row>
    <row r="1048" spans="7:7">
      <c r="G1048"/>
    </row>
    <row r="1049" spans="7:7">
      <c r="G1049"/>
    </row>
    <row r="1050" spans="7:7">
      <c r="G1050"/>
    </row>
    <row r="1051" spans="7:7">
      <c r="G1051"/>
    </row>
    <row r="1052" spans="7:7">
      <c r="G1052"/>
    </row>
    <row r="1053" spans="7:7">
      <c r="G1053"/>
    </row>
    <row r="1054" spans="7:7">
      <c r="G1054"/>
    </row>
    <row r="1055" spans="7:7">
      <c r="G1055"/>
    </row>
    <row r="1056" spans="7:7">
      <c r="G1056"/>
    </row>
    <row r="1057" spans="7:7">
      <c r="G1057"/>
    </row>
    <row r="1058" spans="7:7">
      <c r="G1058"/>
    </row>
    <row r="1059" spans="7:7">
      <c r="G1059"/>
    </row>
    <row r="1060" spans="7:7">
      <c r="G1060"/>
    </row>
    <row r="1061" spans="7:7">
      <c r="G1061"/>
    </row>
    <row r="1062" spans="7:7">
      <c r="G1062"/>
    </row>
    <row r="1063" spans="7:7">
      <c r="G1063"/>
    </row>
    <row r="1064" spans="7:7">
      <c r="G1064"/>
    </row>
    <row r="1065" spans="7:7">
      <c r="G1065"/>
    </row>
    <row r="1066" spans="7:7">
      <c r="G1066"/>
    </row>
    <row r="1067" spans="7:7">
      <c r="G1067"/>
    </row>
    <row r="1068" spans="7:7">
      <c r="G1068"/>
    </row>
    <row r="1069" spans="7:7">
      <c r="G1069"/>
    </row>
    <row r="1070" spans="7:7">
      <c r="G1070"/>
    </row>
    <row r="1071" spans="7:7">
      <c r="G1071"/>
    </row>
    <row r="1072" spans="7:7">
      <c r="G1072"/>
    </row>
    <row r="1073" spans="7:7">
      <c r="G1073"/>
    </row>
    <row r="1074" spans="7:7">
      <c r="G1074"/>
    </row>
    <row r="1075" spans="7:7">
      <c r="G1075"/>
    </row>
    <row r="1076" spans="7:7">
      <c r="G1076"/>
    </row>
    <row r="1077" spans="7:7">
      <c r="G1077"/>
    </row>
    <row r="1078" spans="7:7">
      <c r="G1078"/>
    </row>
    <row r="1079" spans="7:7">
      <c r="G1079"/>
    </row>
    <row r="1080" spans="7:7">
      <c r="G1080"/>
    </row>
    <row r="1081" spans="7:7">
      <c r="G1081"/>
    </row>
    <row r="1082" spans="7:7">
      <c r="G1082"/>
    </row>
    <row r="1083" spans="7:7">
      <c r="G1083"/>
    </row>
    <row r="1084" spans="7:7">
      <c r="G1084"/>
    </row>
    <row r="1085" spans="7:7">
      <c r="G1085"/>
    </row>
    <row r="1086" spans="7:7">
      <c r="G1086"/>
    </row>
    <row r="1087" spans="7:7">
      <c r="G1087"/>
    </row>
    <row r="1088" spans="7:7">
      <c r="G1088"/>
    </row>
    <row r="1089" spans="7:7">
      <c r="G1089"/>
    </row>
    <row r="1090" spans="7:7">
      <c r="G1090"/>
    </row>
    <row r="1091" spans="7:7">
      <c r="G1091"/>
    </row>
    <row r="1092" spans="7:7">
      <c r="G1092"/>
    </row>
    <row r="1093" spans="7:7">
      <c r="G1093"/>
    </row>
    <row r="1094" spans="7:7">
      <c r="G1094"/>
    </row>
    <row r="1095" spans="7:7">
      <c r="G1095"/>
    </row>
    <row r="1096" spans="7:7">
      <c r="G1096"/>
    </row>
    <row r="1097" spans="7:7">
      <c r="G1097"/>
    </row>
    <row r="1098" spans="7:7">
      <c r="G1098"/>
    </row>
    <row r="1099" spans="7:7">
      <c r="G1099"/>
    </row>
    <row r="1100" spans="7:7">
      <c r="G1100"/>
    </row>
    <row r="1101" spans="7:7">
      <c r="G1101"/>
    </row>
    <row r="1102" spans="7:7">
      <c r="G1102"/>
    </row>
    <row r="1103" spans="7:7">
      <c r="G1103"/>
    </row>
    <row r="1104" spans="7:7">
      <c r="G1104"/>
    </row>
    <row r="1105" spans="7:7">
      <c r="G1105"/>
    </row>
    <row r="1106" spans="7:7">
      <c r="G1106"/>
    </row>
    <row r="1107" spans="7:7">
      <c r="G1107"/>
    </row>
    <row r="1108" spans="7:7">
      <c r="G1108"/>
    </row>
    <row r="1109" spans="7:7">
      <c r="G1109"/>
    </row>
    <row r="1110" spans="7:7">
      <c r="G1110"/>
    </row>
    <row r="1111" spans="7:7">
      <c r="G1111"/>
    </row>
    <row r="1112" spans="7:7">
      <c r="G1112"/>
    </row>
    <row r="1113" spans="7:7">
      <c r="G1113"/>
    </row>
    <row r="1114" spans="7:7">
      <c r="G1114"/>
    </row>
    <row r="1115" spans="7:7">
      <c r="G1115"/>
    </row>
    <row r="1116" spans="7:7">
      <c r="G1116"/>
    </row>
    <row r="1117" spans="7:7">
      <c r="G1117"/>
    </row>
    <row r="1118" spans="7:7">
      <c r="G1118"/>
    </row>
    <row r="1119" spans="7:7">
      <c r="G1119"/>
    </row>
    <row r="1120" spans="7:7">
      <c r="G1120"/>
    </row>
    <row r="1121" spans="7:7">
      <c r="G1121"/>
    </row>
    <row r="1122" spans="7:7">
      <c r="G1122"/>
    </row>
    <row r="1123" spans="7:7">
      <c r="G1123"/>
    </row>
    <row r="1124" spans="7:7">
      <c r="G1124"/>
    </row>
    <row r="1125" spans="7:7">
      <c r="G1125"/>
    </row>
    <row r="1126" spans="7:7">
      <c r="G1126"/>
    </row>
    <row r="1127" spans="7:7">
      <c r="G1127"/>
    </row>
    <row r="1128" spans="7:7">
      <c r="G1128"/>
    </row>
    <row r="1129" spans="7:7">
      <c r="G1129"/>
    </row>
    <row r="1130" spans="7:7">
      <c r="G1130"/>
    </row>
    <row r="1131" spans="7:7">
      <c r="G1131"/>
    </row>
    <row r="1132" spans="7:7">
      <c r="G1132"/>
    </row>
    <row r="1133" spans="7:7">
      <c r="G1133"/>
    </row>
    <row r="1134" spans="7:7">
      <c r="G1134"/>
    </row>
    <row r="1135" spans="7:7">
      <c r="G1135"/>
    </row>
    <row r="1136" spans="7:7">
      <c r="G1136"/>
    </row>
    <row r="1137" spans="7:7">
      <c r="G1137"/>
    </row>
    <row r="1138" spans="7:7">
      <c r="G1138"/>
    </row>
    <row r="1139" spans="7:7">
      <c r="G1139"/>
    </row>
    <row r="1140" spans="7:7">
      <c r="G1140"/>
    </row>
    <row r="1141" spans="7:7">
      <c r="G1141"/>
    </row>
    <row r="1142" spans="7:7">
      <c r="G1142"/>
    </row>
    <row r="1143" spans="7:7">
      <c r="G1143"/>
    </row>
    <row r="1144" spans="7:7">
      <c r="G1144"/>
    </row>
    <row r="1145" spans="7:7">
      <c r="G1145"/>
    </row>
    <row r="1146" spans="7:7">
      <c r="G1146"/>
    </row>
    <row r="1147" spans="7:7">
      <c r="G1147"/>
    </row>
    <row r="1148" spans="7:7">
      <c r="G1148"/>
    </row>
    <row r="1149" spans="7:7">
      <c r="G1149"/>
    </row>
    <row r="1150" spans="7:7">
      <c r="G1150"/>
    </row>
    <row r="1151" spans="7:7">
      <c r="G1151"/>
    </row>
    <row r="1152" spans="7:7">
      <c r="G1152"/>
    </row>
    <row r="1153" spans="7:7">
      <c r="G1153"/>
    </row>
    <row r="1154" spans="7:7">
      <c r="G1154"/>
    </row>
    <row r="1155" spans="7:7">
      <c r="G1155"/>
    </row>
    <row r="1156" spans="7:7">
      <c r="G1156"/>
    </row>
    <row r="1157" spans="7:7">
      <c r="G1157"/>
    </row>
    <row r="1158" spans="7:7">
      <c r="G1158"/>
    </row>
    <row r="1159" spans="7:7">
      <c r="G1159"/>
    </row>
    <row r="1160" spans="7:7">
      <c r="G1160"/>
    </row>
    <row r="1161" spans="7:7">
      <c r="G1161"/>
    </row>
    <row r="1162" spans="7:7">
      <c r="G1162"/>
    </row>
    <row r="1163" spans="7:7">
      <c r="G1163"/>
    </row>
    <row r="1164" spans="7:7">
      <c r="G1164"/>
    </row>
    <row r="1165" spans="7:7">
      <c r="G1165"/>
    </row>
    <row r="1166" spans="7:7">
      <c r="G1166"/>
    </row>
    <row r="1167" spans="7:7">
      <c r="G1167"/>
    </row>
    <row r="1168" spans="7:7">
      <c r="G1168"/>
    </row>
    <row r="1169" spans="7:7">
      <c r="G1169"/>
    </row>
    <row r="1170" spans="7:7">
      <c r="G1170"/>
    </row>
    <row r="1171" spans="7:7">
      <c r="G1171"/>
    </row>
    <row r="1172" spans="7:7">
      <c r="G1172"/>
    </row>
    <row r="1173" spans="7:7">
      <c r="G1173"/>
    </row>
    <row r="1174" spans="7:7">
      <c r="G1174"/>
    </row>
    <row r="1175" spans="7:7">
      <c r="G1175"/>
    </row>
    <row r="1176" spans="7:7">
      <c r="G1176"/>
    </row>
    <row r="1177" spans="7:7">
      <c r="G1177"/>
    </row>
    <row r="1178" spans="7:7">
      <c r="G1178"/>
    </row>
    <row r="1179" spans="7:7">
      <c r="G1179"/>
    </row>
    <row r="1180" spans="7:7">
      <c r="G1180"/>
    </row>
    <row r="1181" spans="7:7">
      <c r="G1181"/>
    </row>
    <row r="1182" spans="7:7">
      <c r="G1182"/>
    </row>
    <row r="1183" spans="7:7">
      <c r="G1183"/>
    </row>
    <row r="1184" spans="7:7">
      <c r="G1184"/>
    </row>
    <row r="1185" spans="7:7">
      <c r="G1185"/>
    </row>
    <row r="1186" spans="7:7">
      <c r="G1186"/>
    </row>
    <row r="1187" spans="7:7">
      <c r="G1187"/>
    </row>
    <row r="1188" spans="7:7">
      <c r="G1188"/>
    </row>
    <row r="1189" spans="7:7">
      <c r="G1189"/>
    </row>
    <row r="1190" spans="7:7">
      <c r="G1190"/>
    </row>
    <row r="1191" spans="7:7">
      <c r="G1191"/>
    </row>
    <row r="1192" spans="7:7">
      <c r="G1192"/>
    </row>
    <row r="1193" spans="7:7">
      <c r="G1193"/>
    </row>
    <row r="1194" spans="7:7">
      <c r="G1194"/>
    </row>
    <row r="1195" spans="7:7">
      <c r="G1195"/>
    </row>
    <row r="1196" spans="7:7">
      <c r="G1196"/>
    </row>
    <row r="1197" spans="7:7">
      <c r="G1197"/>
    </row>
    <row r="1198" spans="7:7">
      <c r="G1198"/>
    </row>
    <row r="1199" spans="7:7">
      <c r="G1199"/>
    </row>
    <row r="1200" spans="7:7">
      <c r="G1200"/>
    </row>
    <row r="1201" spans="7:7">
      <c r="G1201"/>
    </row>
    <row r="1202" spans="7:7">
      <c r="G1202"/>
    </row>
    <row r="1203" spans="7:7">
      <c r="G1203"/>
    </row>
    <row r="1204" spans="7:7">
      <c r="G1204"/>
    </row>
    <row r="1205" spans="7:7">
      <c r="G1205"/>
    </row>
    <row r="1206" spans="7:7">
      <c r="G1206"/>
    </row>
    <row r="1207" spans="7:7">
      <c r="G1207"/>
    </row>
    <row r="1208" spans="7:7">
      <c r="G1208"/>
    </row>
    <row r="1209" spans="7:7">
      <c r="G1209"/>
    </row>
    <row r="1210" spans="7:7">
      <c r="G1210"/>
    </row>
    <row r="1211" spans="7:7">
      <c r="G1211"/>
    </row>
    <row r="1212" spans="7:7">
      <c r="G1212"/>
    </row>
    <row r="1213" spans="7:7">
      <c r="G1213"/>
    </row>
    <row r="1214" spans="7:7">
      <c r="G1214"/>
    </row>
    <row r="1215" spans="7:7">
      <c r="G1215"/>
    </row>
    <row r="1216" spans="7:7">
      <c r="G1216"/>
    </row>
    <row r="1217" spans="7:7">
      <c r="G1217"/>
    </row>
    <row r="1218" spans="7:7">
      <c r="G1218"/>
    </row>
    <row r="1219" spans="7:7">
      <c r="G1219"/>
    </row>
    <row r="1220" spans="7:7">
      <c r="G1220"/>
    </row>
    <row r="1221" spans="7:7">
      <c r="G1221"/>
    </row>
    <row r="1222" spans="7:7">
      <c r="G1222"/>
    </row>
    <row r="1223" spans="7:7">
      <c r="G1223"/>
    </row>
    <row r="1224" spans="7:7">
      <c r="G1224"/>
    </row>
    <row r="1225" spans="7:7">
      <c r="G1225"/>
    </row>
    <row r="1226" spans="7:7">
      <c r="G1226"/>
    </row>
    <row r="1227" spans="7:7">
      <c r="G1227"/>
    </row>
    <row r="1228" spans="7:7">
      <c r="G1228"/>
    </row>
    <row r="1229" spans="7:7">
      <c r="G1229"/>
    </row>
    <row r="1230" spans="7:7">
      <c r="G1230"/>
    </row>
    <row r="1231" spans="7:7">
      <c r="G1231"/>
    </row>
    <row r="1232" spans="7:7">
      <c r="G1232"/>
    </row>
    <row r="1233" spans="7:7">
      <c r="G1233"/>
    </row>
    <row r="1234" spans="7:7">
      <c r="G1234"/>
    </row>
    <row r="1235" spans="7:7">
      <c r="G1235"/>
    </row>
    <row r="1236" spans="7:7">
      <c r="G1236"/>
    </row>
    <row r="1237" spans="7:7">
      <c r="G1237"/>
    </row>
    <row r="1238" spans="7:7">
      <c r="G1238"/>
    </row>
    <row r="1239" spans="7:7">
      <c r="G1239"/>
    </row>
    <row r="1240" spans="7:7">
      <c r="G1240"/>
    </row>
    <row r="1241" spans="7:7">
      <c r="G1241"/>
    </row>
    <row r="1242" spans="7:7">
      <c r="G1242"/>
    </row>
    <row r="1243" spans="7:7">
      <c r="G1243"/>
    </row>
    <row r="1244" spans="7:7">
      <c r="G1244"/>
    </row>
    <row r="1245" spans="7:7">
      <c r="G1245"/>
    </row>
    <row r="1246" spans="7:7">
      <c r="G1246"/>
    </row>
    <row r="1247" spans="7:7">
      <c r="G1247"/>
    </row>
    <row r="1248" spans="7:7">
      <c r="G1248"/>
    </row>
    <row r="1249" spans="7:7">
      <c r="G1249"/>
    </row>
    <row r="1250" spans="7:7">
      <c r="G1250"/>
    </row>
    <row r="1251" spans="7:7">
      <c r="G1251"/>
    </row>
    <row r="1252" spans="7:7">
      <c r="G1252"/>
    </row>
    <row r="1253" spans="7:7">
      <c r="G1253"/>
    </row>
    <row r="1254" spans="7:7">
      <c r="G1254"/>
    </row>
    <row r="1255" spans="7:7">
      <c r="G1255"/>
    </row>
    <row r="1256" spans="7:7">
      <c r="G1256"/>
    </row>
    <row r="1257" spans="7:7">
      <c r="G1257"/>
    </row>
    <row r="1258" spans="7:7">
      <c r="G1258"/>
    </row>
    <row r="1259" spans="7:7">
      <c r="G1259"/>
    </row>
    <row r="1260" spans="7:7">
      <c r="G1260"/>
    </row>
    <row r="1261" spans="7:7">
      <c r="G1261"/>
    </row>
    <row r="1262" spans="7:7">
      <c r="G1262"/>
    </row>
    <row r="1263" spans="7:7">
      <c r="G1263"/>
    </row>
    <row r="1264" spans="7:7">
      <c r="G1264"/>
    </row>
    <row r="1265" spans="7:7">
      <c r="G1265"/>
    </row>
    <row r="1266" spans="7:7">
      <c r="G1266"/>
    </row>
    <row r="1267" spans="7:7">
      <c r="G1267"/>
    </row>
    <row r="1268" spans="7:7">
      <c r="G1268"/>
    </row>
    <row r="1269" spans="7:7">
      <c r="G1269"/>
    </row>
    <row r="1270" spans="7:7">
      <c r="G1270"/>
    </row>
    <row r="1271" spans="7:7">
      <c r="G1271"/>
    </row>
    <row r="1272" spans="7:7">
      <c r="G1272"/>
    </row>
    <row r="1273" spans="7:7">
      <c r="G1273"/>
    </row>
    <row r="1274" spans="7:7">
      <c r="G1274"/>
    </row>
    <row r="1275" spans="7:7">
      <c r="G1275"/>
    </row>
    <row r="1276" spans="7:7">
      <c r="G1276"/>
    </row>
    <row r="1277" spans="7:7">
      <c r="G1277"/>
    </row>
    <row r="1278" spans="7:7">
      <c r="G1278"/>
    </row>
    <row r="1279" spans="7:7">
      <c r="G1279"/>
    </row>
    <row r="1280" spans="7:7">
      <c r="G1280"/>
    </row>
    <row r="1281" spans="7:7">
      <c r="G1281"/>
    </row>
    <row r="1282" spans="7:7">
      <c r="G1282"/>
    </row>
    <row r="1283" spans="7:7">
      <c r="G1283"/>
    </row>
    <row r="1284" spans="7:7">
      <c r="G1284"/>
    </row>
    <row r="1285" spans="7:7">
      <c r="G1285"/>
    </row>
    <row r="1286" spans="7:7">
      <c r="G1286"/>
    </row>
    <row r="1287" spans="7:7">
      <c r="G1287"/>
    </row>
    <row r="1288" spans="7:7">
      <c r="G1288"/>
    </row>
    <row r="1289" spans="7:7">
      <c r="G1289"/>
    </row>
    <row r="1290" spans="7:7">
      <c r="G1290"/>
    </row>
    <row r="1291" spans="7:7">
      <c r="G1291"/>
    </row>
    <row r="1292" spans="7:7">
      <c r="G1292"/>
    </row>
    <row r="1293" spans="7:7">
      <c r="G1293"/>
    </row>
    <row r="1294" spans="7:7">
      <c r="G1294"/>
    </row>
    <row r="1295" spans="7:7">
      <c r="G1295"/>
    </row>
    <row r="1296" spans="7:7">
      <c r="G1296"/>
    </row>
    <row r="1297" spans="7:7">
      <c r="G1297"/>
    </row>
    <row r="1298" spans="7:7">
      <c r="G1298"/>
    </row>
    <row r="1299" spans="7:7">
      <c r="G1299"/>
    </row>
    <row r="1300" spans="7:7">
      <c r="G1300"/>
    </row>
    <row r="1301" spans="7:7">
      <c r="G1301"/>
    </row>
    <row r="1302" spans="7:7">
      <c r="G1302"/>
    </row>
    <row r="1303" spans="7:7">
      <c r="G1303"/>
    </row>
    <row r="1304" spans="7:7">
      <c r="G1304"/>
    </row>
    <row r="1305" spans="7:7">
      <c r="G1305"/>
    </row>
    <row r="1306" spans="7:7">
      <c r="G1306"/>
    </row>
    <row r="1307" spans="7:7">
      <c r="G1307"/>
    </row>
    <row r="1308" spans="7:7">
      <c r="G1308"/>
    </row>
    <row r="1309" spans="7:7">
      <c r="G1309"/>
    </row>
    <row r="1310" spans="7:7">
      <c r="G1310"/>
    </row>
    <row r="1311" spans="7:7">
      <c r="G1311"/>
    </row>
    <row r="1312" spans="7:7">
      <c r="G1312"/>
    </row>
    <row r="1313" spans="7:7">
      <c r="G1313"/>
    </row>
    <row r="1314" spans="7:7">
      <c r="G1314"/>
    </row>
    <row r="1315" spans="7:7">
      <c r="G1315"/>
    </row>
    <row r="1316" spans="7:7">
      <c r="G1316"/>
    </row>
    <row r="1317" spans="7:7">
      <c r="G1317"/>
    </row>
    <row r="1318" spans="7:7">
      <c r="G1318"/>
    </row>
    <row r="1319" spans="7:7">
      <c r="G1319"/>
    </row>
    <row r="1320" spans="7:7">
      <c r="G1320"/>
    </row>
    <row r="1321" spans="7:7">
      <c r="G1321"/>
    </row>
    <row r="1322" spans="7:7">
      <c r="G1322"/>
    </row>
    <row r="1323" spans="7:7">
      <c r="G1323"/>
    </row>
    <row r="1324" spans="7:7">
      <c r="G1324"/>
    </row>
    <row r="1325" spans="7:7">
      <c r="G1325"/>
    </row>
    <row r="1326" spans="7:7">
      <c r="G1326"/>
    </row>
    <row r="1327" spans="7:7">
      <c r="G1327"/>
    </row>
    <row r="1328" spans="7:7">
      <c r="G1328"/>
    </row>
    <row r="1329" spans="7:7">
      <c r="G1329"/>
    </row>
    <row r="1330" spans="7:7">
      <c r="G1330"/>
    </row>
    <row r="1331" spans="7:7">
      <c r="G1331"/>
    </row>
    <row r="1332" spans="7:7">
      <c r="G1332"/>
    </row>
    <row r="1333" spans="7:7">
      <c r="G1333"/>
    </row>
    <row r="1334" spans="7:7">
      <c r="G1334"/>
    </row>
    <row r="1335" spans="7:7">
      <c r="G1335"/>
    </row>
    <row r="1336" spans="7:7">
      <c r="G1336"/>
    </row>
    <row r="1337" spans="7:7">
      <c r="G1337"/>
    </row>
    <row r="1338" spans="7:7">
      <c r="G1338"/>
    </row>
    <row r="1339" spans="7:7">
      <c r="G1339"/>
    </row>
    <row r="1340" spans="7:7">
      <c r="G1340"/>
    </row>
    <row r="1341" spans="7:7">
      <c r="G1341"/>
    </row>
    <row r="1342" spans="7:7">
      <c r="G1342"/>
    </row>
    <row r="1343" spans="7:7">
      <c r="G1343"/>
    </row>
    <row r="1344" spans="7:7">
      <c r="G1344"/>
    </row>
    <row r="1345" spans="7:7">
      <c r="G1345"/>
    </row>
    <row r="1346" spans="7:7">
      <c r="G1346"/>
    </row>
    <row r="1347" spans="7:7">
      <c r="G1347"/>
    </row>
    <row r="1348" spans="7:7">
      <c r="G1348"/>
    </row>
    <row r="1349" spans="7:7">
      <c r="G1349"/>
    </row>
    <row r="1350" spans="7:7">
      <c r="G1350"/>
    </row>
    <row r="1351" spans="7:7">
      <c r="G1351"/>
    </row>
    <row r="1352" spans="7:7">
      <c r="G1352"/>
    </row>
    <row r="1353" spans="7:7">
      <c r="G1353"/>
    </row>
    <row r="1354" spans="7:7">
      <c r="G1354"/>
    </row>
    <row r="1355" spans="7:7">
      <c r="G1355"/>
    </row>
    <row r="1356" spans="7:7">
      <c r="G1356"/>
    </row>
    <row r="1357" spans="7:7">
      <c r="G1357"/>
    </row>
    <row r="1358" spans="7:7">
      <c r="G1358"/>
    </row>
    <row r="1359" spans="7:7">
      <c r="G1359"/>
    </row>
    <row r="1360" spans="7:7">
      <c r="G1360"/>
    </row>
    <row r="1361" spans="7:7">
      <c r="G1361"/>
    </row>
    <row r="1362" spans="7:7">
      <c r="G1362"/>
    </row>
    <row r="1363" spans="7:7">
      <c r="G1363"/>
    </row>
    <row r="1364" spans="7:7">
      <c r="G1364"/>
    </row>
    <row r="1365" spans="7:7">
      <c r="G1365"/>
    </row>
    <row r="1366" spans="7:7">
      <c r="G1366"/>
    </row>
    <row r="1367" spans="7:7">
      <c r="G1367"/>
    </row>
    <row r="1368" spans="7:7">
      <c r="G1368"/>
    </row>
    <row r="1369" spans="7:7">
      <c r="G1369"/>
    </row>
    <row r="1370" spans="7:7">
      <c r="G1370"/>
    </row>
    <row r="1371" spans="7:7">
      <c r="G1371"/>
    </row>
    <row r="1372" spans="7:7">
      <c r="G1372"/>
    </row>
    <row r="1373" spans="7:7">
      <c r="G1373"/>
    </row>
    <row r="1374" spans="7:7">
      <c r="G1374"/>
    </row>
    <row r="1375" spans="7:7">
      <c r="G1375"/>
    </row>
    <row r="1376" spans="7:7">
      <c r="G1376"/>
    </row>
    <row r="1377" spans="7:7">
      <c r="G1377"/>
    </row>
    <row r="1378" spans="7:7">
      <c r="G1378"/>
    </row>
    <row r="1379" spans="7:7">
      <c r="G1379"/>
    </row>
    <row r="1380" spans="7:7">
      <c r="G1380"/>
    </row>
    <row r="1381" spans="7:7">
      <c r="G1381"/>
    </row>
    <row r="1382" spans="7:7">
      <c r="G1382"/>
    </row>
    <row r="1383" spans="7:7">
      <c r="G1383"/>
    </row>
    <row r="1384" spans="7:7">
      <c r="G1384"/>
    </row>
    <row r="1385" spans="7:7">
      <c r="G1385"/>
    </row>
    <row r="1386" spans="7:7">
      <c r="G1386"/>
    </row>
    <row r="1387" spans="7:7">
      <c r="G1387"/>
    </row>
    <row r="1388" spans="7:7">
      <c r="G1388"/>
    </row>
    <row r="1389" spans="7:7">
      <c r="G1389"/>
    </row>
    <row r="1390" spans="7:7">
      <c r="G1390"/>
    </row>
    <row r="1391" spans="7:7">
      <c r="G1391"/>
    </row>
    <row r="1392" spans="7:7">
      <c r="G1392"/>
    </row>
    <row r="1393" spans="7:7">
      <c r="G1393"/>
    </row>
    <row r="1394" spans="7:7">
      <c r="G1394"/>
    </row>
    <row r="1395" spans="7:7">
      <c r="G1395"/>
    </row>
    <row r="1396" spans="7:7">
      <c r="G1396"/>
    </row>
    <row r="1397" spans="7:7">
      <c r="G1397"/>
    </row>
    <row r="1398" spans="7:7">
      <c r="G1398"/>
    </row>
    <row r="1399" spans="7:7">
      <c r="G1399"/>
    </row>
    <row r="1400" spans="7:7">
      <c r="G1400"/>
    </row>
    <row r="1401" spans="7:7">
      <c r="G1401"/>
    </row>
    <row r="1402" spans="7:7">
      <c r="G1402"/>
    </row>
    <row r="1403" spans="7:7">
      <c r="G1403"/>
    </row>
    <row r="1404" spans="7:7">
      <c r="G1404"/>
    </row>
    <row r="1405" spans="7:7">
      <c r="G1405"/>
    </row>
    <row r="1406" spans="7:7">
      <c r="G1406"/>
    </row>
    <row r="1407" spans="7:7">
      <c r="G1407"/>
    </row>
    <row r="1408" spans="7:7">
      <c r="G1408"/>
    </row>
    <row r="1409" spans="7:7">
      <c r="G1409"/>
    </row>
    <row r="1410" spans="7:7">
      <c r="G1410"/>
    </row>
    <row r="1411" spans="7:7">
      <c r="G1411"/>
    </row>
    <row r="1412" spans="7:7">
      <c r="G1412"/>
    </row>
    <row r="1413" spans="7:7">
      <c r="G1413"/>
    </row>
    <row r="1414" spans="7:7">
      <c r="G1414"/>
    </row>
    <row r="1415" spans="7:7">
      <c r="G1415"/>
    </row>
    <row r="1416" spans="7:7">
      <c r="G1416"/>
    </row>
    <row r="1417" spans="7:7">
      <c r="G1417"/>
    </row>
    <row r="1418" spans="7:7">
      <c r="G1418"/>
    </row>
    <row r="1419" spans="7:7">
      <c r="G1419"/>
    </row>
    <row r="1420" spans="7:7">
      <c r="G1420"/>
    </row>
    <row r="1421" spans="7:7">
      <c r="G1421"/>
    </row>
    <row r="1422" spans="7:7">
      <c r="G1422"/>
    </row>
    <row r="1423" spans="7:7">
      <c r="G1423"/>
    </row>
    <row r="1424" spans="7:7">
      <c r="G1424"/>
    </row>
    <row r="1425" spans="7:7">
      <c r="G1425"/>
    </row>
    <row r="1426" spans="7:7">
      <c r="G1426"/>
    </row>
    <row r="1427" spans="7:7">
      <c r="G1427"/>
    </row>
    <row r="1428" spans="7:7">
      <c r="G1428"/>
    </row>
    <row r="1429" spans="7:7">
      <c r="G1429"/>
    </row>
    <row r="1430" spans="7:7">
      <c r="G1430"/>
    </row>
    <row r="1431" spans="7:7">
      <c r="G1431"/>
    </row>
    <row r="1432" spans="7:7">
      <c r="G1432"/>
    </row>
    <row r="1433" spans="7:7">
      <c r="G1433"/>
    </row>
    <row r="1434" spans="7:7">
      <c r="G1434"/>
    </row>
    <row r="1435" spans="7:7">
      <c r="G1435"/>
    </row>
    <row r="1436" spans="7:7">
      <c r="G1436"/>
    </row>
    <row r="1437" spans="7:7">
      <c r="G1437"/>
    </row>
    <row r="1438" spans="7:7">
      <c r="G1438"/>
    </row>
    <row r="1439" spans="7:7">
      <c r="G1439"/>
    </row>
    <row r="1440" spans="7:7">
      <c r="G1440"/>
    </row>
    <row r="1441" spans="7:7">
      <c r="G1441"/>
    </row>
    <row r="1442" spans="7:7">
      <c r="G1442"/>
    </row>
    <row r="1443" spans="7:7">
      <c r="G1443"/>
    </row>
    <row r="1444" spans="7:7">
      <c r="G1444"/>
    </row>
    <row r="1445" spans="7:7">
      <c r="G1445"/>
    </row>
    <row r="1446" spans="7:7">
      <c r="G1446"/>
    </row>
    <row r="1447" spans="7:7">
      <c r="G1447"/>
    </row>
    <row r="1448" spans="7:7">
      <c r="G1448"/>
    </row>
    <row r="1449" spans="7:7">
      <c r="G1449"/>
    </row>
    <row r="1450" spans="7:7">
      <c r="G1450"/>
    </row>
    <row r="1451" spans="7:7">
      <c r="G1451"/>
    </row>
    <row r="1452" spans="7:7">
      <c r="G1452"/>
    </row>
    <row r="1453" spans="7:7">
      <c r="G1453"/>
    </row>
    <row r="1454" spans="7:7">
      <c r="G1454"/>
    </row>
    <row r="1455" spans="7:7">
      <c r="G1455"/>
    </row>
    <row r="1456" spans="7:7">
      <c r="G1456"/>
    </row>
    <row r="1457" spans="7:7">
      <c r="G1457"/>
    </row>
    <row r="1458" spans="7:7">
      <c r="G1458"/>
    </row>
    <row r="1459" spans="7:7">
      <c r="G1459"/>
    </row>
    <row r="1460" spans="7:7">
      <c r="G1460"/>
    </row>
    <row r="1461" spans="7:7">
      <c r="G1461"/>
    </row>
    <row r="1462" spans="7:7">
      <c r="G1462"/>
    </row>
    <row r="1463" spans="7:7">
      <c r="G1463"/>
    </row>
    <row r="1464" spans="7:7">
      <c r="G1464"/>
    </row>
    <row r="1465" spans="7:7">
      <c r="G1465"/>
    </row>
    <row r="1466" spans="7:7">
      <c r="G1466"/>
    </row>
    <row r="1467" spans="7:7">
      <c r="G1467"/>
    </row>
    <row r="1468" spans="7:7">
      <c r="G1468"/>
    </row>
    <row r="1469" spans="7:7">
      <c r="G1469"/>
    </row>
    <row r="1470" spans="7:7">
      <c r="G1470"/>
    </row>
    <row r="1471" spans="7:7">
      <c r="G1471"/>
    </row>
    <row r="1472" spans="7:7">
      <c r="G1472"/>
    </row>
    <row r="1473" spans="7:7">
      <c r="G1473"/>
    </row>
    <row r="1474" spans="7:7">
      <c r="G1474"/>
    </row>
    <row r="1475" spans="7:7">
      <c r="G1475"/>
    </row>
    <row r="1476" spans="7:7">
      <c r="G1476"/>
    </row>
    <row r="1477" spans="7:7">
      <c r="G1477"/>
    </row>
    <row r="1478" spans="7:7">
      <c r="G1478"/>
    </row>
    <row r="1479" spans="7:7">
      <c r="G1479"/>
    </row>
    <row r="1480" spans="7:7">
      <c r="G1480"/>
    </row>
    <row r="1481" spans="7:7">
      <c r="G1481"/>
    </row>
    <row r="1482" spans="7:7">
      <c r="G1482"/>
    </row>
    <row r="1483" spans="7:7">
      <c r="G1483"/>
    </row>
    <row r="1484" spans="7:7">
      <c r="G1484"/>
    </row>
    <row r="1485" spans="7:7">
      <c r="G1485"/>
    </row>
    <row r="1486" spans="7:7">
      <c r="G1486"/>
    </row>
    <row r="1487" spans="7:7">
      <c r="G1487"/>
    </row>
    <row r="1488" spans="7:7">
      <c r="G1488"/>
    </row>
    <row r="1489" spans="7:7">
      <c r="G1489"/>
    </row>
    <row r="1490" spans="7:7">
      <c r="G1490"/>
    </row>
    <row r="1491" spans="7:7">
      <c r="G1491"/>
    </row>
    <row r="1492" spans="7:7">
      <c r="G1492"/>
    </row>
    <row r="1493" spans="7:7">
      <c r="G1493"/>
    </row>
    <row r="1494" spans="7:7">
      <c r="G1494"/>
    </row>
    <row r="1495" spans="7:7">
      <c r="G1495"/>
    </row>
    <row r="1496" spans="7:7">
      <c r="G1496"/>
    </row>
    <row r="1497" spans="7:7">
      <c r="G1497"/>
    </row>
    <row r="1498" spans="7:7">
      <c r="G1498"/>
    </row>
    <row r="1499" spans="7:7">
      <c r="G1499"/>
    </row>
    <row r="1500" spans="7:7">
      <c r="G1500"/>
    </row>
    <row r="1501" spans="7:7">
      <c r="G1501"/>
    </row>
    <row r="1502" spans="7:7">
      <c r="G1502"/>
    </row>
    <row r="1503" spans="7:7">
      <c r="G1503"/>
    </row>
    <row r="1504" spans="7:7">
      <c r="G1504"/>
    </row>
    <row r="1505" spans="7:7">
      <c r="G1505"/>
    </row>
    <row r="1506" spans="7:7">
      <c r="G1506"/>
    </row>
    <row r="1507" spans="7:7">
      <c r="G1507"/>
    </row>
    <row r="1508" spans="7:7">
      <c r="G1508"/>
    </row>
    <row r="1509" spans="7:7">
      <c r="G1509"/>
    </row>
    <row r="1510" spans="7:7">
      <c r="G1510"/>
    </row>
    <row r="1511" spans="7:7">
      <c r="G1511"/>
    </row>
    <row r="1512" spans="7:7">
      <c r="G1512"/>
    </row>
    <row r="1513" spans="7:7">
      <c r="G1513"/>
    </row>
    <row r="1514" spans="7:7">
      <c r="G1514"/>
    </row>
    <row r="1515" spans="7:7">
      <c r="G1515"/>
    </row>
    <row r="1516" spans="7:7">
      <c r="G1516"/>
    </row>
    <row r="1517" spans="7:7">
      <c r="G1517"/>
    </row>
    <row r="1518" spans="7:7">
      <c r="G1518"/>
    </row>
    <row r="1519" spans="7:7">
      <c r="G1519"/>
    </row>
    <row r="1520" spans="7:7">
      <c r="G1520"/>
    </row>
    <row r="1521" spans="7:7">
      <c r="G1521"/>
    </row>
    <row r="1522" spans="7:7">
      <c r="G1522"/>
    </row>
    <row r="1523" spans="7:7">
      <c r="G1523"/>
    </row>
    <row r="1524" spans="7:7">
      <c r="G1524"/>
    </row>
    <row r="1525" spans="7:7">
      <c r="G1525"/>
    </row>
    <row r="1526" spans="7:7">
      <c r="G1526"/>
    </row>
    <row r="1527" spans="7:7">
      <c r="G1527"/>
    </row>
    <row r="1528" spans="7:7">
      <c r="G1528"/>
    </row>
    <row r="1529" spans="7:7">
      <c r="G1529"/>
    </row>
    <row r="1530" spans="7:7">
      <c r="G1530"/>
    </row>
    <row r="1531" spans="7:7">
      <c r="G1531"/>
    </row>
    <row r="1532" spans="7:7">
      <c r="G1532"/>
    </row>
    <row r="1533" spans="7:7">
      <c r="G1533"/>
    </row>
    <row r="1534" spans="7:7">
      <c r="G1534"/>
    </row>
    <row r="1535" spans="7:7">
      <c r="G1535"/>
    </row>
    <row r="1536" spans="7:7">
      <c r="G1536"/>
    </row>
    <row r="1537" spans="7:7">
      <c r="G1537"/>
    </row>
    <row r="1538" spans="7:7">
      <c r="G1538"/>
    </row>
    <row r="1539" spans="7:7">
      <c r="G1539"/>
    </row>
    <row r="1540" spans="7:7">
      <c r="G1540"/>
    </row>
    <row r="1541" spans="7:7">
      <c r="G1541"/>
    </row>
    <row r="1542" spans="7:7">
      <c r="G1542"/>
    </row>
    <row r="1543" spans="7:7">
      <c r="G1543"/>
    </row>
    <row r="1544" spans="7:7">
      <c r="G1544"/>
    </row>
    <row r="1545" spans="7:7">
      <c r="G1545"/>
    </row>
    <row r="1546" spans="7:7">
      <c r="G1546"/>
    </row>
    <row r="1547" spans="7:7">
      <c r="G1547"/>
    </row>
    <row r="1548" spans="7:7">
      <c r="G1548"/>
    </row>
    <row r="1549" spans="7:7">
      <c r="G1549"/>
    </row>
    <row r="1550" spans="7:7">
      <c r="G1550"/>
    </row>
    <row r="1551" spans="7:7">
      <c r="G1551"/>
    </row>
    <row r="1552" spans="7:7">
      <c r="G1552"/>
    </row>
    <row r="1553" spans="7:7">
      <c r="G1553"/>
    </row>
    <row r="1554" spans="7:7">
      <c r="G1554"/>
    </row>
    <row r="1555" spans="7:7">
      <c r="G1555"/>
    </row>
    <row r="1556" spans="7:7">
      <c r="G1556"/>
    </row>
    <row r="1557" spans="7:7">
      <c r="G1557"/>
    </row>
    <row r="1558" spans="7:7">
      <c r="G1558"/>
    </row>
    <row r="1559" spans="7:7">
      <c r="G1559"/>
    </row>
    <row r="1560" spans="7:7">
      <c r="G1560"/>
    </row>
    <row r="1561" spans="7:7">
      <c r="G1561"/>
    </row>
    <row r="1562" spans="7:7">
      <c r="G1562"/>
    </row>
    <row r="1563" spans="7:7">
      <c r="G1563"/>
    </row>
    <row r="1564" spans="7:7">
      <c r="G1564"/>
    </row>
    <row r="1565" spans="7:7">
      <c r="G1565"/>
    </row>
    <row r="1566" spans="7:7">
      <c r="G1566"/>
    </row>
    <row r="1567" spans="7:7">
      <c r="G1567"/>
    </row>
    <row r="1568" spans="7:7">
      <c r="G1568"/>
    </row>
    <row r="1569" spans="7:7">
      <c r="G1569"/>
    </row>
    <row r="1570" spans="7:7">
      <c r="G1570"/>
    </row>
    <row r="1571" spans="7:7">
      <c r="G1571"/>
    </row>
    <row r="1572" spans="7:7">
      <c r="G1572"/>
    </row>
    <row r="1573" spans="7:7">
      <c r="G1573"/>
    </row>
    <row r="1574" spans="7:7">
      <c r="G1574"/>
    </row>
    <row r="1575" spans="7:7">
      <c r="G1575"/>
    </row>
    <row r="1576" spans="7:7">
      <c r="G1576"/>
    </row>
    <row r="1577" spans="7:7">
      <c r="G1577"/>
    </row>
    <row r="1578" spans="7:7">
      <c r="G1578"/>
    </row>
    <row r="1579" spans="7:7">
      <c r="G1579"/>
    </row>
    <row r="1580" spans="7:7">
      <c r="G1580"/>
    </row>
    <row r="1581" spans="7:7">
      <c r="G1581"/>
    </row>
    <row r="1582" spans="7:7">
      <c r="G1582"/>
    </row>
    <row r="1583" spans="7:7">
      <c r="G1583"/>
    </row>
    <row r="1584" spans="7:7">
      <c r="G1584"/>
    </row>
    <row r="1585" spans="7:7">
      <c r="G1585"/>
    </row>
    <row r="1586" spans="7:7">
      <c r="G1586"/>
    </row>
    <row r="1587" spans="7:7">
      <c r="G1587"/>
    </row>
    <row r="1588" spans="7:7">
      <c r="G1588"/>
    </row>
    <row r="1589" spans="7:7">
      <c r="G1589"/>
    </row>
    <row r="1590" spans="7:7">
      <c r="G1590"/>
    </row>
    <row r="1591" spans="7:7">
      <c r="G1591"/>
    </row>
    <row r="1592" spans="7:7">
      <c r="G1592"/>
    </row>
    <row r="1593" spans="7:7">
      <c r="G1593"/>
    </row>
    <row r="1594" spans="7:7">
      <c r="G1594"/>
    </row>
    <row r="1595" spans="7:7">
      <c r="G1595"/>
    </row>
    <row r="1596" spans="7:7">
      <c r="G1596"/>
    </row>
    <row r="1597" spans="7:7">
      <c r="G1597"/>
    </row>
    <row r="1598" spans="7:7">
      <c r="G1598"/>
    </row>
    <row r="1599" spans="7:7">
      <c r="G1599"/>
    </row>
    <row r="1600" spans="7:7">
      <c r="G1600"/>
    </row>
    <row r="1601" spans="7:7">
      <c r="G1601"/>
    </row>
    <row r="1602" spans="7:7">
      <c r="G1602"/>
    </row>
    <row r="1603" spans="7:7">
      <c r="G1603"/>
    </row>
    <row r="1604" spans="7:7">
      <c r="G1604"/>
    </row>
    <row r="1605" spans="7:7">
      <c r="G1605"/>
    </row>
    <row r="1606" spans="7:7">
      <c r="G1606"/>
    </row>
    <row r="1607" spans="7:7">
      <c r="G1607"/>
    </row>
    <row r="1608" spans="7:7">
      <c r="G1608"/>
    </row>
    <row r="1609" spans="7:7">
      <c r="G1609"/>
    </row>
    <row r="1610" spans="7:7">
      <c r="G1610"/>
    </row>
    <row r="1611" spans="7:7">
      <c r="G1611"/>
    </row>
    <row r="1612" spans="7:7">
      <c r="G1612"/>
    </row>
    <row r="1613" spans="7:7">
      <c r="G1613"/>
    </row>
    <row r="1614" spans="7:7">
      <c r="G1614"/>
    </row>
    <row r="1615" spans="7:7">
      <c r="G1615"/>
    </row>
    <row r="1616" spans="7:7">
      <c r="G1616"/>
    </row>
    <row r="1617" spans="7:7">
      <c r="G1617"/>
    </row>
    <row r="1618" spans="7:7">
      <c r="G1618"/>
    </row>
    <row r="1619" spans="7:7">
      <c r="G1619"/>
    </row>
    <row r="1620" spans="7:7">
      <c r="G1620"/>
    </row>
    <row r="1621" spans="7:7">
      <c r="G1621"/>
    </row>
    <row r="1622" spans="7:7">
      <c r="G1622"/>
    </row>
    <row r="1623" spans="7:7">
      <c r="G1623"/>
    </row>
    <row r="1624" spans="7:7">
      <c r="G1624"/>
    </row>
    <row r="1625" spans="7:7">
      <c r="G1625"/>
    </row>
    <row r="1626" spans="7:7">
      <c r="G1626"/>
    </row>
    <row r="1627" spans="7:7">
      <c r="G1627"/>
    </row>
    <row r="1628" spans="7:7">
      <c r="G1628"/>
    </row>
    <row r="1629" spans="7:7">
      <c r="G1629"/>
    </row>
    <row r="1630" spans="7:7">
      <c r="G1630"/>
    </row>
    <row r="1631" spans="7:7">
      <c r="G1631"/>
    </row>
    <row r="1632" spans="7:7">
      <c r="G1632"/>
    </row>
    <row r="1633" spans="7:7">
      <c r="G1633"/>
    </row>
    <row r="1634" spans="7:7">
      <c r="G1634"/>
    </row>
    <row r="1635" spans="7:7">
      <c r="G1635"/>
    </row>
    <row r="1636" spans="7:7">
      <c r="G1636"/>
    </row>
    <row r="1637" spans="7:7">
      <c r="G1637"/>
    </row>
    <row r="1638" spans="7:7">
      <c r="G1638"/>
    </row>
    <row r="1639" spans="7:7">
      <c r="G1639"/>
    </row>
    <row r="1640" spans="7:7">
      <c r="G1640"/>
    </row>
    <row r="1641" spans="7:7">
      <c r="G1641"/>
    </row>
    <row r="1642" spans="7:7">
      <c r="G1642"/>
    </row>
    <row r="1643" spans="7:7">
      <c r="G1643"/>
    </row>
    <row r="1644" spans="7:7">
      <c r="G1644"/>
    </row>
    <row r="1645" spans="7:7">
      <c r="G1645"/>
    </row>
    <row r="1646" spans="7:7">
      <c r="G1646"/>
    </row>
    <row r="1647" spans="7:7">
      <c r="G1647"/>
    </row>
    <row r="1648" spans="7:7">
      <c r="G1648"/>
    </row>
    <row r="1649" spans="7:7">
      <c r="G1649"/>
    </row>
    <row r="1650" spans="7:7">
      <c r="G1650"/>
    </row>
    <row r="1651" spans="7:7">
      <c r="G1651"/>
    </row>
    <row r="1652" spans="7:7">
      <c r="G1652"/>
    </row>
    <row r="1653" spans="7:7">
      <c r="G1653"/>
    </row>
    <row r="1654" spans="7:7">
      <c r="G1654"/>
    </row>
    <row r="1655" spans="7:7">
      <c r="G1655"/>
    </row>
    <row r="1656" spans="7:7">
      <c r="G1656"/>
    </row>
    <row r="1657" spans="7:7">
      <c r="G1657"/>
    </row>
    <row r="1658" spans="7:7">
      <c r="G1658"/>
    </row>
    <row r="1659" spans="7:7">
      <c r="G1659"/>
    </row>
    <row r="1660" spans="7:7">
      <c r="G1660"/>
    </row>
    <row r="1661" spans="7:7">
      <c r="G1661"/>
    </row>
    <row r="1662" spans="7:7">
      <c r="G1662"/>
    </row>
    <row r="1663" spans="7:7">
      <c r="G1663"/>
    </row>
    <row r="1664" spans="7:7">
      <c r="G1664"/>
    </row>
    <row r="1665" spans="7:7">
      <c r="G1665"/>
    </row>
    <row r="1666" spans="7:7">
      <c r="G1666"/>
    </row>
    <row r="1667" spans="7:7">
      <c r="G1667"/>
    </row>
    <row r="1668" spans="7:7">
      <c r="G1668"/>
    </row>
    <row r="1669" spans="7:7">
      <c r="G1669"/>
    </row>
    <row r="1670" spans="7:7">
      <c r="G1670"/>
    </row>
    <row r="1671" spans="7:7">
      <c r="G1671"/>
    </row>
    <row r="1672" spans="7:7">
      <c r="G1672"/>
    </row>
    <row r="1673" spans="7:7">
      <c r="G1673"/>
    </row>
    <row r="1674" spans="7:7">
      <c r="G1674"/>
    </row>
    <row r="1675" spans="7:7">
      <c r="G1675"/>
    </row>
    <row r="1676" spans="7:7">
      <c r="G1676"/>
    </row>
    <row r="1677" spans="7:7">
      <c r="G1677"/>
    </row>
    <row r="1678" spans="7:7">
      <c r="G1678"/>
    </row>
    <row r="1679" spans="7:7">
      <c r="G1679"/>
    </row>
    <row r="1680" spans="7:7">
      <c r="G1680"/>
    </row>
    <row r="1681" spans="7:7">
      <c r="G1681"/>
    </row>
    <row r="1682" spans="7:7">
      <c r="G1682"/>
    </row>
    <row r="1683" spans="7:7">
      <c r="G1683"/>
    </row>
    <row r="1684" spans="7:7">
      <c r="G1684"/>
    </row>
    <row r="1685" spans="7:7">
      <c r="G1685"/>
    </row>
    <row r="1686" spans="7:7">
      <c r="G1686"/>
    </row>
    <row r="1687" spans="7:7">
      <c r="G1687"/>
    </row>
    <row r="1688" spans="7:7">
      <c r="G1688"/>
    </row>
    <row r="1689" spans="7:7">
      <c r="G1689"/>
    </row>
    <row r="1690" spans="7:7">
      <c r="G1690"/>
    </row>
    <row r="1691" spans="7:7">
      <c r="G1691"/>
    </row>
    <row r="1692" spans="7:7">
      <c r="G1692"/>
    </row>
    <row r="1693" spans="7:7">
      <c r="G1693"/>
    </row>
    <row r="1694" spans="7:7">
      <c r="G1694"/>
    </row>
    <row r="1695" spans="7:7">
      <c r="G1695"/>
    </row>
    <row r="1696" spans="7:7">
      <c r="G1696"/>
    </row>
    <row r="1697" spans="7:7">
      <c r="G1697"/>
    </row>
    <row r="1698" spans="7:7">
      <c r="G1698"/>
    </row>
    <row r="1699" spans="7:7">
      <c r="G1699"/>
    </row>
    <row r="1700" spans="7:7">
      <c r="G1700"/>
    </row>
    <row r="1701" spans="7:7">
      <c r="G1701"/>
    </row>
    <row r="1702" spans="7:7">
      <c r="G1702"/>
    </row>
    <row r="1703" spans="7:7">
      <c r="G1703"/>
    </row>
    <row r="1704" spans="7:7">
      <c r="G1704"/>
    </row>
    <row r="1705" spans="7:7">
      <c r="G1705"/>
    </row>
    <row r="1706" spans="7:7">
      <c r="G1706"/>
    </row>
    <row r="1707" spans="7:7">
      <c r="G1707"/>
    </row>
    <row r="1708" spans="7:7">
      <c r="G1708"/>
    </row>
    <row r="1709" spans="7:7">
      <c r="G1709"/>
    </row>
    <row r="1710" spans="7:7">
      <c r="G1710"/>
    </row>
    <row r="1711" spans="7:7">
      <c r="G1711"/>
    </row>
    <row r="1712" spans="7:7">
      <c r="G1712"/>
    </row>
    <row r="1713" spans="7:7">
      <c r="G1713"/>
    </row>
    <row r="1714" spans="7:7">
      <c r="G1714"/>
    </row>
    <row r="1715" spans="7:7">
      <c r="G1715"/>
    </row>
    <row r="1716" spans="7:7">
      <c r="G1716"/>
    </row>
    <row r="1717" spans="7:7">
      <c r="G1717"/>
    </row>
    <row r="1718" spans="7:7">
      <c r="G1718"/>
    </row>
    <row r="1719" spans="7:7">
      <c r="G1719"/>
    </row>
    <row r="1720" spans="7:7">
      <c r="G1720"/>
    </row>
    <row r="1721" spans="7:7">
      <c r="G1721"/>
    </row>
    <row r="1722" spans="7:7">
      <c r="G1722"/>
    </row>
    <row r="1723" spans="7:7">
      <c r="G1723"/>
    </row>
    <row r="1724" spans="7:7">
      <c r="G1724"/>
    </row>
    <row r="1725" spans="7:7">
      <c r="G1725"/>
    </row>
    <row r="1726" spans="7:7">
      <c r="G1726"/>
    </row>
    <row r="1727" spans="7:7">
      <c r="G1727"/>
    </row>
    <row r="1728" spans="7:7">
      <c r="G1728"/>
    </row>
    <row r="1729" spans="7:7">
      <c r="G1729"/>
    </row>
    <row r="1730" spans="7:7">
      <c r="G1730"/>
    </row>
    <row r="1731" spans="7:7">
      <c r="G1731"/>
    </row>
    <row r="1732" spans="7:7">
      <c r="G1732"/>
    </row>
    <row r="1733" spans="7:7">
      <c r="G1733"/>
    </row>
    <row r="1734" spans="7:7">
      <c r="G1734"/>
    </row>
    <row r="1735" spans="7:7">
      <c r="G1735"/>
    </row>
    <row r="1736" spans="7:7">
      <c r="G1736"/>
    </row>
    <row r="1737" spans="7:7">
      <c r="G1737"/>
    </row>
    <row r="1738" spans="7:7">
      <c r="G1738"/>
    </row>
    <row r="1739" spans="7:7">
      <c r="G1739"/>
    </row>
    <row r="1740" spans="7:7">
      <c r="G1740"/>
    </row>
    <row r="1741" spans="7:7">
      <c r="G1741"/>
    </row>
    <row r="1742" spans="7:7">
      <c r="G1742"/>
    </row>
    <row r="1743" spans="7:7">
      <c r="G1743"/>
    </row>
    <row r="1744" spans="7:7">
      <c r="G1744"/>
    </row>
    <row r="1745" spans="7:7">
      <c r="G1745"/>
    </row>
    <row r="1746" spans="7:7">
      <c r="G1746"/>
    </row>
    <row r="1747" spans="7:7">
      <c r="G1747"/>
    </row>
    <row r="1748" spans="7:7">
      <c r="G1748"/>
    </row>
    <row r="1749" spans="7:7">
      <c r="G1749"/>
    </row>
    <row r="1750" spans="7:7">
      <c r="G1750"/>
    </row>
    <row r="1751" spans="7:7">
      <c r="G1751"/>
    </row>
    <row r="1752" spans="7:7">
      <c r="G1752"/>
    </row>
    <row r="1753" spans="7:7">
      <c r="G1753"/>
    </row>
    <row r="1754" spans="7:7">
      <c r="G1754"/>
    </row>
    <row r="1755" spans="7:7">
      <c r="G1755"/>
    </row>
    <row r="1756" spans="7:7">
      <c r="G1756"/>
    </row>
    <row r="1757" spans="7:7">
      <c r="G1757"/>
    </row>
    <row r="1758" spans="7:7">
      <c r="G1758"/>
    </row>
    <row r="1759" spans="7:7">
      <c r="G1759"/>
    </row>
    <row r="1760" spans="7:7">
      <c r="G1760"/>
    </row>
    <row r="1761" spans="7:7">
      <c r="G1761"/>
    </row>
    <row r="1762" spans="7:7">
      <c r="G1762"/>
    </row>
    <row r="1763" spans="7:7">
      <c r="G1763"/>
    </row>
    <row r="1764" spans="7:7">
      <c r="G1764"/>
    </row>
    <row r="1765" spans="7:7">
      <c r="G1765"/>
    </row>
    <row r="1766" spans="7:7">
      <c r="G1766"/>
    </row>
    <row r="1767" spans="7:7">
      <c r="G1767"/>
    </row>
    <row r="1768" spans="7:7">
      <c r="G1768"/>
    </row>
    <row r="1769" spans="7:7">
      <c r="G1769"/>
    </row>
    <row r="1770" spans="7:7">
      <c r="G1770"/>
    </row>
    <row r="1771" spans="7:7">
      <c r="G1771"/>
    </row>
    <row r="1772" spans="7:7">
      <c r="G1772"/>
    </row>
    <row r="1773" spans="7:7">
      <c r="G1773"/>
    </row>
    <row r="1774" spans="7:7">
      <c r="G1774"/>
    </row>
    <row r="1775" spans="7:7">
      <c r="G1775"/>
    </row>
    <row r="1776" spans="7:7">
      <c r="G1776"/>
    </row>
    <row r="1777" spans="7:7">
      <c r="G1777"/>
    </row>
    <row r="1778" spans="7:7">
      <c r="G1778"/>
    </row>
    <row r="1779" spans="7:7">
      <c r="G1779"/>
    </row>
    <row r="1780" spans="7:7">
      <c r="G1780"/>
    </row>
    <row r="1781" spans="7:7">
      <c r="G1781"/>
    </row>
    <row r="1782" spans="7:7">
      <c r="G1782"/>
    </row>
    <row r="1783" spans="7:7">
      <c r="G1783"/>
    </row>
    <row r="1784" spans="7:7">
      <c r="G1784"/>
    </row>
    <row r="1785" spans="7:7">
      <c r="G1785"/>
    </row>
    <row r="1786" spans="7:7">
      <c r="G1786"/>
    </row>
    <row r="1787" spans="7:7">
      <c r="G1787"/>
    </row>
    <row r="1788" spans="7:7">
      <c r="G1788"/>
    </row>
    <row r="1789" spans="7:7">
      <c r="G1789"/>
    </row>
    <row r="1790" spans="7:7">
      <c r="G1790"/>
    </row>
    <row r="1791" spans="7:7">
      <c r="G1791"/>
    </row>
    <row r="1792" spans="7:7">
      <c r="G1792"/>
    </row>
    <row r="1793" spans="7:7">
      <c r="G1793"/>
    </row>
    <row r="1794" spans="7:7">
      <c r="G1794"/>
    </row>
    <row r="1795" spans="7:7">
      <c r="G1795"/>
    </row>
    <row r="1796" spans="7:7">
      <c r="G1796"/>
    </row>
    <row r="1797" spans="7:7">
      <c r="G1797"/>
    </row>
    <row r="1798" spans="7:7">
      <c r="G1798"/>
    </row>
    <row r="1799" spans="7:7">
      <c r="G1799"/>
    </row>
    <row r="1800" spans="7:7">
      <c r="G1800"/>
    </row>
    <row r="1801" spans="7:7">
      <c r="G1801"/>
    </row>
    <row r="1802" spans="7:7">
      <c r="G1802"/>
    </row>
    <row r="1803" spans="7:7">
      <c r="G1803"/>
    </row>
    <row r="1804" spans="7:7">
      <c r="G1804"/>
    </row>
    <row r="1805" spans="7:7">
      <c r="G1805"/>
    </row>
    <row r="1806" spans="7:7">
      <c r="G1806"/>
    </row>
    <row r="1807" spans="7:7">
      <c r="G1807"/>
    </row>
    <row r="1808" spans="7:7">
      <c r="G1808"/>
    </row>
    <row r="1809" spans="7:7">
      <c r="G1809"/>
    </row>
    <row r="1810" spans="7:7">
      <c r="G1810"/>
    </row>
    <row r="1811" spans="7:7">
      <c r="G1811"/>
    </row>
    <row r="1812" spans="7:7">
      <c r="G1812"/>
    </row>
    <row r="1813" spans="7:7">
      <c r="G1813"/>
    </row>
    <row r="1814" spans="7:7">
      <c r="G1814"/>
    </row>
    <row r="1815" spans="7:7">
      <c r="G1815"/>
    </row>
    <row r="1816" spans="7:7">
      <c r="G1816"/>
    </row>
    <row r="1817" spans="7:7">
      <c r="G1817"/>
    </row>
    <row r="1818" spans="7:7">
      <c r="G1818"/>
    </row>
    <row r="1819" spans="7:7">
      <c r="G1819"/>
    </row>
    <row r="1820" spans="7:7">
      <c r="G1820"/>
    </row>
    <row r="1821" spans="7:7">
      <c r="G1821"/>
    </row>
    <row r="1822" spans="7:7">
      <c r="G1822"/>
    </row>
    <row r="1823" spans="7:7">
      <c r="G1823"/>
    </row>
    <row r="1824" spans="7:7">
      <c r="G1824"/>
    </row>
    <row r="1825" spans="7:7">
      <c r="G1825"/>
    </row>
    <row r="1826" spans="7:7">
      <c r="G1826"/>
    </row>
    <row r="1827" spans="7:7">
      <c r="G1827"/>
    </row>
    <row r="1828" spans="7:7">
      <c r="G1828"/>
    </row>
    <row r="1829" spans="7:7">
      <c r="G1829"/>
    </row>
    <row r="1830" spans="7:7">
      <c r="G1830"/>
    </row>
    <row r="1831" spans="7:7">
      <c r="G1831"/>
    </row>
    <row r="1832" spans="7:7">
      <c r="G1832"/>
    </row>
    <row r="1833" spans="7:7">
      <c r="G1833"/>
    </row>
    <row r="1834" spans="7:7">
      <c r="G1834"/>
    </row>
    <row r="1835" spans="7:7">
      <c r="G1835"/>
    </row>
    <row r="1836" spans="7:7">
      <c r="G1836"/>
    </row>
    <row r="1837" spans="7:7">
      <c r="G1837"/>
    </row>
    <row r="1838" spans="7:7">
      <c r="G1838"/>
    </row>
    <row r="1839" spans="7:7">
      <c r="G1839"/>
    </row>
    <row r="1840" spans="7:7">
      <c r="G1840"/>
    </row>
    <row r="1841" spans="7:7">
      <c r="G1841"/>
    </row>
    <row r="1842" spans="7:7">
      <c r="G1842"/>
    </row>
    <row r="1843" spans="7:7">
      <c r="G1843"/>
    </row>
    <row r="1844" spans="7:7">
      <c r="G1844"/>
    </row>
    <row r="1845" spans="7:7">
      <c r="G1845"/>
    </row>
    <row r="1846" spans="7:7">
      <c r="G1846"/>
    </row>
    <row r="1847" spans="7:7">
      <c r="G1847"/>
    </row>
    <row r="1848" spans="7:7">
      <c r="G1848"/>
    </row>
    <row r="1849" spans="7:7">
      <c r="G1849"/>
    </row>
    <row r="1850" spans="7:7">
      <c r="G1850"/>
    </row>
    <row r="1851" spans="7:7">
      <c r="G1851"/>
    </row>
    <row r="1852" spans="7:7">
      <c r="G1852"/>
    </row>
    <row r="1853" spans="7:7">
      <c r="G1853"/>
    </row>
    <row r="1854" spans="7:7">
      <c r="G1854"/>
    </row>
    <row r="1855" spans="7:7">
      <c r="G1855"/>
    </row>
    <row r="1856" spans="7:7">
      <c r="G1856"/>
    </row>
    <row r="1857" spans="7:7">
      <c r="G1857"/>
    </row>
    <row r="1858" spans="7:7">
      <c r="G1858"/>
    </row>
    <row r="1859" spans="7:7">
      <c r="G1859"/>
    </row>
    <row r="1860" spans="7:7">
      <c r="G1860"/>
    </row>
    <row r="1861" spans="7:7">
      <c r="G1861"/>
    </row>
    <row r="1862" spans="7:7">
      <c r="G1862"/>
    </row>
    <row r="1863" spans="7:7">
      <c r="G1863"/>
    </row>
    <row r="1864" spans="7:7">
      <c r="G1864"/>
    </row>
    <row r="1865" spans="7:7">
      <c r="G1865"/>
    </row>
    <row r="1866" spans="7:7">
      <c r="G1866"/>
    </row>
    <row r="1867" spans="7:7">
      <c r="G1867"/>
    </row>
    <row r="1868" spans="7:7">
      <c r="G1868"/>
    </row>
    <row r="1869" spans="7:7">
      <c r="G1869"/>
    </row>
    <row r="1870" spans="7:7">
      <c r="G1870"/>
    </row>
    <row r="1871" spans="7:7">
      <c r="G1871"/>
    </row>
    <row r="1872" spans="7:7">
      <c r="G1872"/>
    </row>
    <row r="1873" spans="7:7">
      <c r="G1873"/>
    </row>
    <row r="1874" spans="7:7">
      <c r="G1874"/>
    </row>
    <row r="1875" spans="7:7">
      <c r="G1875"/>
    </row>
    <row r="1876" spans="7:7">
      <c r="G1876"/>
    </row>
    <row r="1877" spans="7:7">
      <c r="G1877"/>
    </row>
    <row r="1878" spans="7:7">
      <c r="G1878"/>
    </row>
    <row r="1879" spans="7:7">
      <c r="G1879"/>
    </row>
    <row r="1880" spans="7:7">
      <c r="G1880"/>
    </row>
    <row r="1881" spans="7:7">
      <c r="G1881"/>
    </row>
    <row r="1882" spans="7:7">
      <c r="G1882"/>
    </row>
    <row r="1883" spans="7:7">
      <c r="G1883"/>
    </row>
    <row r="1884" spans="7:7">
      <c r="G1884"/>
    </row>
    <row r="1885" spans="7:7">
      <c r="G1885"/>
    </row>
    <row r="1886" spans="7:7">
      <c r="G1886"/>
    </row>
    <row r="1887" spans="7:7">
      <c r="G1887"/>
    </row>
    <row r="1888" spans="7:7">
      <c r="G1888"/>
    </row>
    <row r="1889" spans="7:7">
      <c r="G1889"/>
    </row>
    <row r="1890" spans="7:7">
      <c r="G1890"/>
    </row>
    <row r="1891" spans="7:7">
      <c r="G1891"/>
    </row>
    <row r="1892" spans="7:7">
      <c r="G1892"/>
    </row>
    <row r="1893" spans="7:7">
      <c r="G1893"/>
    </row>
    <row r="1894" spans="7:7">
      <c r="G1894"/>
    </row>
    <row r="1895" spans="7:7">
      <c r="G1895"/>
    </row>
    <row r="1896" spans="7:7">
      <c r="G1896"/>
    </row>
    <row r="1897" spans="7:7">
      <c r="G1897"/>
    </row>
    <row r="1898" spans="7:7">
      <c r="G1898"/>
    </row>
    <row r="1899" spans="7:7">
      <c r="G1899"/>
    </row>
    <row r="1900" spans="7:7">
      <c r="G1900"/>
    </row>
    <row r="1901" spans="7:7">
      <c r="G1901"/>
    </row>
    <row r="1902" spans="7:7">
      <c r="G1902"/>
    </row>
    <row r="1903" spans="7:7">
      <c r="G1903"/>
    </row>
    <row r="1904" spans="7:7">
      <c r="G1904"/>
    </row>
    <row r="1905" spans="7:7">
      <c r="G1905"/>
    </row>
    <row r="1906" spans="7:7">
      <c r="G1906"/>
    </row>
    <row r="1907" spans="7:7">
      <c r="G1907"/>
    </row>
    <row r="1908" spans="7:7">
      <c r="G1908"/>
    </row>
    <row r="1909" spans="7:7">
      <c r="G1909"/>
    </row>
    <row r="1910" spans="7:7">
      <c r="G1910"/>
    </row>
    <row r="1911" spans="7:7">
      <c r="G1911"/>
    </row>
    <row r="1912" spans="7:7">
      <c r="G1912"/>
    </row>
    <row r="1913" spans="7:7">
      <c r="G1913"/>
    </row>
    <row r="1914" spans="7:7">
      <c r="G1914"/>
    </row>
    <row r="1915" spans="7:7">
      <c r="G1915"/>
    </row>
    <row r="1916" spans="7:7">
      <c r="G1916"/>
    </row>
    <row r="1917" spans="7:7">
      <c r="G1917"/>
    </row>
    <row r="1918" spans="7:7">
      <c r="G1918"/>
    </row>
    <row r="1919" spans="7:7">
      <c r="G1919"/>
    </row>
    <row r="1920" spans="7:7">
      <c r="G1920"/>
    </row>
    <row r="1921" spans="7:7">
      <c r="G1921"/>
    </row>
    <row r="1922" spans="7:7">
      <c r="G1922"/>
    </row>
    <row r="1923" spans="7:7">
      <c r="G1923"/>
    </row>
    <row r="1924" spans="7:7">
      <c r="G1924"/>
    </row>
    <row r="1925" spans="7:7">
      <c r="G1925"/>
    </row>
    <row r="1926" spans="7:7">
      <c r="G1926"/>
    </row>
    <row r="1927" spans="7:7">
      <c r="G1927"/>
    </row>
    <row r="1928" spans="7:7">
      <c r="G1928"/>
    </row>
    <row r="1929" spans="7:7">
      <c r="G1929"/>
    </row>
    <row r="1930" spans="7:7">
      <c r="G1930"/>
    </row>
    <row r="1931" spans="7:7">
      <c r="G1931"/>
    </row>
    <row r="1932" spans="7:7">
      <c r="G1932"/>
    </row>
    <row r="1933" spans="7:7">
      <c r="G1933"/>
    </row>
    <row r="1934" spans="7:7">
      <c r="G1934"/>
    </row>
    <row r="1935" spans="7:7">
      <c r="G1935"/>
    </row>
    <row r="1936" spans="7:7">
      <c r="G1936"/>
    </row>
    <row r="1937" spans="7:7">
      <c r="G1937"/>
    </row>
    <row r="1938" spans="7:7">
      <c r="G1938"/>
    </row>
    <row r="1939" spans="7:7">
      <c r="G1939"/>
    </row>
    <row r="1940" spans="7:7">
      <c r="G1940"/>
    </row>
    <row r="1941" spans="7:7">
      <c r="G1941"/>
    </row>
    <row r="1942" spans="7:7">
      <c r="G1942"/>
    </row>
    <row r="1943" spans="7:7">
      <c r="G1943"/>
    </row>
    <row r="1944" spans="7:7">
      <c r="G1944"/>
    </row>
    <row r="1945" spans="7:7">
      <c r="G1945"/>
    </row>
    <row r="1946" spans="7:7">
      <c r="G1946"/>
    </row>
    <row r="1947" spans="7:7">
      <c r="G1947"/>
    </row>
    <row r="1948" spans="7:7">
      <c r="G1948"/>
    </row>
    <row r="1949" spans="7:7">
      <c r="G1949"/>
    </row>
    <row r="1950" spans="7:7">
      <c r="G1950"/>
    </row>
    <row r="1951" spans="7:7">
      <c r="G1951"/>
    </row>
    <row r="1952" spans="7:7">
      <c r="G1952"/>
    </row>
    <row r="1953" spans="7:7">
      <c r="G1953"/>
    </row>
    <row r="1954" spans="7:7">
      <c r="G1954"/>
    </row>
    <row r="1955" spans="7:7">
      <c r="G1955"/>
    </row>
    <row r="1956" spans="7:7">
      <c r="G1956"/>
    </row>
    <row r="1957" spans="7:7">
      <c r="G1957"/>
    </row>
    <row r="1958" spans="7:7">
      <c r="G1958"/>
    </row>
    <row r="1959" spans="7:7">
      <c r="G1959"/>
    </row>
    <row r="1960" spans="7:7">
      <c r="G1960"/>
    </row>
    <row r="1961" spans="7:7">
      <c r="G1961"/>
    </row>
    <row r="1962" spans="7:7">
      <c r="G1962"/>
    </row>
    <row r="1963" spans="7:7">
      <c r="G1963"/>
    </row>
    <row r="1964" spans="7:7">
      <c r="G1964"/>
    </row>
    <row r="1965" spans="7:7">
      <c r="G1965"/>
    </row>
    <row r="1966" spans="7:7">
      <c r="G1966"/>
    </row>
    <row r="1967" spans="7:7">
      <c r="G1967"/>
    </row>
    <row r="1968" spans="7:7">
      <c r="G1968"/>
    </row>
    <row r="1969" spans="7:7">
      <c r="G1969"/>
    </row>
    <row r="1970" spans="7:7">
      <c r="G1970"/>
    </row>
    <row r="1971" spans="7:7">
      <c r="G1971"/>
    </row>
    <row r="1972" spans="7:7">
      <c r="G1972"/>
    </row>
    <row r="1973" spans="7:7">
      <c r="G1973"/>
    </row>
    <row r="1974" spans="7:7">
      <c r="G1974"/>
    </row>
    <row r="1975" spans="7:7">
      <c r="G1975"/>
    </row>
    <row r="1976" spans="7:7">
      <c r="G1976"/>
    </row>
    <row r="1977" spans="7:7">
      <c r="G1977"/>
    </row>
    <row r="1978" spans="7:7">
      <c r="G1978"/>
    </row>
    <row r="1979" spans="7:7">
      <c r="G1979"/>
    </row>
    <row r="1980" spans="7:7">
      <c r="G1980"/>
    </row>
    <row r="1981" spans="7:7">
      <c r="G1981"/>
    </row>
    <row r="1982" spans="7:7">
      <c r="G1982"/>
    </row>
    <row r="1983" spans="7:7">
      <c r="G1983"/>
    </row>
    <row r="1984" spans="7:7">
      <c r="G1984"/>
    </row>
    <row r="1985" spans="7:7">
      <c r="G1985"/>
    </row>
    <row r="1986" spans="7:7">
      <c r="G1986"/>
    </row>
    <row r="1987" spans="7:7">
      <c r="G1987"/>
    </row>
    <row r="1988" spans="7:7">
      <c r="G1988"/>
    </row>
    <row r="1989" spans="7:7">
      <c r="G1989"/>
    </row>
    <row r="1990" spans="7:7">
      <c r="G1990"/>
    </row>
    <row r="1991" spans="7:7">
      <c r="G1991"/>
    </row>
    <row r="1992" spans="7:7">
      <c r="G1992"/>
    </row>
    <row r="1993" spans="7:7">
      <c r="G1993"/>
    </row>
    <row r="1994" spans="7:7">
      <c r="G1994"/>
    </row>
    <row r="1995" spans="7:7">
      <c r="G1995"/>
    </row>
    <row r="1996" spans="7:7">
      <c r="G1996"/>
    </row>
    <row r="1997" spans="7:7">
      <c r="G1997"/>
    </row>
    <row r="1998" spans="7:7">
      <c r="G1998"/>
    </row>
    <row r="1999" spans="7:7">
      <c r="G1999"/>
    </row>
    <row r="2000" spans="7:7">
      <c r="G2000"/>
    </row>
    <row r="2001" spans="7:7">
      <c r="G2001"/>
    </row>
    <row r="2002" spans="7:7">
      <c r="G2002"/>
    </row>
    <row r="2003" spans="7:7">
      <c r="G2003"/>
    </row>
    <row r="2004" spans="7:7">
      <c r="G2004"/>
    </row>
    <row r="2005" spans="7:7">
      <c r="G2005"/>
    </row>
    <row r="2006" spans="7:7">
      <c r="G2006"/>
    </row>
    <row r="2007" spans="7:7">
      <c r="G2007"/>
    </row>
    <row r="2008" spans="7:7">
      <c r="G2008"/>
    </row>
    <row r="2009" spans="7:7">
      <c r="G2009"/>
    </row>
    <row r="2010" spans="7:7">
      <c r="G2010"/>
    </row>
    <row r="2011" spans="7:7">
      <c r="G2011"/>
    </row>
    <row r="2012" spans="7:7">
      <c r="G2012"/>
    </row>
    <row r="2013" spans="7:7">
      <c r="G2013"/>
    </row>
    <row r="2014" spans="7:7">
      <c r="G2014"/>
    </row>
    <row r="2015" spans="7:7">
      <c r="G2015"/>
    </row>
    <row r="2016" spans="7:7">
      <c r="G2016"/>
    </row>
    <row r="2017" spans="7:7">
      <c r="G2017"/>
    </row>
    <row r="2018" spans="7:7">
      <c r="G2018"/>
    </row>
    <row r="2019" spans="7:7">
      <c r="G2019"/>
    </row>
    <row r="2020" spans="7:7">
      <c r="G2020"/>
    </row>
    <row r="2021" spans="7:7">
      <c r="G2021"/>
    </row>
    <row r="2022" spans="7:7">
      <c r="G2022"/>
    </row>
    <row r="2023" spans="7:7">
      <c r="G2023"/>
    </row>
    <row r="2024" spans="7:7">
      <c r="G2024"/>
    </row>
    <row r="2025" spans="7:7">
      <c r="G2025"/>
    </row>
    <row r="2026" spans="7:7">
      <c r="G2026"/>
    </row>
    <row r="2027" spans="7:7">
      <c r="G2027"/>
    </row>
    <row r="2028" spans="7:7">
      <c r="G2028"/>
    </row>
    <row r="2029" spans="7:7">
      <c r="G2029"/>
    </row>
    <row r="2030" spans="7:7">
      <c r="G2030"/>
    </row>
    <row r="2031" spans="7:7">
      <c r="G2031"/>
    </row>
    <row r="2032" spans="7:7">
      <c r="G2032"/>
    </row>
    <row r="2033" spans="7:7">
      <c r="G2033"/>
    </row>
    <row r="2034" spans="7:7">
      <c r="G2034"/>
    </row>
    <row r="2035" spans="7:7">
      <c r="G2035"/>
    </row>
    <row r="2036" spans="7:7">
      <c r="G2036"/>
    </row>
    <row r="2037" spans="7:7">
      <c r="G2037"/>
    </row>
    <row r="2038" spans="7:7">
      <c r="G2038"/>
    </row>
    <row r="2039" spans="7:7">
      <c r="G2039"/>
    </row>
    <row r="2040" spans="7:7">
      <c r="G2040"/>
    </row>
    <row r="2041" spans="7:7">
      <c r="G2041"/>
    </row>
    <row r="2042" spans="7:7">
      <c r="G2042"/>
    </row>
    <row r="2043" spans="7:7">
      <c r="G2043"/>
    </row>
    <row r="2044" spans="7:7">
      <c r="G2044"/>
    </row>
    <row r="2045" spans="7:7">
      <c r="G2045"/>
    </row>
    <row r="2046" spans="7:7">
      <c r="G2046"/>
    </row>
    <row r="2047" spans="7:7">
      <c r="G2047"/>
    </row>
    <row r="2048" spans="7:7">
      <c r="G2048"/>
    </row>
    <row r="2049" spans="7:7">
      <c r="G2049"/>
    </row>
    <row r="2050" spans="7:7">
      <c r="G2050"/>
    </row>
    <row r="2051" spans="7:7">
      <c r="G2051"/>
    </row>
    <row r="2052" spans="7:7">
      <c r="G2052"/>
    </row>
    <row r="2053" spans="7:7">
      <c r="G2053"/>
    </row>
    <row r="2054" spans="7:7">
      <c r="G2054"/>
    </row>
    <row r="2055" spans="7:7">
      <c r="G2055"/>
    </row>
    <row r="2056" spans="7:7">
      <c r="G2056"/>
    </row>
    <row r="2057" spans="7:7">
      <c r="G2057"/>
    </row>
    <row r="2058" spans="7:7">
      <c r="G2058"/>
    </row>
    <row r="2059" spans="7:7">
      <c r="G2059"/>
    </row>
    <row r="2060" spans="7:7">
      <c r="G2060"/>
    </row>
    <row r="2061" spans="7:7">
      <c r="G2061"/>
    </row>
    <row r="2062" spans="7:7">
      <c r="G2062"/>
    </row>
    <row r="2063" spans="7:7">
      <c r="G2063"/>
    </row>
    <row r="2064" spans="7:7">
      <c r="G2064"/>
    </row>
    <row r="2065" spans="7:7">
      <c r="G2065"/>
    </row>
    <row r="2066" spans="7:7">
      <c r="G2066"/>
    </row>
    <row r="2067" spans="7:7">
      <c r="G2067"/>
    </row>
    <row r="2068" spans="7:7">
      <c r="G2068"/>
    </row>
    <row r="2069" spans="7:7">
      <c r="G2069"/>
    </row>
    <row r="2070" spans="7:7">
      <c r="G2070"/>
    </row>
    <row r="2071" spans="7:7">
      <c r="G2071"/>
    </row>
    <row r="2072" spans="7:7">
      <c r="G2072"/>
    </row>
    <row r="2073" spans="7:7">
      <c r="G2073"/>
    </row>
    <row r="2074" spans="7:7">
      <c r="G2074"/>
    </row>
    <row r="2075" spans="7:7">
      <c r="G2075"/>
    </row>
    <row r="2076" spans="7:7">
      <c r="G2076"/>
    </row>
    <row r="2077" spans="7:7">
      <c r="G2077"/>
    </row>
    <row r="2078" spans="7:7">
      <c r="G2078"/>
    </row>
    <row r="2079" spans="7:7">
      <c r="G2079"/>
    </row>
    <row r="2080" spans="7:7">
      <c r="G2080"/>
    </row>
    <row r="2081" spans="7:7">
      <c r="G2081"/>
    </row>
    <row r="2082" spans="7:7">
      <c r="G2082"/>
    </row>
    <row r="2083" spans="7:7">
      <c r="G2083"/>
    </row>
    <row r="2084" spans="7:7">
      <c r="G2084"/>
    </row>
    <row r="2085" spans="7:7">
      <c r="G2085"/>
    </row>
    <row r="2086" spans="7:7">
      <c r="G2086"/>
    </row>
    <row r="2087" spans="7:7">
      <c r="G2087"/>
    </row>
    <row r="2088" spans="7:7">
      <c r="G2088"/>
    </row>
    <row r="2089" spans="7:7">
      <c r="G2089"/>
    </row>
    <row r="2090" spans="7:7">
      <c r="G2090"/>
    </row>
    <row r="2091" spans="7:7">
      <c r="G2091"/>
    </row>
    <row r="2092" spans="7:7">
      <c r="G2092"/>
    </row>
    <row r="2093" spans="7:7">
      <c r="G2093"/>
    </row>
    <row r="2094" spans="7:7">
      <c r="G2094"/>
    </row>
    <row r="2095" spans="7:7">
      <c r="G2095"/>
    </row>
    <row r="2096" spans="7:7">
      <c r="G2096"/>
    </row>
    <row r="2097" spans="7:7">
      <c r="G2097"/>
    </row>
    <row r="2098" spans="7:7">
      <c r="G2098"/>
    </row>
    <row r="2099" spans="7:7">
      <c r="G2099"/>
    </row>
    <row r="2100" spans="7:7">
      <c r="G2100"/>
    </row>
    <row r="2101" spans="7:7">
      <c r="G2101"/>
    </row>
    <row r="2102" spans="7:7">
      <c r="G2102"/>
    </row>
    <row r="2103" spans="7:7">
      <c r="G2103"/>
    </row>
    <row r="2104" spans="7:7">
      <c r="G2104"/>
    </row>
    <row r="2105" spans="7:7">
      <c r="G2105"/>
    </row>
    <row r="2106" spans="7:7">
      <c r="G2106"/>
    </row>
    <row r="2107" spans="7:7">
      <c r="G2107"/>
    </row>
    <row r="2108" spans="7:7">
      <c r="G2108"/>
    </row>
    <row r="2109" spans="7:7">
      <c r="G2109"/>
    </row>
    <row r="2110" spans="7:7">
      <c r="G2110"/>
    </row>
    <row r="2111" spans="7:7">
      <c r="G2111"/>
    </row>
    <row r="2112" spans="7:7">
      <c r="G2112"/>
    </row>
    <row r="2113" spans="7:7">
      <c r="G2113"/>
    </row>
    <row r="2114" spans="7:7">
      <c r="G2114"/>
    </row>
    <row r="2115" spans="7:7">
      <c r="G2115"/>
    </row>
    <row r="2116" spans="7:7">
      <c r="G2116"/>
    </row>
    <row r="2117" spans="7:7">
      <c r="G2117"/>
    </row>
    <row r="2118" spans="7:7">
      <c r="G2118"/>
    </row>
    <row r="2119" spans="7:7">
      <c r="G2119"/>
    </row>
    <row r="2120" spans="7:7">
      <c r="G2120"/>
    </row>
    <row r="2121" spans="7:7">
      <c r="G2121"/>
    </row>
    <row r="2122" spans="7:7">
      <c r="G2122"/>
    </row>
    <row r="2123" spans="7:7">
      <c r="G2123"/>
    </row>
    <row r="2124" spans="7:7">
      <c r="G2124"/>
    </row>
    <row r="2125" spans="7:7">
      <c r="G2125"/>
    </row>
    <row r="2126" spans="7:7">
      <c r="G2126"/>
    </row>
    <row r="2127" spans="7:7">
      <c r="G2127"/>
    </row>
    <row r="2128" spans="7:7">
      <c r="G2128"/>
    </row>
    <row r="2129" spans="7:7">
      <c r="G2129"/>
    </row>
    <row r="2130" spans="7:7">
      <c r="G2130"/>
    </row>
    <row r="2131" spans="7:7">
      <c r="G2131"/>
    </row>
    <row r="2132" spans="7:7">
      <c r="G2132"/>
    </row>
    <row r="2133" spans="7:7">
      <c r="G2133"/>
    </row>
    <row r="2134" spans="7:7">
      <c r="G2134"/>
    </row>
    <row r="2135" spans="7:7">
      <c r="G2135"/>
    </row>
    <row r="2136" spans="7:7">
      <c r="G2136"/>
    </row>
    <row r="2137" spans="7:7">
      <c r="G2137"/>
    </row>
    <row r="2138" spans="7:7">
      <c r="G2138"/>
    </row>
    <row r="2139" spans="7:7">
      <c r="G2139"/>
    </row>
    <row r="2140" spans="7:7">
      <c r="G2140"/>
    </row>
    <row r="2141" spans="7:7">
      <c r="G2141"/>
    </row>
    <row r="2142" spans="7:7">
      <c r="G2142"/>
    </row>
    <row r="2143" spans="7:7">
      <c r="G2143"/>
    </row>
    <row r="2144" spans="7:7">
      <c r="G2144"/>
    </row>
    <row r="2145" spans="7:7">
      <c r="G2145"/>
    </row>
    <row r="2146" spans="7:7">
      <c r="G2146"/>
    </row>
    <row r="2147" spans="7:7">
      <c r="G2147"/>
    </row>
    <row r="2148" spans="7:7">
      <c r="G2148"/>
    </row>
    <row r="2149" spans="7:7">
      <c r="G2149"/>
    </row>
    <row r="2150" spans="7:7">
      <c r="G2150"/>
    </row>
    <row r="2151" spans="7:7">
      <c r="G2151"/>
    </row>
    <row r="2152" spans="7:7">
      <c r="G2152"/>
    </row>
    <row r="2153" spans="7:7">
      <c r="G2153"/>
    </row>
    <row r="2154" spans="7:7">
      <c r="G2154"/>
    </row>
    <row r="2155" spans="7:7">
      <c r="G2155"/>
    </row>
    <row r="2156" spans="7:7">
      <c r="G2156"/>
    </row>
    <row r="2157" spans="7:7">
      <c r="G2157"/>
    </row>
    <row r="2158" spans="7:7">
      <c r="G2158"/>
    </row>
    <row r="2159" spans="7:7">
      <c r="G2159"/>
    </row>
    <row r="2160" spans="7:7">
      <c r="G2160"/>
    </row>
    <row r="2161" spans="7:7">
      <c r="G2161"/>
    </row>
    <row r="2162" spans="7:7">
      <c r="G2162"/>
    </row>
    <row r="2163" spans="7:7">
      <c r="G2163"/>
    </row>
    <row r="2164" spans="7:7">
      <c r="G2164"/>
    </row>
    <row r="2165" spans="7:7">
      <c r="G2165"/>
    </row>
    <row r="2166" spans="7:7">
      <c r="G2166"/>
    </row>
    <row r="2167" spans="7:7">
      <c r="G2167"/>
    </row>
    <row r="2168" spans="7:7">
      <c r="G2168"/>
    </row>
    <row r="2169" spans="7:7">
      <c r="G2169"/>
    </row>
    <row r="2170" spans="7:7">
      <c r="G2170"/>
    </row>
    <row r="2171" spans="7:7">
      <c r="G2171"/>
    </row>
    <row r="2172" spans="7:7">
      <c r="G2172"/>
    </row>
    <row r="2173" spans="7:7">
      <c r="G2173"/>
    </row>
    <row r="2174" spans="7:7">
      <c r="G2174"/>
    </row>
    <row r="2175" spans="7:7">
      <c r="G2175"/>
    </row>
    <row r="2176" spans="7:7">
      <c r="G2176"/>
    </row>
    <row r="2177" spans="7:7">
      <c r="G2177"/>
    </row>
    <row r="2178" spans="7:7">
      <c r="G2178"/>
    </row>
    <row r="2179" spans="7:7">
      <c r="G2179"/>
    </row>
    <row r="2180" spans="7:7">
      <c r="G2180"/>
    </row>
    <row r="2181" spans="7:7">
      <c r="G2181"/>
    </row>
    <row r="2182" spans="7:7">
      <c r="G2182"/>
    </row>
    <row r="2183" spans="7:7">
      <c r="G2183"/>
    </row>
    <row r="2184" spans="7:7">
      <c r="G2184"/>
    </row>
    <row r="2185" spans="7:7">
      <c r="G2185"/>
    </row>
    <row r="2186" spans="7:7">
      <c r="G2186"/>
    </row>
    <row r="2187" spans="7:7">
      <c r="G2187"/>
    </row>
    <row r="2188" spans="7:7">
      <c r="G2188"/>
    </row>
    <row r="2189" spans="7:7">
      <c r="G2189"/>
    </row>
    <row r="2190" spans="7:7">
      <c r="G2190"/>
    </row>
    <row r="2191" spans="7:7">
      <c r="G2191"/>
    </row>
    <row r="2192" spans="7:7">
      <c r="G2192"/>
    </row>
    <row r="2193" spans="7:7">
      <c r="G2193"/>
    </row>
    <row r="2194" spans="7:7">
      <c r="G2194"/>
    </row>
    <row r="2195" spans="7:7">
      <c r="G2195"/>
    </row>
    <row r="2196" spans="7:7">
      <c r="G2196"/>
    </row>
    <row r="2197" spans="7:7">
      <c r="G2197"/>
    </row>
    <row r="2198" spans="7:7">
      <c r="G2198"/>
    </row>
    <row r="2199" spans="7:7">
      <c r="G2199"/>
    </row>
    <row r="2200" spans="7:7">
      <c r="G2200"/>
    </row>
    <row r="2201" spans="7:7">
      <c r="G2201"/>
    </row>
    <row r="2202" spans="7:7">
      <c r="G2202"/>
    </row>
    <row r="2203" spans="7:7">
      <c r="G2203"/>
    </row>
    <row r="2204" spans="7:7">
      <c r="G2204"/>
    </row>
    <row r="2205" spans="7:7">
      <c r="G2205"/>
    </row>
    <row r="2206" spans="7:7">
      <c r="G2206"/>
    </row>
    <row r="2207" spans="7:7">
      <c r="G2207"/>
    </row>
    <row r="2208" spans="7:7">
      <c r="G2208"/>
    </row>
    <row r="2209" spans="7:7">
      <c r="G2209"/>
    </row>
    <row r="2210" spans="7:7">
      <c r="G2210"/>
    </row>
    <row r="2211" spans="7:7">
      <c r="G2211"/>
    </row>
    <row r="2212" spans="7:7">
      <c r="G2212"/>
    </row>
    <row r="2213" spans="7:7">
      <c r="G2213"/>
    </row>
    <row r="2214" spans="7:7">
      <c r="G2214"/>
    </row>
    <row r="2215" spans="7:7">
      <c r="G2215"/>
    </row>
    <row r="2216" spans="7:7">
      <c r="G2216"/>
    </row>
    <row r="2217" spans="7:7">
      <c r="G2217"/>
    </row>
    <row r="2218" spans="7:7">
      <c r="G2218"/>
    </row>
    <row r="2219" spans="7:7">
      <c r="G2219"/>
    </row>
    <row r="2220" spans="7:7">
      <c r="G2220"/>
    </row>
    <row r="2221" spans="7:7">
      <c r="G2221"/>
    </row>
    <row r="2222" spans="7:7">
      <c r="G2222"/>
    </row>
    <row r="2223" spans="7:7">
      <c r="G2223"/>
    </row>
    <row r="2224" spans="7:7">
      <c r="G2224"/>
    </row>
    <row r="2225" spans="7:7">
      <c r="G2225"/>
    </row>
    <row r="2226" spans="7:7">
      <c r="G2226"/>
    </row>
    <row r="2227" spans="7:7">
      <c r="G2227"/>
    </row>
    <row r="2228" spans="7:7">
      <c r="G2228"/>
    </row>
    <row r="2229" spans="7:7">
      <c r="G2229"/>
    </row>
    <row r="2230" spans="7:7">
      <c r="G2230"/>
    </row>
    <row r="2231" spans="7:7">
      <c r="G2231"/>
    </row>
    <row r="2232" spans="7:7">
      <c r="G2232"/>
    </row>
    <row r="2233" spans="7:7">
      <c r="G2233"/>
    </row>
    <row r="2234" spans="7:7">
      <c r="G2234"/>
    </row>
    <row r="2235" spans="7:7">
      <c r="G2235"/>
    </row>
    <row r="2236" spans="7:7">
      <c r="G2236"/>
    </row>
    <row r="2237" spans="7:7">
      <c r="G2237"/>
    </row>
    <row r="2238" spans="7:7">
      <c r="G2238"/>
    </row>
    <row r="2239" spans="7:7">
      <c r="G2239"/>
    </row>
    <row r="2240" spans="7:7">
      <c r="G2240"/>
    </row>
    <row r="2241" spans="7:7">
      <c r="G2241"/>
    </row>
    <row r="2242" spans="7:7">
      <c r="G2242"/>
    </row>
    <row r="2243" spans="7:7">
      <c r="G2243"/>
    </row>
    <row r="2244" spans="7:7">
      <c r="G2244"/>
    </row>
    <row r="2245" spans="7:7">
      <c r="G2245"/>
    </row>
    <row r="2246" spans="7:7">
      <c r="G2246"/>
    </row>
    <row r="2247" spans="7:7">
      <c r="G2247"/>
    </row>
    <row r="2248" spans="7:7">
      <c r="G2248"/>
    </row>
    <row r="2249" spans="7:7">
      <c r="G2249"/>
    </row>
    <row r="2250" spans="7:7">
      <c r="G2250"/>
    </row>
    <row r="2251" spans="7:7">
      <c r="G2251"/>
    </row>
    <row r="2252" spans="7:7">
      <c r="G2252"/>
    </row>
    <row r="2253" spans="7:7">
      <c r="G2253"/>
    </row>
    <row r="2254" spans="7:7">
      <c r="G2254"/>
    </row>
    <row r="2255" spans="7:7">
      <c r="G2255"/>
    </row>
    <row r="2256" spans="7:7">
      <c r="G2256"/>
    </row>
    <row r="2257" spans="7:7">
      <c r="G2257"/>
    </row>
    <row r="2258" spans="7:7">
      <c r="G2258"/>
    </row>
    <row r="2259" spans="7:7">
      <c r="G2259"/>
    </row>
    <row r="2260" spans="7:7">
      <c r="G2260"/>
    </row>
    <row r="2261" spans="7:7">
      <c r="G2261"/>
    </row>
    <row r="2262" spans="7:7">
      <c r="G2262"/>
    </row>
    <row r="2263" spans="7:7">
      <c r="G2263"/>
    </row>
    <row r="2264" spans="7:7">
      <c r="G2264"/>
    </row>
    <row r="2265" spans="7:7">
      <c r="G2265"/>
    </row>
    <row r="2266" spans="7:7">
      <c r="G2266"/>
    </row>
    <row r="2267" spans="7:7">
      <c r="G2267"/>
    </row>
    <row r="2268" spans="7:7">
      <c r="G2268"/>
    </row>
    <row r="2269" spans="7:7">
      <c r="G2269"/>
    </row>
    <row r="2270" spans="7:7">
      <c r="G2270"/>
    </row>
    <row r="2271" spans="7:7">
      <c r="G2271"/>
    </row>
    <row r="2272" spans="7:7">
      <c r="G2272"/>
    </row>
    <row r="2273" spans="7:7">
      <c r="G2273"/>
    </row>
    <row r="2274" spans="7:7">
      <c r="G2274"/>
    </row>
    <row r="2275" spans="7:7">
      <c r="G2275"/>
    </row>
    <row r="2276" spans="7:7">
      <c r="G2276"/>
    </row>
    <row r="2277" spans="7:7">
      <c r="G2277"/>
    </row>
    <row r="2278" spans="7:7">
      <c r="G2278"/>
    </row>
    <row r="2279" spans="7:7">
      <c r="G2279"/>
    </row>
    <row r="2280" spans="7:7">
      <c r="G2280"/>
    </row>
    <row r="2281" spans="7:7">
      <c r="G2281"/>
    </row>
    <row r="2282" spans="7:7">
      <c r="G2282"/>
    </row>
    <row r="2283" spans="7:7">
      <c r="G2283"/>
    </row>
    <row r="2284" spans="7:7">
      <c r="G2284"/>
    </row>
    <row r="2285" spans="7:7">
      <c r="G2285"/>
    </row>
    <row r="2286" spans="7:7">
      <c r="G2286"/>
    </row>
    <row r="2287" spans="7:7">
      <c r="G2287"/>
    </row>
    <row r="2288" spans="7:7">
      <c r="G2288"/>
    </row>
    <row r="2289" spans="7:7">
      <c r="G2289"/>
    </row>
    <row r="2290" spans="7:7">
      <c r="G2290"/>
    </row>
    <row r="2291" spans="7:7">
      <c r="G2291"/>
    </row>
    <row r="2292" spans="7:7">
      <c r="G2292"/>
    </row>
    <row r="2293" spans="7:7">
      <c r="G2293"/>
    </row>
    <row r="2294" spans="7:7">
      <c r="G2294"/>
    </row>
    <row r="2295" spans="7:7">
      <c r="G2295"/>
    </row>
    <row r="2296" spans="7:7">
      <c r="G2296"/>
    </row>
    <row r="2297" spans="7:7">
      <c r="G2297"/>
    </row>
    <row r="2298" spans="7:7">
      <c r="G2298"/>
    </row>
    <row r="2299" spans="7:7">
      <c r="G2299"/>
    </row>
    <row r="2300" spans="7:7">
      <c r="G2300"/>
    </row>
    <row r="2301" spans="7:7">
      <c r="G2301"/>
    </row>
    <row r="2302" spans="7:7">
      <c r="G2302"/>
    </row>
    <row r="2303" spans="7:7">
      <c r="G2303"/>
    </row>
    <row r="2304" spans="7:7">
      <c r="G2304"/>
    </row>
    <row r="2305" spans="7:7">
      <c r="G2305"/>
    </row>
    <row r="2306" spans="7:7">
      <c r="G2306"/>
    </row>
    <row r="2307" spans="7:7">
      <c r="G2307"/>
    </row>
    <row r="2308" spans="7:7">
      <c r="G2308"/>
    </row>
    <row r="2309" spans="7:7">
      <c r="G2309"/>
    </row>
    <row r="2310" spans="7:7">
      <c r="G2310"/>
    </row>
    <row r="2311" spans="7:7">
      <c r="G2311"/>
    </row>
    <row r="2312" spans="7:7">
      <c r="G2312"/>
    </row>
    <row r="2313" spans="7:7">
      <c r="G2313"/>
    </row>
    <row r="2314" spans="7:7">
      <c r="G2314"/>
    </row>
    <row r="2315" spans="7:7">
      <c r="G2315"/>
    </row>
    <row r="2316" spans="7:7">
      <c r="G2316"/>
    </row>
    <row r="2317" spans="7:7">
      <c r="G2317"/>
    </row>
    <row r="2318" spans="7:7">
      <c r="G2318"/>
    </row>
    <row r="2319" spans="7:7">
      <c r="G2319"/>
    </row>
    <row r="2320" spans="7:7">
      <c r="G2320"/>
    </row>
    <row r="2321" spans="7:7">
      <c r="G2321"/>
    </row>
    <row r="2322" spans="7:7">
      <c r="G2322"/>
    </row>
    <row r="2323" spans="7:7">
      <c r="G2323"/>
    </row>
    <row r="2324" spans="7:7">
      <c r="G2324"/>
    </row>
    <row r="2325" spans="7:7">
      <c r="G2325"/>
    </row>
    <row r="2326" spans="7:7">
      <c r="G2326"/>
    </row>
    <row r="2327" spans="7:7">
      <c r="G2327"/>
    </row>
    <row r="2328" spans="7:7">
      <c r="G2328"/>
    </row>
    <row r="2329" spans="7:7">
      <c r="G2329"/>
    </row>
    <row r="2330" spans="7:7">
      <c r="G2330"/>
    </row>
    <row r="2331" spans="7:7">
      <c r="G2331"/>
    </row>
    <row r="2332" spans="7:7">
      <c r="G2332"/>
    </row>
    <row r="2333" spans="7:7">
      <c r="G2333"/>
    </row>
    <row r="2334" spans="7:7">
      <c r="G2334"/>
    </row>
    <row r="2335" spans="7:7">
      <c r="G2335"/>
    </row>
    <row r="2336" spans="7:7">
      <c r="G2336"/>
    </row>
    <row r="2337" spans="7:7">
      <c r="G2337"/>
    </row>
    <row r="2338" spans="7:7">
      <c r="G2338"/>
    </row>
    <row r="2339" spans="7:7">
      <c r="G2339"/>
    </row>
    <row r="2340" spans="7:7">
      <c r="G2340"/>
    </row>
    <row r="2341" spans="7:7">
      <c r="G2341"/>
    </row>
    <row r="2342" spans="7:7">
      <c r="G2342"/>
    </row>
    <row r="2343" spans="7:7">
      <c r="G2343"/>
    </row>
    <row r="2344" spans="7:7">
      <c r="G2344"/>
    </row>
    <row r="2345" spans="7:7">
      <c r="G2345"/>
    </row>
    <row r="2346" spans="7:7">
      <c r="G2346"/>
    </row>
    <row r="2347" spans="7:7">
      <c r="G2347"/>
    </row>
    <row r="2348" spans="7:7">
      <c r="G2348"/>
    </row>
    <row r="2349" spans="7:7">
      <c r="G2349"/>
    </row>
    <row r="2350" spans="7:7">
      <c r="G2350"/>
    </row>
    <row r="2351" spans="7:7">
      <c r="G2351"/>
    </row>
    <row r="2352" spans="7:7">
      <c r="G2352"/>
    </row>
    <row r="2353" spans="7:7">
      <c r="G2353"/>
    </row>
    <row r="2354" spans="7:7">
      <c r="G2354"/>
    </row>
    <row r="2355" spans="7:7">
      <c r="G2355"/>
    </row>
    <row r="2356" spans="7:7">
      <c r="G2356"/>
    </row>
    <row r="2357" spans="7:7">
      <c r="G2357"/>
    </row>
    <row r="2358" spans="7:7">
      <c r="G2358"/>
    </row>
    <row r="2359" spans="7:7">
      <c r="G2359"/>
    </row>
    <row r="2360" spans="7:7">
      <c r="G2360"/>
    </row>
    <row r="2361" spans="7:7">
      <c r="G2361"/>
    </row>
    <row r="2362" spans="7:7">
      <c r="G2362"/>
    </row>
    <row r="2363" spans="7:7">
      <c r="G2363"/>
    </row>
    <row r="2364" spans="7:7">
      <c r="G2364"/>
    </row>
    <row r="2365" spans="7:7">
      <c r="G2365"/>
    </row>
    <row r="2366" spans="7:7">
      <c r="G2366"/>
    </row>
    <row r="2367" spans="7:7">
      <c r="G2367"/>
    </row>
    <row r="2368" spans="7:7">
      <c r="G2368"/>
    </row>
    <row r="2369" spans="7:7">
      <c r="G2369"/>
    </row>
    <row r="2370" spans="7:7">
      <c r="G2370"/>
    </row>
    <row r="2371" spans="7:7">
      <c r="G2371"/>
    </row>
    <row r="2372" spans="7:7">
      <c r="G2372"/>
    </row>
    <row r="2373" spans="7:7">
      <c r="G2373"/>
    </row>
    <row r="2374" spans="7:7">
      <c r="G2374"/>
    </row>
    <row r="2375" spans="7:7">
      <c r="G2375"/>
    </row>
    <row r="2376" spans="7:7">
      <c r="G2376"/>
    </row>
    <row r="2377" spans="7:7">
      <c r="G2377"/>
    </row>
    <row r="2378" spans="7:7">
      <c r="G2378"/>
    </row>
    <row r="2379" spans="7:7">
      <c r="G2379"/>
    </row>
    <row r="2380" spans="7:7">
      <c r="G2380"/>
    </row>
    <row r="2381" spans="7:7">
      <c r="G2381"/>
    </row>
    <row r="2382" spans="7:7">
      <c r="G2382"/>
    </row>
    <row r="2383" spans="7:7">
      <c r="G2383"/>
    </row>
    <row r="2384" spans="7:7">
      <c r="G2384"/>
    </row>
    <row r="2385" spans="7:7">
      <c r="G2385"/>
    </row>
    <row r="2386" spans="7:7">
      <c r="G2386"/>
    </row>
    <row r="2387" spans="7:7">
      <c r="G2387"/>
    </row>
    <row r="2388" spans="7:7">
      <c r="G2388"/>
    </row>
    <row r="2389" spans="7:7">
      <c r="G2389"/>
    </row>
    <row r="2390" spans="7:7">
      <c r="G2390"/>
    </row>
    <row r="2391" spans="7:7">
      <c r="G2391"/>
    </row>
    <row r="2392" spans="7:7">
      <c r="G2392"/>
    </row>
    <row r="2393" spans="7:7">
      <c r="G2393"/>
    </row>
    <row r="2394" spans="7:7">
      <c r="G2394"/>
    </row>
    <row r="2395" spans="7:7">
      <c r="G2395"/>
    </row>
    <row r="2396" spans="7:7">
      <c r="G2396"/>
    </row>
    <row r="2397" spans="7:7">
      <c r="G2397"/>
    </row>
    <row r="2398" spans="7:7">
      <c r="G2398"/>
    </row>
    <row r="2399" spans="7:7">
      <c r="G2399"/>
    </row>
    <row r="2400" spans="7:7">
      <c r="G2400"/>
    </row>
    <row r="2401" spans="7:7">
      <c r="G2401"/>
    </row>
    <row r="2402" spans="7:7">
      <c r="G2402"/>
    </row>
    <row r="2403" spans="7:7">
      <c r="G2403"/>
    </row>
    <row r="2404" spans="7:7">
      <c r="G2404"/>
    </row>
    <row r="2405" spans="7:7">
      <c r="G2405"/>
    </row>
    <row r="2406" spans="7:7">
      <c r="G2406"/>
    </row>
    <row r="2407" spans="7:7">
      <c r="G2407"/>
    </row>
    <row r="2408" spans="7:7">
      <c r="G2408"/>
    </row>
    <row r="2409" spans="7:7">
      <c r="G2409"/>
    </row>
    <row r="2410" spans="7:7">
      <c r="G2410"/>
    </row>
    <row r="2411" spans="7:7">
      <c r="G2411"/>
    </row>
    <row r="2412" spans="7:7">
      <c r="G2412"/>
    </row>
    <row r="2413" spans="7:7">
      <c r="G2413"/>
    </row>
    <row r="2414" spans="7:7">
      <c r="G2414"/>
    </row>
    <row r="2415" spans="7:7">
      <c r="G2415"/>
    </row>
    <row r="2416" spans="7:7">
      <c r="G2416"/>
    </row>
    <row r="2417" spans="7:7">
      <c r="G2417"/>
    </row>
    <row r="2418" spans="7:7">
      <c r="G2418"/>
    </row>
    <row r="2419" spans="7:7">
      <c r="G2419"/>
    </row>
    <row r="2420" spans="7:7">
      <c r="G2420"/>
    </row>
    <row r="2421" spans="7:7">
      <c r="G2421"/>
    </row>
    <row r="2422" spans="7:7">
      <c r="G2422"/>
    </row>
    <row r="2423" spans="7:7">
      <c r="G2423"/>
    </row>
    <row r="2424" spans="7:7">
      <c r="G2424"/>
    </row>
    <row r="2425" spans="7:7">
      <c r="G2425"/>
    </row>
    <row r="2426" spans="7:7">
      <c r="G2426"/>
    </row>
    <row r="2427" spans="7:7">
      <c r="G2427"/>
    </row>
    <row r="2428" spans="7:7">
      <c r="G2428"/>
    </row>
    <row r="2429" spans="7:7">
      <c r="G2429"/>
    </row>
    <row r="2430" spans="7:7">
      <c r="G2430"/>
    </row>
    <row r="2431" spans="7:7">
      <c r="G2431"/>
    </row>
    <row r="2432" spans="7:7">
      <c r="G2432"/>
    </row>
    <row r="2433" spans="7:7">
      <c r="G2433"/>
    </row>
    <row r="2434" spans="7:7">
      <c r="G2434"/>
    </row>
    <row r="2435" spans="7:7">
      <c r="G2435"/>
    </row>
    <row r="2436" spans="7:7">
      <c r="G2436"/>
    </row>
    <row r="2437" spans="7:7">
      <c r="G2437"/>
    </row>
    <row r="2438" spans="7:7">
      <c r="G2438"/>
    </row>
    <row r="2439" spans="7:7">
      <c r="G2439"/>
    </row>
    <row r="2440" spans="7:7">
      <c r="G2440"/>
    </row>
    <row r="2441" spans="7:7">
      <c r="G2441"/>
    </row>
    <row r="2442" spans="7:7">
      <c r="G2442"/>
    </row>
    <row r="2443" spans="7:7">
      <c r="G2443"/>
    </row>
    <row r="2444" spans="7:7">
      <c r="G2444"/>
    </row>
    <row r="2445" spans="7:7">
      <c r="G2445"/>
    </row>
    <row r="2446" spans="7:7">
      <c r="G2446"/>
    </row>
    <row r="2447" spans="7:7">
      <c r="G2447"/>
    </row>
    <row r="2448" spans="7:7">
      <c r="G2448"/>
    </row>
    <row r="2449" spans="7:7">
      <c r="G2449"/>
    </row>
    <row r="2450" spans="7:7">
      <c r="G2450"/>
    </row>
    <row r="2451" spans="7:7">
      <c r="G2451"/>
    </row>
    <row r="2452" spans="7:7">
      <c r="G2452"/>
    </row>
    <row r="2453" spans="7:7">
      <c r="G2453"/>
    </row>
    <row r="2454" spans="7:7">
      <c r="G2454"/>
    </row>
    <row r="2455" spans="7:7">
      <c r="G2455"/>
    </row>
    <row r="2456" spans="7:7">
      <c r="G2456"/>
    </row>
    <row r="2457" spans="7:7">
      <c r="G2457"/>
    </row>
    <row r="2458" spans="7:7">
      <c r="G2458"/>
    </row>
    <row r="2459" spans="7:7">
      <c r="G2459"/>
    </row>
    <row r="2460" spans="7:7">
      <c r="G2460"/>
    </row>
    <row r="2461" spans="7:7">
      <c r="G2461"/>
    </row>
    <row r="2462" spans="7:7">
      <c r="G2462"/>
    </row>
    <row r="2463" spans="7:7">
      <c r="G2463"/>
    </row>
    <row r="2464" spans="7:7">
      <c r="G2464"/>
    </row>
    <row r="2465" spans="7:7">
      <c r="G2465"/>
    </row>
    <row r="2466" spans="7:7">
      <c r="G2466"/>
    </row>
    <row r="2467" spans="7:7">
      <c r="G2467"/>
    </row>
    <row r="2468" spans="7:7">
      <c r="G2468"/>
    </row>
    <row r="2469" spans="7:7">
      <c r="G2469"/>
    </row>
    <row r="2470" spans="7:7">
      <c r="G2470"/>
    </row>
    <row r="2471" spans="7:7">
      <c r="G2471"/>
    </row>
    <row r="2472" spans="7:7">
      <c r="G2472"/>
    </row>
    <row r="2473" spans="7:7">
      <c r="G2473"/>
    </row>
    <row r="2474" spans="7:7">
      <c r="G2474"/>
    </row>
    <row r="2475" spans="7:7">
      <c r="G2475"/>
    </row>
    <row r="2476" spans="7:7">
      <c r="G2476"/>
    </row>
    <row r="2477" spans="7:7">
      <c r="G2477"/>
    </row>
    <row r="2478" spans="7:7">
      <c r="G2478"/>
    </row>
    <row r="2479" spans="7:7">
      <c r="G2479"/>
    </row>
    <row r="2480" spans="7:7">
      <c r="G2480"/>
    </row>
    <row r="2481" spans="7:7">
      <c r="G2481"/>
    </row>
    <row r="2482" spans="7:7">
      <c r="G2482"/>
    </row>
    <row r="2483" spans="7:7">
      <c r="G2483"/>
    </row>
    <row r="2484" spans="7:7">
      <c r="G2484"/>
    </row>
    <row r="2485" spans="7:7">
      <c r="G2485"/>
    </row>
    <row r="2486" spans="7:7">
      <c r="G2486"/>
    </row>
    <row r="2487" spans="7:7">
      <c r="G2487"/>
    </row>
    <row r="2488" spans="7:7">
      <c r="G2488"/>
    </row>
    <row r="2489" spans="7:7">
      <c r="G2489"/>
    </row>
    <row r="2490" spans="7:7">
      <c r="G2490"/>
    </row>
    <row r="2491" spans="7:7">
      <c r="G2491"/>
    </row>
    <row r="2492" spans="7:7">
      <c r="G2492"/>
    </row>
    <row r="2493" spans="7:7">
      <c r="G2493"/>
    </row>
    <row r="2494" spans="7:7">
      <c r="G2494"/>
    </row>
    <row r="2495" spans="7:7">
      <c r="G2495"/>
    </row>
    <row r="2496" spans="7:7">
      <c r="G2496"/>
    </row>
    <row r="2497" spans="7:7">
      <c r="G2497"/>
    </row>
    <row r="2498" spans="7:7">
      <c r="G2498"/>
    </row>
    <row r="2499" spans="7:7">
      <c r="G2499"/>
    </row>
    <row r="2500" spans="7:7">
      <c r="G2500"/>
    </row>
    <row r="2501" spans="7:7">
      <c r="G2501"/>
    </row>
    <row r="2502" spans="7:7">
      <c r="G2502"/>
    </row>
    <row r="2503" spans="7:7">
      <c r="G2503"/>
    </row>
    <row r="2504" spans="7:7">
      <c r="G2504"/>
    </row>
    <row r="2505" spans="7:7">
      <c r="G2505"/>
    </row>
    <row r="2506" spans="7:7">
      <c r="G2506"/>
    </row>
    <row r="2507" spans="7:7">
      <c r="G2507"/>
    </row>
    <row r="2508" spans="7:7">
      <c r="G2508"/>
    </row>
    <row r="2509" spans="7:7">
      <c r="G2509"/>
    </row>
    <row r="2510" spans="7:7">
      <c r="G2510"/>
    </row>
    <row r="2511" spans="7:7">
      <c r="G2511"/>
    </row>
    <row r="2512" spans="7:7">
      <c r="G2512"/>
    </row>
    <row r="2513" spans="7:7">
      <c r="G2513"/>
    </row>
    <row r="2514" spans="7:7">
      <c r="G2514"/>
    </row>
    <row r="2515" spans="7:7">
      <c r="G2515"/>
    </row>
    <row r="2516" spans="7:7">
      <c r="G2516"/>
    </row>
    <row r="2517" spans="7:7">
      <c r="G2517"/>
    </row>
    <row r="2518" spans="7:7">
      <c r="G2518"/>
    </row>
    <row r="2519" spans="7:7">
      <c r="G2519"/>
    </row>
    <row r="2520" spans="7:7">
      <c r="G2520"/>
    </row>
    <row r="2521" spans="7:7">
      <c r="G2521"/>
    </row>
    <row r="2522" spans="7:7">
      <c r="G2522"/>
    </row>
    <row r="2523" spans="7:7">
      <c r="G2523"/>
    </row>
    <row r="2524" spans="7:7">
      <c r="G2524"/>
    </row>
    <row r="2525" spans="7:7">
      <c r="G2525"/>
    </row>
    <row r="2526" spans="7:7">
      <c r="G2526"/>
    </row>
    <row r="2527" spans="7:7">
      <c r="G2527"/>
    </row>
    <row r="2528" spans="7:7">
      <c r="G2528"/>
    </row>
    <row r="2529" spans="7:7">
      <c r="G2529"/>
    </row>
    <row r="2530" spans="7:7">
      <c r="G2530"/>
    </row>
    <row r="2531" spans="7:7">
      <c r="G2531"/>
    </row>
    <row r="2532" spans="7:7">
      <c r="G2532"/>
    </row>
    <row r="2533" spans="7:7">
      <c r="G2533"/>
    </row>
    <row r="2534" spans="7:7">
      <c r="G2534"/>
    </row>
    <row r="2535" spans="7:7">
      <c r="G2535"/>
    </row>
    <row r="2536" spans="7:7">
      <c r="G2536"/>
    </row>
    <row r="2537" spans="7:7">
      <c r="G2537"/>
    </row>
    <row r="2538" spans="7:7">
      <c r="G2538"/>
    </row>
    <row r="2539" spans="7:7">
      <c r="G2539"/>
    </row>
    <row r="2540" spans="7:7">
      <c r="G2540"/>
    </row>
    <row r="2541" spans="7:7">
      <c r="G2541"/>
    </row>
    <row r="2542" spans="7:7">
      <c r="G2542"/>
    </row>
    <row r="2543" spans="7:7">
      <c r="G2543"/>
    </row>
    <row r="2544" spans="7:7">
      <c r="G2544"/>
    </row>
    <row r="2545" spans="7:7">
      <c r="G2545"/>
    </row>
    <row r="2546" spans="7:7">
      <c r="G2546"/>
    </row>
    <row r="2547" spans="7:7">
      <c r="G2547"/>
    </row>
    <row r="2548" spans="7:7">
      <c r="G2548"/>
    </row>
    <row r="2549" spans="7:7">
      <c r="G2549"/>
    </row>
    <row r="2550" spans="7:7">
      <c r="G2550"/>
    </row>
    <row r="2551" spans="7:7">
      <c r="G2551"/>
    </row>
    <row r="2552" spans="7:7">
      <c r="G2552"/>
    </row>
    <row r="2553" spans="7:7">
      <c r="G2553"/>
    </row>
    <row r="2554" spans="7:7">
      <c r="G2554"/>
    </row>
    <row r="2555" spans="7:7">
      <c r="G2555"/>
    </row>
    <row r="2556" spans="7:7">
      <c r="G2556"/>
    </row>
    <row r="2557" spans="7:7">
      <c r="G2557"/>
    </row>
    <row r="2558" spans="7:7">
      <c r="G2558"/>
    </row>
    <row r="2559" spans="7:7">
      <c r="G2559"/>
    </row>
    <row r="2560" spans="7:7">
      <c r="G2560"/>
    </row>
    <row r="2561" spans="7:7">
      <c r="G2561"/>
    </row>
    <row r="2562" spans="7:7">
      <c r="G2562"/>
    </row>
    <row r="2563" spans="7:7">
      <c r="G2563"/>
    </row>
    <row r="2564" spans="7:7">
      <c r="G2564"/>
    </row>
    <row r="2565" spans="7:7">
      <c r="G2565"/>
    </row>
    <row r="2566" spans="7:7">
      <c r="G2566"/>
    </row>
    <row r="2567" spans="7:7">
      <c r="G2567"/>
    </row>
    <row r="2568" spans="7:7">
      <c r="G2568"/>
    </row>
    <row r="2569" spans="7:7">
      <c r="G2569"/>
    </row>
    <row r="2570" spans="7:7">
      <c r="G2570"/>
    </row>
    <row r="2571" spans="7:7">
      <c r="G2571"/>
    </row>
    <row r="2572" spans="7:7">
      <c r="G2572"/>
    </row>
    <row r="2573" spans="7:7">
      <c r="G2573"/>
    </row>
    <row r="2574" spans="7:7">
      <c r="G2574"/>
    </row>
    <row r="2575" spans="7:7">
      <c r="G2575"/>
    </row>
    <row r="2576" spans="7:7">
      <c r="G2576"/>
    </row>
    <row r="2577" spans="7:7">
      <c r="G2577"/>
    </row>
    <row r="2578" spans="7:7">
      <c r="G2578"/>
    </row>
    <row r="2579" spans="7:7">
      <c r="G2579"/>
    </row>
    <row r="2580" spans="7:7">
      <c r="G2580"/>
    </row>
    <row r="2581" spans="7:7">
      <c r="G2581"/>
    </row>
    <row r="2582" spans="7:7">
      <c r="G2582"/>
    </row>
    <row r="2583" spans="7:7">
      <c r="G2583"/>
    </row>
    <row r="2584" spans="7:7">
      <c r="G2584"/>
    </row>
    <row r="2585" spans="7:7">
      <c r="G2585"/>
    </row>
    <row r="2586" spans="7:7">
      <c r="G2586"/>
    </row>
    <row r="2587" spans="7:7">
      <c r="G2587"/>
    </row>
    <row r="2588" spans="7:7">
      <c r="G2588"/>
    </row>
    <row r="2589" spans="7:7">
      <c r="G2589"/>
    </row>
    <row r="2590" spans="7:7">
      <c r="G2590"/>
    </row>
    <row r="2591" spans="7:7">
      <c r="G2591"/>
    </row>
    <row r="2592" spans="7:7">
      <c r="G2592"/>
    </row>
    <row r="2593" spans="7:7">
      <c r="G2593"/>
    </row>
    <row r="2594" spans="7:7">
      <c r="G2594"/>
    </row>
    <row r="2595" spans="7:7">
      <c r="G2595"/>
    </row>
    <row r="2596" spans="7:7">
      <c r="G2596"/>
    </row>
    <row r="2597" spans="7:7">
      <c r="G2597"/>
    </row>
    <row r="2598" spans="7:7">
      <c r="G2598"/>
    </row>
    <row r="2599" spans="7:7">
      <c r="G2599"/>
    </row>
    <row r="2600" spans="7:7">
      <c r="G2600"/>
    </row>
    <row r="2601" spans="7:7">
      <c r="G2601"/>
    </row>
    <row r="2602" spans="7:7">
      <c r="G2602"/>
    </row>
    <row r="2603" spans="7:7">
      <c r="G2603"/>
    </row>
    <row r="2604" spans="7:7">
      <c r="G2604"/>
    </row>
    <row r="2605" spans="7:7">
      <c r="G2605"/>
    </row>
    <row r="2606" spans="7:7">
      <c r="G2606"/>
    </row>
    <row r="2607" spans="7:7">
      <c r="G2607"/>
    </row>
    <row r="2608" spans="7:7">
      <c r="G2608"/>
    </row>
    <row r="2609" spans="7:7">
      <c r="G2609"/>
    </row>
    <row r="2610" spans="7:7">
      <c r="G2610"/>
    </row>
    <row r="2611" spans="7:7">
      <c r="G2611"/>
    </row>
    <row r="2612" spans="7:7">
      <c r="G2612"/>
    </row>
    <row r="2613" spans="7:7">
      <c r="G2613"/>
    </row>
    <row r="2614" spans="7:7">
      <c r="G2614"/>
    </row>
    <row r="2615" spans="7:7">
      <c r="G2615"/>
    </row>
    <row r="2616" spans="7:7">
      <c r="G2616"/>
    </row>
    <row r="2617" spans="7:7">
      <c r="G2617"/>
    </row>
    <row r="2618" spans="7:7">
      <c r="G2618"/>
    </row>
    <row r="2619" spans="7:7">
      <c r="G2619"/>
    </row>
    <row r="2620" spans="7:7">
      <c r="G2620"/>
    </row>
    <row r="2621" spans="7:7">
      <c r="G2621"/>
    </row>
    <row r="2622" spans="7:7">
      <c r="G2622"/>
    </row>
    <row r="2623" spans="7:7">
      <c r="G2623"/>
    </row>
    <row r="2624" spans="7:7">
      <c r="G2624"/>
    </row>
    <row r="2625" spans="7:7">
      <c r="G2625"/>
    </row>
    <row r="2626" spans="7:7">
      <c r="G2626"/>
    </row>
    <row r="2627" spans="7:7">
      <c r="G2627"/>
    </row>
    <row r="2628" spans="7:7">
      <c r="G2628"/>
    </row>
    <row r="2629" spans="7:7">
      <c r="G2629"/>
    </row>
    <row r="2630" spans="7:7">
      <c r="G2630"/>
    </row>
    <row r="2631" spans="7:7">
      <c r="G2631"/>
    </row>
    <row r="2632" spans="7:7">
      <c r="G2632"/>
    </row>
    <row r="2633" spans="7:7">
      <c r="G2633"/>
    </row>
    <row r="2634" spans="7:7">
      <c r="G2634"/>
    </row>
    <row r="2635" spans="7:7">
      <c r="G2635"/>
    </row>
    <row r="2636" spans="7:7">
      <c r="G2636"/>
    </row>
    <row r="2637" spans="7:7">
      <c r="G2637"/>
    </row>
    <row r="2638" spans="7:7">
      <c r="G2638"/>
    </row>
    <row r="2639" spans="7:7">
      <c r="G2639"/>
    </row>
    <row r="2640" spans="7:7">
      <c r="G2640"/>
    </row>
    <row r="2641" spans="7:7">
      <c r="G2641"/>
    </row>
    <row r="2642" spans="7:7">
      <c r="G2642"/>
    </row>
    <row r="2643" spans="7:7">
      <c r="G2643"/>
    </row>
    <row r="2644" spans="7:7">
      <c r="G2644"/>
    </row>
    <row r="2645" spans="7:7">
      <c r="G2645"/>
    </row>
    <row r="2646" spans="7:7">
      <c r="G2646"/>
    </row>
    <row r="2647" spans="7:7">
      <c r="G2647"/>
    </row>
    <row r="2648" spans="7:7">
      <c r="G2648"/>
    </row>
    <row r="2649" spans="7:7">
      <c r="G2649"/>
    </row>
    <row r="2650" spans="7:7">
      <c r="G2650"/>
    </row>
    <row r="2651" spans="7:7">
      <c r="G2651"/>
    </row>
    <row r="2652" spans="7:7">
      <c r="G2652"/>
    </row>
    <row r="2653" spans="7:7">
      <c r="G2653"/>
    </row>
    <row r="2654" spans="7:7">
      <c r="G2654"/>
    </row>
    <row r="2655" spans="7:7">
      <c r="G2655"/>
    </row>
    <row r="2656" spans="7:7">
      <c r="G2656"/>
    </row>
    <row r="2657" spans="7:7">
      <c r="G2657"/>
    </row>
    <row r="2658" spans="7:7">
      <c r="G2658"/>
    </row>
    <row r="2659" spans="7:7">
      <c r="G2659"/>
    </row>
    <row r="2660" spans="7:7">
      <c r="G2660"/>
    </row>
    <row r="2661" spans="7:7">
      <c r="G2661"/>
    </row>
    <row r="2662" spans="7:7">
      <c r="G2662"/>
    </row>
    <row r="2663" spans="7:7">
      <c r="G2663"/>
    </row>
    <row r="2664" spans="7:7">
      <c r="G2664"/>
    </row>
    <row r="2665" spans="7:7">
      <c r="G2665"/>
    </row>
    <row r="2666" spans="7:7">
      <c r="G2666"/>
    </row>
    <row r="2667" spans="7:7">
      <c r="G2667"/>
    </row>
    <row r="2668" spans="7:7">
      <c r="G2668"/>
    </row>
    <row r="2669" spans="7:7">
      <c r="G2669"/>
    </row>
    <row r="2670" spans="7:7">
      <c r="G2670"/>
    </row>
    <row r="2671" spans="7:7">
      <c r="G2671"/>
    </row>
    <row r="2672" spans="7:7">
      <c r="G2672"/>
    </row>
    <row r="2673" spans="7:7">
      <c r="G2673"/>
    </row>
    <row r="2674" spans="7:7">
      <c r="G2674"/>
    </row>
    <row r="2675" spans="7:7">
      <c r="G2675"/>
    </row>
    <row r="2676" spans="7:7">
      <c r="G2676"/>
    </row>
    <row r="2677" spans="7:7">
      <c r="G2677"/>
    </row>
    <row r="2678" spans="7:7">
      <c r="G2678"/>
    </row>
    <row r="2679" spans="7:7">
      <c r="G2679"/>
    </row>
    <row r="2680" spans="7:7">
      <c r="G2680"/>
    </row>
    <row r="2681" spans="7:7">
      <c r="G2681"/>
    </row>
    <row r="2682" spans="7:7">
      <c r="G2682"/>
    </row>
    <row r="2683" spans="7:7">
      <c r="G2683"/>
    </row>
    <row r="2684" spans="7:7">
      <c r="G2684"/>
    </row>
    <row r="2685" spans="7:7">
      <c r="G2685"/>
    </row>
    <row r="2686" spans="7:7">
      <c r="G2686"/>
    </row>
    <row r="2687" spans="7:7">
      <c r="G2687"/>
    </row>
    <row r="2688" spans="7:7">
      <c r="G2688"/>
    </row>
    <row r="2689" spans="7:7">
      <c r="G2689"/>
    </row>
    <row r="2690" spans="7:7">
      <c r="G2690"/>
    </row>
    <row r="2691" spans="7:7">
      <c r="G2691"/>
    </row>
    <row r="2692" spans="7:7">
      <c r="G2692"/>
    </row>
    <row r="2693" spans="7:7">
      <c r="G2693"/>
    </row>
    <row r="2694" spans="7:7">
      <c r="G2694"/>
    </row>
    <row r="2695" spans="7:7">
      <c r="G2695"/>
    </row>
    <row r="2696" spans="7:7">
      <c r="G2696"/>
    </row>
    <row r="2697" spans="7:7">
      <c r="G2697"/>
    </row>
    <row r="2698" spans="7:7">
      <c r="G2698"/>
    </row>
    <row r="2699" spans="7:7">
      <c r="G2699"/>
    </row>
    <row r="2700" spans="7:7">
      <c r="G2700"/>
    </row>
    <row r="2701" spans="7:7">
      <c r="G2701"/>
    </row>
    <row r="2702" spans="7:7">
      <c r="G2702"/>
    </row>
    <row r="2703" spans="7:7">
      <c r="G2703"/>
    </row>
    <row r="2704" spans="7:7">
      <c r="G2704"/>
    </row>
    <row r="2705" spans="7:7">
      <c r="G2705"/>
    </row>
    <row r="2706" spans="7:7">
      <c r="G2706"/>
    </row>
    <row r="2707" spans="7:7">
      <c r="G2707"/>
    </row>
    <row r="2708" spans="7:7">
      <c r="G2708"/>
    </row>
    <row r="2709" spans="7:7">
      <c r="G2709"/>
    </row>
    <row r="2710" spans="7:7">
      <c r="G2710"/>
    </row>
    <row r="2711" spans="7:7">
      <c r="G2711"/>
    </row>
    <row r="2712" spans="7:7">
      <c r="G2712"/>
    </row>
    <row r="2713" spans="7:7">
      <c r="G2713"/>
    </row>
    <row r="2714" spans="7:7">
      <c r="G2714"/>
    </row>
    <row r="2715" spans="7:7">
      <c r="G2715"/>
    </row>
    <row r="2716" spans="7:7">
      <c r="G2716"/>
    </row>
    <row r="2717" spans="7:7">
      <c r="G2717"/>
    </row>
    <row r="2718" spans="7:7">
      <c r="G2718"/>
    </row>
    <row r="2719" spans="7:7">
      <c r="G2719"/>
    </row>
    <row r="2720" spans="7:7">
      <c r="G2720"/>
    </row>
    <row r="2721" spans="7:7">
      <c r="G2721"/>
    </row>
    <row r="2722" spans="7:7">
      <c r="G2722"/>
    </row>
    <row r="2723" spans="7:7">
      <c r="G2723"/>
    </row>
    <row r="2724" spans="7:7">
      <c r="G2724"/>
    </row>
    <row r="2725" spans="7:7">
      <c r="G2725"/>
    </row>
    <row r="2726" spans="7:7">
      <c r="G2726"/>
    </row>
    <row r="2727" spans="7:7">
      <c r="G2727"/>
    </row>
    <row r="2728" spans="7:7">
      <c r="G2728"/>
    </row>
    <row r="2729" spans="7:7">
      <c r="G2729"/>
    </row>
    <row r="2730" spans="7:7">
      <c r="G2730"/>
    </row>
    <row r="2731" spans="7:7">
      <c r="G2731"/>
    </row>
    <row r="2732" spans="7:7">
      <c r="G2732"/>
    </row>
    <row r="2733" spans="7:7">
      <c r="G2733"/>
    </row>
    <row r="2734" spans="7:7">
      <c r="G2734"/>
    </row>
    <row r="2735" spans="7:7">
      <c r="G2735"/>
    </row>
    <row r="2736" spans="7:7">
      <c r="G2736"/>
    </row>
    <row r="2737" spans="7:7">
      <c r="G2737"/>
    </row>
    <row r="2738" spans="7:7">
      <c r="G2738"/>
    </row>
    <row r="2739" spans="7:7">
      <c r="G2739"/>
    </row>
    <row r="2740" spans="7:7">
      <c r="G2740"/>
    </row>
    <row r="2741" spans="7:7">
      <c r="G2741"/>
    </row>
    <row r="2742" spans="7:7">
      <c r="G2742"/>
    </row>
    <row r="2743" spans="7:7">
      <c r="G2743"/>
    </row>
    <row r="2744" spans="7:7">
      <c r="G2744"/>
    </row>
    <row r="2745" spans="7:7">
      <c r="G2745"/>
    </row>
    <row r="2746" spans="7:7">
      <c r="G2746"/>
    </row>
    <row r="2747" spans="7:7">
      <c r="G2747"/>
    </row>
    <row r="2748" spans="7:7">
      <c r="G2748"/>
    </row>
    <row r="2749" spans="7:7">
      <c r="G2749"/>
    </row>
    <row r="2750" spans="7:7">
      <c r="G2750"/>
    </row>
    <row r="2751" spans="7:7">
      <c r="G2751"/>
    </row>
    <row r="2752" spans="7:7">
      <c r="G2752"/>
    </row>
    <row r="2753" spans="7:7">
      <c r="G2753"/>
    </row>
    <row r="2754" spans="7:7">
      <c r="G2754"/>
    </row>
    <row r="2755" spans="7:7">
      <c r="G2755"/>
    </row>
    <row r="2756" spans="7:7">
      <c r="G2756"/>
    </row>
    <row r="2757" spans="7:7">
      <c r="G2757"/>
    </row>
    <row r="2758" spans="7:7">
      <c r="G2758"/>
    </row>
    <row r="2759" spans="7:7">
      <c r="G2759"/>
    </row>
    <row r="2760" spans="7:7">
      <c r="G2760"/>
    </row>
    <row r="2761" spans="7:7">
      <c r="G2761"/>
    </row>
    <row r="2762" spans="7:7">
      <c r="G2762"/>
    </row>
    <row r="2763" spans="7:7">
      <c r="G2763"/>
    </row>
    <row r="2764" spans="7:7">
      <c r="G2764"/>
    </row>
    <row r="2765" spans="7:7">
      <c r="G2765"/>
    </row>
    <row r="2766" spans="7:7">
      <c r="G2766"/>
    </row>
    <row r="2767" spans="7:7">
      <c r="G2767"/>
    </row>
    <row r="2768" spans="7:7">
      <c r="G2768"/>
    </row>
    <row r="2769" spans="7:7">
      <c r="G2769"/>
    </row>
    <row r="2770" spans="7:7">
      <c r="G2770"/>
    </row>
    <row r="2771" spans="7:7">
      <c r="G2771"/>
    </row>
    <row r="2772" spans="7:7">
      <c r="G2772"/>
    </row>
    <row r="2773" spans="7:7">
      <c r="G2773"/>
    </row>
    <row r="2774" spans="7:7">
      <c r="G2774"/>
    </row>
    <row r="2775" spans="7:7">
      <c r="G2775"/>
    </row>
    <row r="2776" spans="7:7">
      <c r="G2776"/>
    </row>
    <row r="2777" spans="7:7">
      <c r="G2777"/>
    </row>
    <row r="2778" spans="7:7">
      <c r="G2778"/>
    </row>
    <row r="2779" spans="7:7">
      <c r="G2779"/>
    </row>
    <row r="2780" spans="7:7">
      <c r="G2780"/>
    </row>
    <row r="2781" spans="7:7">
      <c r="G2781"/>
    </row>
    <row r="2782" spans="7:7">
      <c r="G2782"/>
    </row>
    <row r="2783" spans="7:7">
      <c r="G2783"/>
    </row>
    <row r="2784" spans="7:7">
      <c r="G2784"/>
    </row>
    <row r="2785" spans="7:7">
      <c r="G2785"/>
    </row>
    <row r="2786" spans="7:7">
      <c r="G2786"/>
    </row>
    <row r="2787" spans="7:7">
      <c r="G2787"/>
    </row>
    <row r="2788" spans="7:7">
      <c r="G2788"/>
    </row>
    <row r="2789" spans="7:7">
      <c r="G2789"/>
    </row>
    <row r="2790" spans="7:7">
      <c r="G2790"/>
    </row>
    <row r="2791" spans="7:7">
      <c r="G2791"/>
    </row>
    <row r="2792" spans="7:7">
      <c r="G2792"/>
    </row>
    <row r="2793" spans="7:7">
      <c r="G2793"/>
    </row>
    <row r="2794" spans="7:7">
      <c r="G2794"/>
    </row>
    <row r="2795" spans="7:7">
      <c r="G2795"/>
    </row>
    <row r="2796" spans="7:7">
      <c r="G2796"/>
    </row>
    <row r="2797" spans="7:7">
      <c r="G2797"/>
    </row>
    <row r="2798" spans="7:7">
      <c r="G2798"/>
    </row>
    <row r="2799" spans="7:7">
      <c r="G2799"/>
    </row>
    <row r="2800" spans="7:7">
      <c r="G2800"/>
    </row>
    <row r="2801" spans="7:7">
      <c r="G2801"/>
    </row>
    <row r="2802" spans="7:7">
      <c r="G2802"/>
    </row>
    <row r="2803" spans="7:7">
      <c r="G2803"/>
    </row>
    <row r="2804" spans="7:7">
      <c r="G2804"/>
    </row>
    <row r="2805" spans="7:7">
      <c r="G2805"/>
    </row>
    <row r="2806" spans="7:7">
      <c r="G2806"/>
    </row>
    <row r="2807" spans="7:7">
      <c r="G2807"/>
    </row>
    <row r="2808" spans="7:7">
      <c r="G2808"/>
    </row>
    <row r="2809" spans="7:7">
      <c r="G2809"/>
    </row>
    <row r="2810" spans="7:7">
      <c r="G2810"/>
    </row>
    <row r="2811" spans="7:7">
      <c r="G2811"/>
    </row>
    <row r="2812" spans="7:7">
      <c r="G2812"/>
    </row>
    <row r="2813" spans="7:7">
      <c r="G2813"/>
    </row>
    <row r="2814" spans="7:7">
      <c r="G2814"/>
    </row>
    <row r="2815" spans="7:7">
      <c r="G2815"/>
    </row>
    <row r="2816" spans="7:7">
      <c r="G2816"/>
    </row>
    <row r="2817" spans="7:7">
      <c r="G2817"/>
    </row>
    <row r="2818" spans="7:7">
      <c r="G2818"/>
    </row>
    <row r="2819" spans="7:7">
      <c r="G2819"/>
    </row>
    <row r="2820" spans="7:7">
      <c r="G2820"/>
    </row>
    <row r="2821" spans="7:7">
      <c r="G2821"/>
    </row>
    <row r="2822" spans="7:7">
      <c r="G2822"/>
    </row>
    <row r="2823" spans="7:7">
      <c r="G2823"/>
    </row>
    <row r="2824" spans="7:7">
      <c r="G2824"/>
    </row>
    <row r="2825" spans="7:7">
      <c r="G2825"/>
    </row>
    <row r="2826" spans="7:7">
      <c r="G2826"/>
    </row>
    <row r="2827" spans="7:7">
      <c r="G2827"/>
    </row>
    <row r="2828" spans="7:7">
      <c r="G2828"/>
    </row>
    <row r="2829" spans="7:7">
      <c r="G2829"/>
    </row>
    <row r="2830" spans="7:7">
      <c r="G2830"/>
    </row>
    <row r="2831" spans="7:7">
      <c r="G2831"/>
    </row>
    <row r="2832" spans="7:7">
      <c r="G2832"/>
    </row>
    <row r="2833" spans="7:7">
      <c r="G2833"/>
    </row>
    <row r="2834" spans="7:7">
      <c r="G2834"/>
    </row>
    <row r="2835" spans="7:7">
      <c r="G2835"/>
    </row>
    <row r="2836" spans="7:7">
      <c r="G2836"/>
    </row>
    <row r="2837" spans="7:7">
      <c r="G2837"/>
    </row>
    <row r="2838" spans="7:7">
      <c r="G2838"/>
    </row>
    <row r="2839" spans="7:7">
      <c r="G2839"/>
    </row>
    <row r="2840" spans="7:7">
      <c r="G2840"/>
    </row>
    <row r="2841" spans="7:7">
      <c r="G2841"/>
    </row>
    <row r="2842" spans="7:7">
      <c r="G2842"/>
    </row>
    <row r="2843" spans="7:7">
      <c r="G2843"/>
    </row>
    <row r="2844" spans="7:7">
      <c r="G2844"/>
    </row>
    <row r="2845" spans="7:7">
      <c r="G2845"/>
    </row>
    <row r="2846" spans="7:7">
      <c r="G2846"/>
    </row>
    <row r="2847" spans="7:7">
      <c r="G2847"/>
    </row>
    <row r="2848" spans="7:7">
      <c r="G2848"/>
    </row>
    <row r="2849" spans="7:7">
      <c r="G2849"/>
    </row>
    <row r="2850" spans="7:7">
      <c r="G2850"/>
    </row>
    <row r="2851" spans="7:7">
      <c r="G2851"/>
    </row>
    <row r="2852" spans="7:7">
      <c r="G2852"/>
    </row>
    <row r="2853" spans="7:7">
      <c r="G2853"/>
    </row>
    <row r="2854" spans="7:7">
      <c r="G2854"/>
    </row>
    <row r="2855" spans="7:7">
      <c r="G2855"/>
    </row>
    <row r="2856" spans="7:7">
      <c r="G2856"/>
    </row>
    <row r="2857" spans="7:7">
      <c r="G2857"/>
    </row>
    <row r="2858" spans="7:7">
      <c r="G2858"/>
    </row>
    <row r="2859" spans="7:7">
      <c r="G2859"/>
    </row>
    <row r="2860" spans="7:7">
      <c r="G2860"/>
    </row>
    <row r="2861" spans="7:7">
      <c r="G2861"/>
    </row>
    <row r="2862" spans="7:7">
      <c r="G2862"/>
    </row>
    <row r="2863" spans="7:7">
      <c r="G2863"/>
    </row>
    <row r="2864" spans="7:7">
      <c r="G2864"/>
    </row>
    <row r="2865" spans="7:7">
      <c r="G2865"/>
    </row>
    <row r="2866" spans="7:7">
      <c r="G2866"/>
    </row>
    <row r="2867" spans="7:7">
      <c r="G2867"/>
    </row>
    <row r="2868" spans="7:7">
      <c r="G2868"/>
    </row>
    <row r="2869" spans="7:7">
      <c r="G2869"/>
    </row>
    <row r="2870" spans="7:7">
      <c r="G2870"/>
    </row>
    <row r="2871" spans="7:7">
      <c r="G2871"/>
    </row>
    <row r="2872" spans="7:7">
      <c r="G2872"/>
    </row>
    <row r="2873" spans="7:7">
      <c r="G2873"/>
    </row>
    <row r="2874" spans="7:7">
      <c r="G2874"/>
    </row>
    <row r="2875" spans="7:7">
      <c r="G2875"/>
    </row>
    <row r="2876" spans="7:7">
      <c r="G2876"/>
    </row>
    <row r="2877" spans="7:7">
      <c r="G2877"/>
    </row>
    <row r="2878" spans="7:7">
      <c r="G2878"/>
    </row>
    <row r="2879" spans="7:7">
      <c r="G2879"/>
    </row>
    <row r="2880" spans="7:7">
      <c r="G2880"/>
    </row>
    <row r="2881" spans="7:7">
      <c r="G2881"/>
    </row>
    <row r="2882" spans="7:7">
      <c r="G2882"/>
    </row>
    <row r="2883" spans="7:7">
      <c r="G2883"/>
    </row>
    <row r="2884" spans="7:7">
      <c r="G2884"/>
    </row>
    <row r="2885" spans="7:7">
      <c r="G2885"/>
    </row>
    <row r="2886" spans="7:7">
      <c r="G2886"/>
    </row>
    <row r="2887" spans="7:7">
      <c r="G2887"/>
    </row>
    <row r="2888" spans="7:7">
      <c r="G2888"/>
    </row>
    <row r="2889" spans="7:7">
      <c r="G2889"/>
    </row>
    <row r="2890" spans="7:7">
      <c r="G2890"/>
    </row>
    <row r="2891" spans="7:7">
      <c r="G2891"/>
    </row>
    <row r="2892" spans="7:7">
      <c r="G2892"/>
    </row>
    <row r="2893" spans="7:7">
      <c r="G2893"/>
    </row>
    <row r="2894" spans="7:7">
      <c r="G2894"/>
    </row>
    <row r="2895" spans="7:7">
      <c r="G2895"/>
    </row>
    <row r="2896" spans="7:7">
      <c r="G2896"/>
    </row>
    <row r="2897" spans="7:7">
      <c r="G2897"/>
    </row>
    <row r="2898" spans="7:7">
      <c r="G2898"/>
    </row>
    <row r="2899" spans="7:7">
      <c r="G2899"/>
    </row>
    <row r="2900" spans="7:7">
      <c r="G2900"/>
    </row>
    <row r="2901" spans="7:7">
      <c r="G2901"/>
    </row>
    <row r="2902" spans="7:7">
      <c r="G2902"/>
    </row>
    <row r="2903" spans="7:7">
      <c r="G2903"/>
    </row>
    <row r="2904" spans="7:7">
      <c r="G2904"/>
    </row>
    <row r="2905" spans="7:7">
      <c r="G2905"/>
    </row>
    <row r="2906" spans="7:7">
      <c r="G2906"/>
    </row>
    <row r="2907" spans="7:7">
      <c r="G2907"/>
    </row>
    <row r="2908" spans="7:7">
      <c r="G2908"/>
    </row>
    <row r="2909" spans="7:7">
      <c r="G2909"/>
    </row>
    <row r="2910" spans="7:7">
      <c r="G2910"/>
    </row>
    <row r="2911" spans="7:7">
      <c r="G2911"/>
    </row>
    <row r="2912" spans="7:7">
      <c r="G2912"/>
    </row>
    <row r="2913" spans="7:7">
      <c r="G2913"/>
    </row>
    <row r="2914" spans="7:7">
      <c r="G2914"/>
    </row>
    <row r="2915" spans="7:7">
      <c r="G2915"/>
    </row>
    <row r="2916" spans="7:7">
      <c r="G2916"/>
    </row>
    <row r="2917" spans="7:7">
      <c r="G2917"/>
    </row>
    <row r="2918" spans="7:7">
      <c r="G2918"/>
    </row>
    <row r="2919" spans="7:7">
      <c r="G2919"/>
    </row>
    <row r="2920" spans="7:7">
      <c r="G2920"/>
    </row>
    <row r="2921" spans="7:7">
      <c r="G2921"/>
    </row>
    <row r="2922" spans="7:7">
      <c r="G2922"/>
    </row>
    <row r="2923" spans="7:7">
      <c r="G2923"/>
    </row>
    <row r="2924" spans="7:7">
      <c r="G2924"/>
    </row>
    <row r="2925" spans="7:7">
      <c r="G2925"/>
    </row>
    <row r="2926" spans="7:7">
      <c r="G2926"/>
    </row>
    <row r="2927" spans="7:7">
      <c r="G2927"/>
    </row>
    <row r="2928" spans="7:7">
      <c r="G2928"/>
    </row>
    <row r="2929" spans="7:7">
      <c r="G2929"/>
    </row>
    <row r="2930" spans="7:7">
      <c r="G2930"/>
    </row>
    <row r="2931" spans="7:7">
      <c r="G2931"/>
    </row>
    <row r="2932" spans="7:7">
      <c r="G2932"/>
    </row>
    <row r="2933" spans="7:7">
      <c r="G2933"/>
    </row>
    <row r="2934" spans="7:7">
      <c r="G2934"/>
    </row>
    <row r="2935" spans="7:7">
      <c r="G2935"/>
    </row>
    <row r="2936" spans="7:7">
      <c r="G2936"/>
    </row>
    <row r="2937" spans="7:7">
      <c r="G2937"/>
    </row>
    <row r="2938" spans="7:7">
      <c r="G2938"/>
    </row>
    <row r="2939" spans="7:7">
      <c r="G2939"/>
    </row>
    <row r="2940" spans="7:7">
      <c r="G2940"/>
    </row>
    <row r="2941" spans="7:7">
      <c r="G2941"/>
    </row>
    <row r="2942" spans="7:7">
      <c r="G2942"/>
    </row>
    <row r="2943" spans="7:7">
      <c r="G2943"/>
    </row>
    <row r="2944" spans="7:7">
      <c r="G2944"/>
    </row>
    <row r="2945" spans="7:7">
      <c r="G2945"/>
    </row>
    <row r="2946" spans="7:7">
      <c r="G2946"/>
    </row>
    <row r="2947" spans="7:7">
      <c r="G2947"/>
    </row>
    <row r="2948" spans="7:7">
      <c r="G2948"/>
    </row>
    <row r="2949" spans="7:7">
      <c r="G2949"/>
    </row>
    <row r="2950" spans="7:7">
      <c r="G2950"/>
    </row>
    <row r="2951" spans="7:7">
      <c r="G2951"/>
    </row>
    <row r="2952" spans="7:7">
      <c r="G2952"/>
    </row>
    <row r="2953" spans="7:7">
      <c r="G2953"/>
    </row>
    <row r="2954" spans="7:7">
      <c r="G2954"/>
    </row>
    <row r="2955" spans="7:7">
      <c r="G2955"/>
    </row>
    <row r="2956" spans="7:7">
      <c r="G2956"/>
    </row>
    <row r="2957" spans="7:7">
      <c r="G2957"/>
    </row>
    <row r="2958" spans="7:7">
      <c r="G2958"/>
    </row>
    <row r="2959" spans="7:7">
      <c r="G2959"/>
    </row>
    <row r="2960" spans="7:7">
      <c r="G2960"/>
    </row>
    <row r="2961" spans="7:7">
      <c r="G2961"/>
    </row>
    <row r="2962" spans="7:7">
      <c r="G2962"/>
    </row>
    <row r="2963" spans="7:7">
      <c r="G2963"/>
    </row>
    <row r="2964" spans="7:7">
      <c r="G2964"/>
    </row>
    <row r="2965" spans="7:7">
      <c r="G2965"/>
    </row>
    <row r="2966" spans="7:7">
      <c r="G2966"/>
    </row>
    <row r="2967" spans="7:7">
      <c r="G2967"/>
    </row>
    <row r="2968" spans="7:7">
      <c r="G2968"/>
    </row>
    <row r="2969" spans="7:7">
      <c r="G2969"/>
    </row>
    <row r="2970" spans="7:7">
      <c r="G2970"/>
    </row>
    <row r="2971" spans="7:7">
      <c r="G2971"/>
    </row>
    <row r="2972" spans="7:7">
      <c r="G2972"/>
    </row>
    <row r="2973" spans="7:7">
      <c r="G2973"/>
    </row>
    <row r="2974" spans="7:7">
      <c r="G2974"/>
    </row>
    <row r="2975" spans="7:7">
      <c r="G2975"/>
    </row>
    <row r="2976" spans="7:7">
      <c r="G2976"/>
    </row>
    <row r="2977" spans="7:7">
      <c r="G2977"/>
    </row>
    <row r="2978" spans="7:7">
      <c r="G2978"/>
    </row>
    <row r="2979" spans="7:7">
      <c r="G2979"/>
    </row>
    <row r="2980" spans="7:7">
      <c r="G2980"/>
    </row>
    <row r="2981" spans="7:7">
      <c r="G2981"/>
    </row>
    <row r="2982" spans="7:7">
      <c r="G2982"/>
    </row>
    <row r="2983" spans="7:7">
      <c r="G2983"/>
    </row>
    <row r="2984" spans="7:7">
      <c r="G2984"/>
    </row>
    <row r="2985" spans="7:7">
      <c r="G2985"/>
    </row>
    <row r="2986" spans="7:7">
      <c r="G2986"/>
    </row>
    <row r="2987" spans="7:7">
      <c r="G2987"/>
    </row>
    <row r="2988" spans="7:7">
      <c r="G2988"/>
    </row>
    <row r="2989" spans="7:7">
      <c r="G2989"/>
    </row>
    <row r="2990" spans="7:7">
      <c r="G2990"/>
    </row>
    <row r="2991" spans="7:7">
      <c r="G2991"/>
    </row>
    <row r="2992" spans="7:7">
      <c r="G2992"/>
    </row>
    <row r="2993" spans="7:7">
      <c r="G2993"/>
    </row>
    <row r="2994" spans="7:7">
      <c r="G2994"/>
    </row>
    <row r="2995" spans="7:7">
      <c r="G2995"/>
    </row>
    <row r="2996" spans="7:7">
      <c r="G2996"/>
    </row>
    <row r="2997" spans="7:7">
      <c r="G2997"/>
    </row>
    <row r="2998" spans="7:7">
      <c r="G2998"/>
    </row>
    <row r="2999" spans="7:7">
      <c r="G2999"/>
    </row>
    <row r="3000" spans="7:7">
      <c r="G3000"/>
    </row>
    <row r="3001" spans="7:7">
      <c r="G3001"/>
    </row>
    <row r="3002" spans="7:7">
      <c r="G3002"/>
    </row>
    <row r="3003" spans="7:7">
      <c r="G3003"/>
    </row>
    <row r="3004" spans="7:7">
      <c r="G3004"/>
    </row>
    <row r="3005" spans="7:7">
      <c r="G3005"/>
    </row>
    <row r="3006" spans="7:7">
      <c r="G3006"/>
    </row>
    <row r="3007" spans="7:7">
      <c r="G3007"/>
    </row>
    <row r="3008" spans="7:7">
      <c r="G3008"/>
    </row>
    <row r="3009" spans="7:7">
      <c r="G3009"/>
    </row>
    <row r="3010" spans="7:7">
      <c r="G3010"/>
    </row>
    <row r="3011" spans="7:7">
      <c r="G3011"/>
    </row>
    <row r="3012" spans="7:7">
      <c r="G3012"/>
    </row>
    <row r="3013" spans="7:7">
      <c r="G3013"/>
    </row>
    <row r="3014" spans="7:7">
      <c r="G3014"/>
    </row>
    <row r="3015" spans="7:7">
      <c r="G3015"/>
    </row>
    <row r="3016" spans="7:7">
      <c r="G3016"/>
    </row>
    <row r="3017" spans="7:7">
      <c r="G3017"/>
    </row>
    <row r="3018" spans="7:7">
      <c r="G3018"/>
    </row>
    <row r="3019" spans="7:7">
      <c r="G3019"/>
    </row>
    <row r="3020" spans="7:7">
      <c r="G3020"/>
    </row>
    <row r="3021" spans="7:7">
      <c r="G3021"/>
    </row>
    <row r="3022" spans="7:7">
      <c r="G3022"/>
    </row>
    <row r="3023" spans="7:7">
      <c r="G3023"/>
    </row>
    <row r="3024" spans="7:7">
      <c r="G3024"/>
    </row>
    <row r="3025" spans="7:7">
      <c r="G3025"/>
    </row>
    <row r="3026" spans="7:7">
      <c r="G3026"/>
    </row>
    <row r="3027" spans="7:7">
      <c r="G3027"/>
    </row>
    <row r="3028" spans="7:7">
      <c r="G3028"/>
    </row>
    <row r="3029" spans="7:7">
      <c r="G3029"/>
    </row>
    <row r="3030" spans="7:7">
      <c r="G3030"/>
    </row>
    <row r="3031" spans="7:7">
      <c r="G3031"/>
    </row>
    <row r="3032" spans="7:7">
      <c r="G3032"/>
    </row>
    <row r="3033" spans="7:7">
      <c r="G3033"/>
    </row>
    <row r="3034" spans="7:7">
      <c r="G3034"/>
    </row>
    <row r="3035" spans="7:7">
      <c r="G3035"/>
    </row>
    <row r="3036" spans="7:7">
      <c r="G3036"/>
    </row>
    <row r="3037" spans="7:7">
      <c r="G3037"/>
    </row>
    <row r="3038" spans="7:7">
      <c r="G3038"/>
    </row>
    <row r="3039" spans="7:7">
      <c r="G3039"/>
    </row>
    <row r="3040" spans="7:7">
      <c r="G3040"/>
    </row>
    <row r="3041" spans="7:7">
      <c r="G3041"/>
    </row>
    <row r="3042" spans="7:7">
      <c r="G3042"/>
    </row>
    <row r="3043" spans="7:7">
      <c r="G3043"/>
    </row>
    <row r="3044" spans="7:7">
      <c r="G3044"/>
    </row>
    <row r="3045" spans="7:7">
      <c r="G3045"/>
    </row>
    <row r="3046" spans="7:7">
      <c r="G3046"/>
    </row>
    <row r="3047" spans="7:7">
      <c r="G3047"/>
    </row>
    <row r="3048" spans="7:7">
      <c r="G3048"/>
    </row>
    <row r="3049" spans="7:7">
      <c r="G3049"/>
    </row>
    <row r="3050" spans="7:7">
      <c r="G3050"/>
    </row>
    <row r="3051" spans="7:7">
      <c r="G3051"/>
    </row>
    <row r="3052" spans="7:7">
      <c r="G3052"/>
    </row>
    <row r="3053" spans="7:7">
      <c r="G3053"/>
    </row>
    <row r="3054" spans="7:7">
      <c r="G3054"/>
    </row>
    <row r="3055" spans="7:7">
      <c r="G3055"/>
    </row>
    <row r="3056" spans="7:7">
      <c r="G3056"/>
    </row>
    <row r="3057" spans="7:7">
      <c r="G3057"/>
    </row>
    <row r="3058" spans="7:7">
      <c r="G3058"/>
    </row>
    <row r="3059" spans="7:7">
      <c r="G3059"/>
    </row>
    <row r="3060" spans="7:7">
      <c r="G3060"/>
    </row>
    <row r="3061" spans="7:7">
      <c r="G3061"/>
    </row>
    <row r="3062" spans="7:7">
      <c r="G3062"/>
    </row>
    <row r="3063" spans="7:7">
      <c r="G3063"/>
    </row>
    <row r="3064" spans="7:7">
      <c r="G3064"/>
    </row>
    <row r="3065" spans="7:7">
      <c r="G3065"/>
    </row>
    <row r="3066" spans="7:7">
      <c r="G3066"/>
    </row>
    <row r="3067" spans="7:7">
      <c r="G3067"/>
    </row>
    <row r="3068" spans="7:7">
      <c r="G3068"/>
    </row>
    <row r="3069" spans="7:7">
      <c r="G3069"/>
    </row>
    <row r="3070" spans="7:7">
      <c r="G3070"/>
    </row>
    <row r="3071" spans="7:7">
      <c r="G3071"/>
    </row>
    <row r="3072" spans="7:7">
      <c r="G3072"/>
    </row>
    <row r="3073" spans="7:7">
      <c r="G3073"/>
    </row>
    <row r="3074" spans="7:7">
      <c r="G3074"/>
    </row>
    <row r="3075" spans="7:7">
      <c r="G3075"/>
    </row>
    <row r="3076" spans="7:7">
      <c r="G3076"/>
    </row>
    <row r="3077" spans="7:7">
      <c r="G3077"/>
    </row>
    <row r="3078" spans="7:7">
      <c r="G3078"/>
    </row>
    <row r="3079" spans="7:7">
      <c r="G3079"/>
    </row>
    <row r="3080" spans="7:7">
      <c r="G3080"/>
    </row>
    <row r="3081" spans="7:7">
      <c r="G3081"/>
    </row>
    <row r="3082" spans="7:7">
      <c r="G3082"/>
    </row>
    <row r="3083" spans="7:7">
      <c r="G3083"/>
    </row>
    <row r="3084" spans="7:7">
      <c r="G3084"/>
    </row>
    <row r="3085" spans="7:7">
      <c r="G3085"/>
    </row>
    <row r="3086" spans="7:7">
      <c r="G3086"/>
    </row>
    <row r="3087" spans="7:7">
      <c r="G3087"/>
    </row>
    <row r="3088" spans="7:7">
      <c r="G3088"/>
    </row>
    <row r="3089" spans="7:7">
      <c r="G3089"/>
    </row>
    <row r="3090" spans="7:7">
      <c r="G3090"/>
    </row>
    <row r="3091" spans="7:7">
      <c r="G3091"/>
    </row>
    <row r="3092" spans="7:7">
      <c r="G3092"/>
    </row>
    <row r="3093" spans="7:7">
      <c r="G3093"/>
    </row>
    <row r="3094" spans="7:7">
      <c r="G3094"/>
    </row>
    <row r="3095" spans="7:7">
      <c r="G3095"/>
    </row>
    <row r="3096" spans="7:7">
      <c r="G3096"/>
    </row>
    <row r="3097" spans="7:7">
      <c r="G3097"/>
    </row>
    <row r="3098" spans="7:7">
      <c r="G3098"/>
    </row>
    <row r="3099" spans="7:7">
      <c r="G3099"/>
    </row>
    <row r="3100" spans="7:7">
      <c r="G3100"/>
    </row>
    <row r="3101" spans="7:7">
      <c r="G3101"/>
    </row>
    <row r="3102" spans="7:7">
      <c r="G3102"/>
    </row>
    <row r="3103" spans="7:7">
      <c r="G3103"/>
    </row>
    <row r="3104" spans="7:7">
      <c r="G3104"/>
    </row>
    <row r="3105" spans="7:7">
      <c r="G3105"/>
    </row>
    <row r="3106" spans="7:7">
      <c r="G3106"/>
    </row>
    <row r="3107" spans="7:7">
      <c r="G3107"/>
    </row>
    <row r="3108" spans="7:7">
      <c r="G3108"/>
    </row>
    <row r="3109" spans="7:7">
      <c r="G3109"/>
    </row>
    <row r="3110" spans="7:7">
      <c r="G3110"/>
    </row>
    <row r="3111" spans="7:7">
      <c r="G3111"/>
    </row>
    <row r="3112" spans="7:7">
      <c r="G3112"/>
    </row>
    <row r="3113" spans="7:7">
      <c r="G3113"/>
    </row>
    <row r="3114" spans="7:7">
      <c r="G3114"/>
    </row>
    <row r="3115" spans="7:7">
      <c r="G3115"/>
    </row>
    <row r="3116" spans="7:7">
      <c r="G3116"/>
    </row>
    <row r="3117" spans="7:7">
      <c r="G3117"/>
    </row>
    <row r="3118" spans="7:7">
      <c r="G3118"/>
    </row>
    <row r="3119" spans="7:7">
      <c r="G3119"/>
    </row>
    <row r="3120" spans="7:7">
      <c r="G3120"/>
    </row>
    <row r="3121" spans="7:7">
      <c r="G3121"/>
    </row>
    <row r="3122" spans="7:7">
      <c r="G3122"/>
    </row>
    <row r="3123" spans="7:7">
      <c r="G3123"/>
    </row>
    <row r="3124" spans="7:7">
      <c r="G3124"/>
    </row>
    <row r="3125" spans="7:7">
      <c r="G3125"/>
    </row>
    <row r="3126" spans="7:7">
      <c r="G3126"/>
    </row>
    <row r="3127" spans="7:7">
      <c r="G3127"/>
    </row>
    <row r="3128" spans="7:7">
      <c r="G3128"/>
    </row>
    <row r="3129" spans="7:7">
      <c r="G3129"/>
    </row>
    <row r="3130" spans="7:7">
      <c r="G3130"/>
    </row>
    <row r="3131" spans="7:7">
      <c r="G3131"/>
    </row>
    <row r="3132" spans="7:7">
      <c r="G3132"/>
    </row>
    <row r="3133" spans="7:7">
      <c r="G3133"/>
    </row>
    <row r="3134" spans="7:7">
      <c r="G3134"/>
    </row>
    <row r="3135" spans="7:7">
      <c r="G3135"/>
    </row>
    <row r="3136" spans="7:7">
      <c r="G3136"/>
    </row>
    <row r="3137" spans="7:7">
      <c r="G3137"/>
    </row>
    <row r="3138" spans="7:7">
      <c r="G3138"/>
    </row>
    <row r="3139" spans="7:7">
      <c r="G3139"/>
    </row>
    <row r="3140" spans="7:7">
      <c r="G3140"/>
    </row>
    <row r="3141" spans="7:7">
      <c r="G3141"/>
    </row>
    <row r="3142" spans="7:7">
      <c r="G3142"/>
    </row>
    <row r="3143" spans="7:7">
      <c r="G3143"/>
    </row>
    <row r="3144" spans="7:7">
      <c r="G3144"/>
    </row>
    <row r="3145" spans="7:7">
      <c r="G3145"/>
    </row>
    <row r="3146" spans="7:7">
      <c r="G3146"/>
    </row>
    <row r="3147" spans="7:7">
      <c r="G3147"/>
    </row>
    <row r="3148" spans="7:7">
      <c r="G3148"/>
    </row>
    <row r="3149" spans="7:7">
      <c r="G3149"/>
    </row>
    <row r="3150" spans="7:7">
      <c r="G3150"/>
    </row>
    <row r="3151" spans="7:7">
      <c r="G3151"/>
    </row>
    <row r="3152" spans="7:7">
      <c r="G3152"/>
    </row>
    <row r="3153" spans="7:7">
      <c r="G3153"/>
    </row>
    <row r="3154" spans="7:7">
      <c r="G3154"/>
    </row>
    <row r="3155" spans="7:7">
      <c r="G3155"/>
    </row>
    <row r="3156" spans="7:7">
      <c r="G3156"/>
    </row>
    <row r="3157" spans="7:7">
      <c r="G3157"/>
    </row>
    <row r="3158" spans="7:7">
      <c r="G3158"/>
    </row>
    <row r="3159" spans="7:7">
      <c r="G3159"/>
    </row>
    <row r="3160" spans="7:7">
      <c r="G3160"/>
    </row>
    <row r="3161" spans="7:7">
      <c r="G3161"/>
    </row>
    <row r="3162" spans="7:7">
      <c r="G3162"/>
    </row>
    <row r="3163" spans="7:7">
      <c r="G3163"/>
    </row>
    <row r="3164" spans="7:7">
      <c r="G3164"/>
    </row>
    <row r="3165" spans="7:7">
      <c r="G3165"/>
    </row>
    <row r="3166" spans="7:7">
      <c r="G3166"/>
    </row>
    <row r="3167" spans="7:7">
      <c r="G3167"/>
    </row>
    <row r="3168" spans="7:7">
      <c r="G3168"/>
    </row>
    <row r="3169" spans="7:7">
      <c r="G3169"/>
    </row>
    <row r="3170" spans="7:7">
      <c r="G3170"/>
    </row>
    <row r="3171" spans="7:7">
      <c r="G3171"/>
    </row>
    <row r="3172" spans="7:7">
      <c r="G3172"/>
    </row>
    <row r="3173" spans="7:7">
      <c r="G3173"/>
    </row>
    <row r="3174" spans="7:7">
      <c r="G3174"/>
    </row>
    <row r="3175" spans="7:7">
      <c r="G3175"/>
    </row>
    <row r="3176" spans="7:7">
      <c r="G3176"/>
    </row>
    <row r="3177" spans="7:7">
      <c r="G3177"/>
    </row>
    <row r="3178" spans="7:7">
      <c r="G3178"/>
    </row>
    <row r="3179" spans="7:7">
      <c r="G3179"/>
    </row>
    <row r="3180" spans="7:7">
      <c r="G3180"/>
    </row>
    <row r="3181" spans="7:7">
      <c r="G3181"/>
    </row>
    <row r="3182" spans="7:7">
      <c r="G3182"/>
    </row>
    <row r="3183" spans="7:7">
      <c r="G3183"/>
    </row>
    <row r="3184" spans="7:7">
      <c r="G3184"/>
    </row>
    <row r="3185" spans="7:7">
      <c r="G3185"/>
    </row>
    <row r="3186" spans="7:7">
      <c r="G3186"/>
    </row>
    <row r="3187" spans="7:7">
      <c r="G3187"/>
    </row>
    <row r="3188" spans="7:7">
      <c r="G3188"/>
    </row>
    <row r="3189" spans="7:7">
      <c r="G3189"/>
    </row>
    <row r="3190" spans="7:7">
      <c r="G3190"/>
    </row>
    <row r="3191" spans="7:7">
      <c r="G3191"/>
    </row>
    <row r="3192" spans="7:7">
      <c r="G3192"/>
    </row>
    <row r="3193" spans="7:7">
      <c r="G3193"/>
    </row>
    <row r="3194" spans="7:7">
      <c r="G3194"/>
    </row>
    <row r="3195" spans="7:7">
      <c r="G3195"/>
    </row>
    <row r="3196" spans="7:7">
      <c r="G3196"/>
    </row>
    <row r="3197" spans="7:7">
      <c r="G3197"/>
    </row>
    <row r="3198" spans="7:7">
      <c r="G3198"/>
    </row>
    <row r="3199" spans="7:7">
      <c r="G3199"/>
    </row>
    <row r="3200" spans="7:7">
      <c r="G3200"/>
    </row>
    <row r="3201" spans="7:7">
      <c r="G3201"/>
    </row>
    <row r="3202" spans="7:7">
      <c r="G3202"/>
    </row>
    <row r="3203" spans="7:7">
      <c r="G3203"/>
    </row>
    <row r="3204" spans="7:7">
      <c r="G3204"/>
    </row>
    <row r="3205" spans="7:7">
      <c r="G3205"/>
    </row>
    <row r="3206" spans="7:7">
      <c r="G3206"/>
    </row>
    <row r="3207" spans="7:7">
      <c r="G3207"/>
    </row>
    <row r="3208" spans="7:7">
      <c r="G3208"/>
    </row>
    <row r="3209" spans="7:7">
      <c r="G3209"/>
    </row>
    <row r="3210" spans="7:7">
      <c r="G3210"/>
    </row>
    <row r="3211" spans="7:7">
      <c r="G3211"/>
    </row>
    <row r="3212" spans="7:7">
      <c r="G3212"/>
    </row>
    <row r="3213" spans="7:7">
      <c r="G3213"/>
    </row>
    <row r="3214" spans="7:7">
      <c r="G3214"/>
    </row>
    <row r="3215" spans="7:7">
      <c r="G3215"/>
    </row>
    <row r="3216" spans="7:7">
      <c r="G3216"/>
    </row>
    <row r="3217" spans="7:7">
      <c r="G3217"/>
    </row>
    <row r="3218" spans="7:7">
      <c r="G3218"/>
    </row>
    <row r="3219" spans="7:7">
      <c r="G3219"/>
    </row>
    <row r="3220" spans="7:7">
      <c r="G3220"/>
    </row>
    <row r="3221" spans="7:7">
      <c r="G3221"/>
    </row>
    <row r="3222" spans="7:7">
      <c r="G3222"/>
    </row>
    <row r="3223" spans="7:7">
      <c r="G3223"/>
    </row>
    <row r="3224" spans="7:7">
      <c r="G3224"/>
    </row>
    <row r="3225" spans="7:7">
      <c r="G3225"/>
    </row>
    <row r="3226" spans="7:7">
      <c r="G3226"/>
    </row>
    <row r="3227" spans="7:7">
      <c r="G3227"/>
    </row>
    <row r="3228" spans="7:7">
      <c r="G3228"/>
    </row>
    <row r="3229" spans="7:7">
      <c r="G3229"/>
    </row>
    <row r="3230" spans="7:7">
      <c r="G3230"/>
    </row>
    <row r="3231" spans="7:7">
      <c r="G3231"/>
    </row>
    <row r="3232" spans="7:7">
      <c r="G3232"/>
    </row>
    <row r="3233" spans="7:7">
      <c r="G3233"/>
    </row>
    <row r="3234" spans="7:7">
      <c r="G3234"/>
    </row>
    <row r="3235" spans="7:7">
      <c r="G3235"/>
    </row>
    <row r="3236" spans="7:7">
      <c r="G3236"/>
    </row>
    <row r="3237" spans="7:7">
      <c r="G3237"/>
    </row>
    <row r="3238" spans="7:7">
      <c r="G3238"/>
    </row>
    <row r="3239" spans="7:7">
      <c r="G3239"/>
    </row>
    <row r="3240" spans="7:7">
      <c r="G3240"/>
    </row>
    <row r="3241" spans="7:7">
      <c r="G3241"/>
    </row>
    <row r="3242" spans="7:7">
      <c r="G3242"/>
    </row>
    <row r="3243" spans="7:7">
      <c r="G3243"/>
    </row>
    <row r="3244" spans="7:7">
      <c r="G3244"/>
    </row>
    <row r="3245" spans="7:7">
      <c r="G3245"/>
    </row>
    <row r="3246" spans="7:7">
      <c r="G3246"/>
    </row>
    <row r="3247" spans="7:7">
      <c r="G3247"/>
    </row>
    <row r="3248" spans="7:7">
      <c r="G3248"/>
    </row>
    <row r="3249" spans="7:7">
      <c r="G3249"/>
    </row>
    <row r="3250" spans="7:7">
      <c r="G3250"/>
    </row>
    <row r="3251" spans="7:7">
      <c r="G3251"/>
    </row>
    <row r="3252" spans="7:7">
      <c r="G3252"/>
    </row>
    <row r="3253" spans="7:7">
      <c r="G3253"/>
    </row>
    <row r="3254" spans="7:7">
      <c r="G3254"/>
    </row>
    <row r="3255" spans="7:7">
      <c r="G3255"/>
    </row>
    <row r="3256" spans="7:7">
      <c r="G3256"/>
    </row>
    <row r="3257" spans="7:7">
      <c r="G3257"/>
    </row>
    <row r="3258" spans="7:7">
      <c r="G3258"/>
    </row>
    <row r="3259" spans="7:7">
      <c r="G3259"/>
    </row>
    <row r="3260" spans="7:7">
      <c r="G3260"/>
    </row>
    <row r="3261" spans="7:7">
      <c r="G3261"/>
    </row>
    <row r="3262" spans="7:7">
      <c r="G3262"/>
    </row>
    <row r="3263" spans="7:7">
      <c r="G3263"/>
    </row>
    <row r="3264" spans="7:7">
      <c r="G3264"/>
    </row>
    <row r="3265" spans="7:7">
      <c r="G3265"/>
    </row>
    <row r="3266" spans="7:7">
      <c r="G3266"/>
    </row>
    <row r="3267" spans="7:7">
      <c r="G3267"/>
    </row>
    <row r="3268" spans="7:7">
      <c r="G3268"/>
    </row>
    <row r="3269" spans="7:7">
      <c r="G3269"/>
    </row>
    <row r="3270" spans="7:7">
      <c r="G3270"/>
    </row>
    <row r="3271" spans="7:7">
      <c r="G3271"/>
    </row>
    <row r="3272" spans="7:7">
      <c r="G3272"/>
    </row>
    <row r="3273" spans="7:7">
      <c r="G3273"/>
    </row>
    <row r="3274" spans="7:7">
      <c r="G3274"/>
    </row>
    <row r="3275" spans="7:7">
      <c r="G3275"/>
    </row>
    <row r="3276" spans="7:7">
      <c r="G3276"/>
    </row>
    <row r="3277" spans="7:7">
      <c r="G3277"/>
    </row>
    <row r="3278" spans="7:7">
      <c r="G3278"/>
    </row>
    <row r="3279" spans="7:7">
      <c r="G3279"/>
    </row>
    <row r="3280" spans="7:7">
      <c r="G3280"/>
    </row>
    <row r="3281" spans="7:7">
      <c r="G3281"/>
    </row>
    <row r="3282" spans="7:7">
      <c r="G3282"/>
    </row>
    <row r="3283" spans="7:7">
      <c r="G3283"/>
    </row>
    <row r="3284" spans="7:7">
      <c r="G3284"/>
    </row>
    <row r="3285" spans="7:7">
      <c r="G3285"/>
    </row>
    <row r="3286" spans="7:7">
      <c r="G3286"/>
    </row>
    <row r="3287" spans="7:7">
      <c r="G3287"/>
    </row>
    <row r="3288" spans="7:7">
      <c r="G3288"/>
    </row>
    <row r="3289" spans="7:7">
      <c r="G3289"/>
    </row>
    <row r="3290" spans="7:7">
      <c r="G3290"/>
    </row>
    <row r="3291" spans="7:7">
      <c r="G3291"/>
    </row>
    <row r="3292" spans="7:7">
      <c r="G3292"/>
    </row>
    <row r="3293" spans="7:7">
      <c r="G3293"/>
    </row>
    <row r="3294" spans="7:7">
      <c r="G3294"/>
    </row>
    <row r="3295" spans="7:7">
      <c r="G3295"/>
    </row>
    <row r="3296" spans="7:7">
      <c r="G3296"/>
    </row>
    <row r="3297" spans="7:7">
      <c r="G3297"/>
    </row>
    <row r="3298" spans="7:7">
      <c r="G3298"/>
    </row>
    <row r="3299" spans="7:7">
      <c r="G3299"/>
    </row>
    <row r="3300" spans="7:7">
      <c r="G3300"/>
    </row>
    <row r="3301" spans="7:7">
      <c r="G3301"/>
    </row>
    <row r="3302" spans="7:7">
      <c r="G3302"/>
    </row>
    <row r="3303" spans="7:7">
      <c r="G3303"/>
    </row>
    <row r="3304" spans="7:7">
      <c r="G3304"/>
    </row>
    <row r="3305" spans="7:7">
      <c r="G3305"/>
    </row>
    <row r="3306" spans="7:7">
      <c r="G3306"/>
    </row>
    <row r="3307" spans="7:7">
      <c r="G3307"/>
    </row>
    <row r="3308" spans="7:7">
      <c r="G3308"/>
    </row>
    <row r="3309" spans="7:7">
      <c r="G3309"/>
    </row>
    <row r="3310" spans="7:7">
      <c r="G3310"/>
    </row>
    <row r="3311" spans="7:7">
      <c r="G3311"/>
    </row>
    <row r="3312" spans="7:7">
      <c r="G3312"/>
    </row>
    <row r="3313" spans="7:7">
      <c r="G3313"/>
    </row>
    <row r="3314" spans="7:7">
      <c r="G3314"/>
    </row>
    <row r="3315" spans="7:7">
      <c r="G3315"/>
    </row>
    <row r="3316" spans="7:7">
      <c r="G3316"/>
    </row>
    <row r="3317" spans="7:7">
      <c r="G3317"/>
    </row>
    <row r="3318" spans="7:7">
      <c r="G3318"/>
    </row>
    <row r="3319" spans="7:7">
      <c r="G3319"/>
    </row>
    <row r="3320" spans="7:7">
      <c r="G3320"/>
    </row>
    <row r="3321" spans="7:7">
      <c r="G3321"/>
    </row>
    <row r="3322" spans="7:7">
      <c r="G3322"/>
    </row>
    <row r="3323" spans="7:7">
      <c r="G3323"/>
    </row>
    <row r="3324" spans="7:7">
      <c r="G3324"/>
    </row>
    <row r="3325" spans="7:7">
      <c r="G3325"/>
    </row>
    <row r="3326" spans="7:7">
      <c r="G3326"/>
    </row>
    <row r="3327" spans="7:7">
      <c r="G3327"/>
    </row>
    <row r="3328" spans="7:7">
      <c r="G3328"/>
    </row>
    <row r="3329" spans="7:7">
      <c r="G3329"/>
    </row>
    <row r="3330" spans="7:7">
      <c r="G3330"/>
    </row>
    <row r="3331" spans="7:7">
      <c r="G3331"/>
    </row>
    <row r="3332" spans="7:7">
      <c r="G3332"/>
    </row>
    <row r="3333" spans="7:7">
      <c r="G3333"/>
    </row>
    <row r="3334" spans="7:7">
      <c r="G3334"/>
    </row>
    <row r="3335" spans="7:7">
      <c r="G3335"/>
    </row>
    <row r="3336" spans="7:7">
      <c r="G3336"/>
    </row>
    <row r="3337" spans="7:7">
      <c r="G3337"/>
    </row>
    <row r="3338" spans="7:7">
      <c r="G3338"/>
    </row>
    <row r="3339" spans="7:7">
      <c r="G3339"/>
    </row>
    <row r="3340" spans="7:7">
      <c r="G3340"/>
    </row>
    <row r="3341" spans="7:7">
      <c r="G3341"/>
    </row>
    <row r="3342" spans="7:7">
      <c r="G3342"/>
    </row>
    <row r="3343" spans="7:7">
      <c r="G3343"/>
    </row>
    <row r="3344" spans="7:7">
      <c r="G3344"/>
    </row>
    <row r="3345" spans="7:7">
      <c r="G3345"/>
    </row>
    <row r="3346" spans="7:7">
      <c r="G3346"/>
    </row>
    <row r="3347" spans="7:7">
      <c r="G3347"/>
    </row>
    <row r="3348" spans="7:7">
      <c r="G3348"/>
    </row>
    <row r="3349" spans="7:7">
      <c r="G3349"/>
    </row>
    <row r="3350" spans="7:7">
      <c r="G3350"/>
    </row>
    <row r="3351" spans="7:7">
      <c r="G3351"/>
    </row>
    <row r="3352" spans="7:7">
      <c r="G3352"/>
    </row>
    <row r="3353" spans="7:7">
      <c r="G3353"/>
    </row>
    <row r="3354" spans="7:7">
      <c r="G3354"/>
    </row>
    <row r="3355" spans="7:7">
      <c r="G3355"/>
    </row>
    <row r="3356" spans="7:7">
      <c r="G3356"/>
    </row>
    <row r="3357" spans="7:7">
      <c r="G3357"/>
    </row>
    <row r="3358" spans="7:7">
      <c r="G3358"/>
    </row>
    <row r="3359" spans="7:7">
      <c r="G3359"/>
    </row>
    <row r="3360" spans="7:7">
      <c r="G3360"/>
    </row>
    <row r="3361" spans="7:7">
      <c r="G3361"/>
    </row>
    <row r="3362" spans="7:7">
      <c r="G3362"/>
    </row>
    <row r="3363" spans="7:7">
      <c r="G3363"/>
    </row>
    <row r="3364" spans="7:7">
      <c r="G3364"/>
    </row>
    <row r="3365" spans="7:7">
      <c r="G3365"/>
    </row>
    <row r="3366" spans="7:7">
      <c r="G3366"/>
    </row>
    <row r="3367" spans="7:7">
      <c r="G3367"/>
    </row>
    <row r="3368" spans="7:7">
      <c r="G3368"/>
    </row>
    <row r="3369" spans="7:7">
      <c r="G3369"/>
    </row>
    <row r="3370" spans="7:7">
      <c r="G3370"/>
    </row>
    <row r="3371" spans="7:7">
      <c r="G3371"/>
    </row>
    <row r="3372" spans="7:7">
      <c r="G3372"/>
    </row>
    <row r="3373" spans="7:7">
      <c r="G3373"/>
    </row>
    <row r="3374" spans="7:7">
      <c r="G3374"/>
    </row>
    <row r="3375" spans="7:7">
      <c r="G3375"/>
    </row>
    <row r="3376" spans="7:7">
      <c r="G3376"/>
    </row>
    <row r="3377" spans="7:7">
      <c r="G3377"/>
    </row>
    <row r="3378" spans="7:7">
      <c r="G3378"/>
    </row>
    <row r="3379" spans="7:7">
      <c r="G3379"/>
    </row>
    <row r="3380" spans="7:7">
      <c r="G3380"/>
    </row>
    <row r="3381" spans="7:7">
      <c r="G3381"/>
    </row>
    <row r="3382" spans="7:7">
      <c r="G3382"/>
    </row>
    <row r="3383" spans="7:7">
      <c r="G3383"/>
    </row>
    <row r="3384" spans="7:7">
      <c r="G3384"/>
    </row>
    <row r="3385" spans="7:7">
      <c r="G3385"/>
    </row>
    <row r="3386" spans="7:7">
      <c r="G3386"/>
    </row>
    <row r="3387" spans="7:7">
      <c r="G3387"/>
    </row>
    <row r="3388" spans="7:7">
      <c r="G3388"/>
    </row>
    <row r="3389" spans="7:7">
      <c r="G3389"/>
    </row>
    <row r="3390" spans="7:7">
      <c r="G3390"/>
    </row>
    <row r="3391" spans="7:7">
      <c r="G3391"/>
    </row>
    <row r="3392" spans="7:7">
      <c r="G3392"/>
    </row>
    <row r="3393" spans="7:7">
      <c r="G3393"/>
    </row>
    <row r="3394" spans="7:7">
      <c r="G3394"/>
    </row>
    <row r="3395" spans="7:7">
      <c r="G3395"/>
    </row>
    <row r="3396" spans="7:7">
      <c r="G3396"/>
    </row>
    <row r="3397" spans="7:7">
      <c r="G3397"/>
    </row>
    <row r="3398" spans="7:7">
      <c r="G3398"/>
    </row>
    <row r="3399" spans="7:7">
      <c r="G3399"/>
    </row>
    <row r="3400" spans="7:7">
      <c r="G3400"/>
    </row>
    <row r="3401" spans="7:7">
      <c r="G3401"/>
    </row>
    <row r="3402" spans="7:7">
      <c r="G3402"/>
    </row>
    <row r="3403" spans="7:7">
      <c r="G3403"/>
    </row>
    <row r="3404" spans="7:7">
      <c r="G3404"/>
    </row>
    <row r="3405" spans="7:7">
      <c r="G3405"/>
    </row>
    <row r="3406" spans="7:7">
      <c r="G3406"/>
    </row>
    <row r="3407" spans="7:7">
      <c r="G3407"/>
    </row>
    <row r="3408" spans="7:7">
      <c r="G3408"/>
    </row>
    <row r="3409" spans="7:7">
      <c r="G3409"/>
    </row>
    <row r="3410" spans="7:7">
      <c r="G3410"/>
    </row>
    <row r="3411" spans="7:7">
      <c r="G3411"/>
    </row>
    <row r="3412" spans="7:7">
      <c r="G3412"/>
    </row>
    <row r="3413" spans="7:7">
      <c r="G3413"/>
    </row>
    <row r="3414" spans="7:7">
      <c r="G3414"/>
    </row>
    <row r="3415" spans="7:7">
      <c r="G3415"/>
    </row>
    <row r="3416" spans="7:7">
      <c r="G3416"/>
    </row>
    <row r="3417" spans="7:7">
      <c r="G3417"/>
    </row>
    <row r="3418" spans="7:7">
      <c r="G3418"/>
    </row>
    <row r="3419" spans="7:7">
      <c r="G3419"/>
    </row>
    <row r="3420" spans="7:7">
      <c r="G3420"/>
    </row>
    <row r="3421" spans="7:7">
      <c r="G3421"/>
    </row>
    <row r="3422" spans="7:7">
      <c r="G3422"/>
    </row>
    <row r="3423" spans="7:7">
      <c r="G3423"/>
    </row>
    <row r="3424" spans="7:7">
      <c r="G3424"/>
    </row>
    <row r="3425" spans="7:7">
      <c r="G3425"/>
    </row>
    <row r="3426" spans="7:7">
      <c r="G3426"/>
    </row>
    <row r="3427" spans="7:7">
      <c r="G3427"/>
    </row>
    <row r="3428" spans="7:7">
      <c r="G3428"/>
    </row>
    <row r="3429" spans="7:7">
      <c r="G3429"/>
    </row>
    <row r="3430" spans="7:7">
      <c r="G3430"/>
    </row>
    <row r="3431" spans="7:7">
      <c r="G3431"/>
    </row>
    <row r="3432" spans="7:7">
      <c r="G3432"/>
    </row>
    <row r="3433" spans="7:7">
      <c r="G3433"/>
    </row>
    <row r="3434" spans="7:7">
      <c r="G3434"/>
    </row>
    <row r="3435" spans="7:7">
      <c r="G3435"/>
    </row>
    <row r="3436" spans="7:7">
      <c r="G3436"/>
    </row>
    <row r="3437" spans="7:7">
      <c r="G3437"/>
    </row>
    <row r="3438" spans="7:7">
      <c r="G3438"/>
    </row>
    <row r="3439" spans="7:7">
      <c r="G3439"/>
    </row>
    <row r="3440" spans="7:7">
      <c r="G3440"/>
    </row>
    <row r="3441" spans="7:7">
      <c r="G3441"/>
    </row>
    <row r="3442" spans="7:7">
      <c r="G3442"/>
    </row>
    <row r="3443" spans="7:7">
      <c r="G3443"/>
    </row>
    <row r="3444" spans="7:7">
      <c r="G3444"/>
    </row>
    <row r="3445" spans="7:7">
      <c r="G3445"/>
    </row>
    <row r="3446" spans="7:7">
      <c r="G3446"/>
    </row>
    <row r="3447" spans="7:7">
      <c r="G3447"/>
    </row>
    <row r="3448" spans="7:7">
      <c r="G3448"/>
    </row>
    <row r="3449" spans="7:7">
      <c r="G3449"/>
    </row>
    <row r="3450" spans="7:7">
      <c r="G3450"/>
    </row>
    <row r="3451" spans="7:7">
      <c r="G3451"/>
    </row>
    <row r="3452" spans="7:7">
      <c r="G3452"/>
    </row>
    <row r="3453" spans="7:7">
      <c r="G3453"/>
    </row>
    <row r="3454" spans="7:7">
      <c r="G3454"/>
    </row>
    <row r="3455" spans="7:7">
      <c r="G3455"/>
    </row>
    <row r="3456" spans="7:7">
      <c r="G3456"/>
    </row>
    <row r="3457" spans="7:7">
      <c r="G3457"/>
    </row>
    <row r="3458" spans="7:7">
      <c r="G3458"/>
    </row>
    <row r="3459" spans="7:7">
      <c r="G3459"/>
    </row>
    <row r="3460" spans="7:7">
      <c r="G3460"/>
    </row>
    <row r="3461" spans="7:7">
      <c r="G3461"/>
    </row>
    <row r="3462" spans="7:7">
      <c r="G3462"/>
    </row>
    <row r="3463" spans="7:7">
      <c r="G3463"/>
    </row>
    <row r="3464" spans="7:7">
      <c r="G3464"/>
    </row>
    <row r="3465" spans="7:7">
      <c r="G3465"/>
    </row>
    <row r="3466" spans="7:7">
      <c r="G3466"/>
    </row>
    <row r="3467" spans="7:7">
      <c r="G3467"/>
    </row>
    <row r="3468" spans="7:7">
      <c r="G3468"/>
    </row>
    <row r="3469" spans="7:7">
      <c r="G3469"/>
    </row>
    <row r="3470" spans="7:7">
      <c r="G3470"/>
    </row>
    <row r="3471" spans="7:7">
      <c r="G3471"/>
    </row>
    <row r="3472" spans="7:7">
      <c r="G3472"/>
    </row>
    <row r="3473" spans="7:7">
      <c r="G3473"/>
    </row>
    <row r="3474" spans="7:7">
      <c r="G3474"/>
    </row>
    <row r="3475" spans="7:7">
      <c r="G3475"/>
    </row>
    <row r="3476" spans="7:7">
      <c r="G3476"/>
    </row>
    <row r="3477" spans="7:7">
      <c r="G3477"/>
    </row>
    <row r="3478" spans="7:7">
      <c r="G3478"/>
    </row>
    <row r="3479" spans="7:7">
      <c r="G3479"/>
    </row>
    <row r="3480" spans="7:7">
      <c r="G3480"/>
    </row>
    <row r="3481" spans="7:7">
      <c r="G3481"/>
    </row>
    <row r="3482" spans="7:7">
      <c r="G3482"/>
    </row>
    <row r="3483" spans="7:7">
      <c r="G3483"/>
    </row>
    <row r="3484" spans="7:7">
      <c r="G3484"/>
    </row>
    <row r="3485" spans="7:7">
      <c r="G3485"/>
    </row>
    <row r="3486" spans="7:7">
      <c r="G3486"/>
    </row>
    <row r="3487" spans="7:7">
      <c r="G3487"/>
    </row>
    <row r="3488" spans="7:7">
      <c r="G3488"/>
    </row>
    <row r="3489" spans="7:7">
      <c r="G3489"/>
    </row>
    <row r="3490" spans="7:7">
      <c r="G3490"/>
    </row>
    <row r="3491" spans="7:7">
      <c r="G3491"/>
    </row>
    <row r="3492" spans="7:7">
      <c r="G3492"/>
    </row>
    <row r="3493" spans="7:7">
      <c r="G3493"/>
    </row>
    <row r="3494" spans="7:7">
      <c r="G3494"/>
    </row>
    <row r="3495" spans="7:7">
      <c r="G3495"/>
    </row>
    <row r="3496" spans="7:7">
      <c r="G3496"/>
    </row>
    <row r="3497" spans="7:7">
      <c r="G3497"/>
    </row>
    <row r="3498" spans="7:7">
      <c r="G3498"/>
    </row>
    <row r="3499" spans="7:7">
      <c r="G3499"/>
    </row>
    <row r="3500" spans="7:7">
      <c r="G3500"/>
    </row>
    <row r="3501" spans="7:7">
      <c r="G3501"/>
    </row>
    <row r="3502" spans="7:7">
      <c r="G3502"/>
    </row>
    <row r="3503" spans="7:7">
      <c r="G3503"/>
    </row>
    <row r="3504" spans="7:7">
      <c r="G3504"/>
    </row>
    <row r="3505" spans="7:7">
      <c r="G3505"/>
    </row>
    <row r="3506" spans="7:7">
      <c r="G3506"/>
    </row>
    <row r="3507" spans="7:7">
      <c r="G3507"/>
    </row>
    <row r="3508" spans="7:7">
      <c r="G3508"/>
    </row>
    <row r="3509" spans="7:7">
      <c r="G3509"/>
    </row>
    <row r="3510" spans="7:7">
      <c r="G3510"/>
    </row>
    <row r="3511" spans="7:7">
      <c r="G3511"/>
    </row>
    <row r="3512" spans="7:7">
      <c r="G3512"/>
    </row>
    <row r="3513" spans="7:7">
      <c r="G3513"/>
    </row>
    <row r="3514" spans="7:7">
      <c r="G3514"/>
    </row>
    <row r="3515" spans="7:7">
      <c r="G3515"/>
    </row>
    <row r="3516" spans="7:7">
      <c r="G3516"/>
    </row>
    <row r="3517" spans="7:7">
      <c r="G3517"/>
    </row>
    <row r="3518" spans="7:7">
      <c r="G3518"/>
    </row>
    <row r="3519" spans="7:7">
      <c r="G3519"/>
    </row>
    <row r="3520" spans="7:7">
      <c r="G3520"/>
    </row>
    <row r="3521" spans="7:7">
      <c r="G3521"/>
    </row>
    <row r="3522" spans="7:7">
      <c r="G3522"/>
    </row>
    <row r="3523" spans="7:7">
      <c r="G3523"/>
    </row>
    <row r="3524" spans="7:7">
      <c r="G3524"/>
    </row>
    <row r="3525" spans="7:7">
      <c r="G3525"/>
    </row>
    <row r="3526" spans="7:7">
      <c r="G3526"/>
    </row>
    <row r="3527" spans="7:7">
      <c r="G3527"/>
    </row>
    <row r="3528" spans="7:7">
      <c r="G3528"/>
    </row>
    <row r="3529" spans="7:7">
      <c r="G3529"/>
    </row>
    <row r="3530" spans="7:7">
      <c r="G3530"/>
    </row>
    <row r="3531" spans="7:7">
      <c r="G3531"/>
    </row>
    <row r="3532" spans="7:7">
      <c r="G3532"/>
    </row>
    <row r="3533" spans="7:7">
      <c r="G3533"/>
    </row>
    <row r="3534" spans="7:7">
      <c r="G3534"/>
    </row>
    <row r="3535" spans="7:7">
      <c r="G3535"/>
    </row>
    <row r="3536" spans="7:7">
      <c r="G3536"/>
    </row>
    <row r="3537" spans="7:7">
      <c r="G3537"/>
    </row>
    <row r="3538" spans="7:7">
      <c r="G3538"/>
    </row>
    <row r="3539" spans="7:7">
      <c r="G3539"/>
    </row>
    <row r="3540" spans="7:7">
      <c r="G3540"/>
    </row>
    <row r="3541" spans="7:7">
      <c r="G3541"/>
    </row>
    <row r="3542" spans="7:7">
      <c r="G3542"/>
    </row>
    <row r="3543" spans="7:7">
      <c r="G3543"/>
    </row>
    <row r="3544" spans="7:7">
      <c r="G3544"/>
    </row>
    <row r="3545" spans="7:7">
      <c r="G3545"/>
    </row>
    <row r="3546" spans="7:7">
      <c r="G3546"/>
    </row>
    <row r="3547" spans="7:7">
      <c r="G3547"/>
    </row>
    <row r="3548" spans="7:7">
      <c r="G3548"/>
    </row>
    <row r="3549" spans="7:7">
      <c r="G3549"/>
    </row>
    <row r="3550" spans="7:7">
      <c r="G3550"/>
    </row>
    <row r="3551" spans="7:7">
      <c r="G3551"/>
    </row>
    <row r="3552" spans="7:7">
      <c r="G3552"/>
    </row>
    <row r="3553" spans="7:7">
      <c r="G3553"/>
    </row>
    <row r="3554" spans="7:7">
      <c r="G3554"/>
    </row>
    <row r="3555" spans="7:7">
      <c r="G3555"/>
    </row>
    <row r="3556" spans="7:7">
      <c r="G3556"/>
    </row>
    <row r="3557" spans="7:7">
      <c r="G3557"/>
    </row>
    <row r="3558" spans="7:7">
      <c r="G3558"/>
    </row>
    <row r="3559" spans="7:7">
      <c r="G3559"/>
    </row>
    <row r="3560" spans="7:7">
      <c r="G3560"/>
    </row>
    <row r="3561" spans="7:7">
      <c r="G3561"/>
    </row>
    <row r="3562" spans="7:7">
      <c r="G3562"/>
    </row>
    <row r="3563" spans="7:7">
      <c r="G3563"/>
    </row>
    <row r="3564" spans="7:7">
      <c r="G3564"/>
    </row>
    <row r="3565" spans="7:7">
      <c r="G3565"/>
    </row>
    <row r="3566" spans="7:7">
      <c r="G3566"/>
    </row>
    <row r="3567" spans="7:7">
      <c r="G3567"/>
    </row>
    <row r="3568" spans="7:7">
      <c r="G3568"/>
    </row>
    <row r="3569" spans="7:7">
      <c r="G3569"/>
    </row>
    <row r="3570" spans="7:7">
      <c r="G3570"/>
    </row>
    <row r="3571" spans="7:7">
      <c r="G3571"/>
    </row>
    <row r="3572" spans="7:7">
      <c r="G3572"/>
    </row>
    <row r="3573" spans="7:7">
      <c r="G3573"/>
    </row>
    <row r="3574" spans="7:7">
      <c r="G3574"/>
    </row>
    <row r="3575" spans="7:7">
      <c r="G3575"/>
    </row>
    <row r="3576" spans="7:7">
      <c r="G3576"/>
    </row>
    <row r="3577" spans="7:7">
      <c r="G3577"/>
    </row>
    <row r="3578" spans="7:7">
      <c r="G3578"/>
    </row>
    <row r="3579" spans="7:7">
      <c r="G3579"/>
    </row>
    <row r="3580" spans="7:7">
      <c r="G3580"/>
    </row>
    <row r="3581" spans="7:7">
      <c r="G3581"/>
    </row>
    <row r="3582" spans="7:7">
      <c r="G3582"/>
    </row>
    <row r="3583" spans="7:7">
      <c r="G3583"/>
    </row>
    <row r="3584" spans="7:7">
      <c r="G3584"/>
    </row>
    <row r="3585" spans="7:7">
      <c r="G3585"/>
    </row>
    <row r="3586" spans="7:7">
      <c r="G3586"/>
    </row>
    <row r="3587" spans="7:7">
      <c r="G3587"/>
    </row>
    <row r="3588" spans="7:7">
      <c r="G3588"/>
    </row>
    <row r="3589" spans="7:7">
      <c r="G3589"/>
    </row>
    <row r="3590" spans="7:7">
      <c r="G3590"/>
    </row>
    <row r="3591" spans="7:7">
      <c r="G3591"/>
    </row>
    <row r="3592" spans="7:7">
      <c r="G3592"/>
    </row>
    <row r="3593" spans="7:7">
      <c r="G3593"/>
    </row>
    <row r="3594" spans="7:7">
      <c r="G3594"/>
    </row>
    <row r="3595" spans="7:7">
      <c r="G3595"/>
    </row>
    <row r="3596" spans="7:7">
      <c r="G3596"/>
    </row>
    <row r="3597" spans="7:7">
      <c r="G3597"/>
    </row>
    <row r="3598" spans="7:7">
      <c r="G3598"/>
    </row>
    <row r="3599" spans="7:7">
      <c r="G3599"/>
    </row>
    <row r="3600" spans="7:7">
      <c r="G3600"/>
    </row>
    <row r="3601" spans="7:7">
      <c r="G3601"/>
    </row>
    <row r="3602" spans="7:7">
      <c r="G3602"/>
    </row>
    <row r="3603" spans="7:7">
      <c r="G3603"/>
    </row>
    <row r="3604" spans="7:7">
      <c r="G3604"/>
    </row>
    <row r="3605" spans="7:7">
      <c r="G3605"/>
    </row>
    <row r="3606" spans="7:7">
      <c r="G3606"/>
    </row>
    <row r="3607" spans="7:7">
      <c r="G3607"/>
    </row>
    <row r="3608" spans="7:7">
      <c r="G3608"/>
    </row>
    <row r="3609" spans="7:7">
      <c r="G3609"/>
    </row>
    <row r="3610" spans="7:7">
      <c r="G3610"/>
    </row>
    <row r="3611" spans="7:7">
      <c r="G3611"/>
    </row>
    <row r="3612" spans="7:7">
      <c r="G3612"/>
    </row>
    <row r="3613" spans="7:7">
      <c r="G3613"/>
    </row>
    <row r="3614" spans="7:7">
      <c r="G3614"/>
    </row>
    <row r="3615" spans="7:7">
      <c r="G3615"/>
    </row>
    <row r="3616" spans="7:7">
      <c r="G3616"/>
    </row>
    <row r="3617" spans="7:7">
      <c r="G3617"/>
    </row>
    <row r="3618" spans="7:7">
      <c r="G3618"/>
    </row>
    <row r="3619" spans="7:7">
      <c r="G3619"/>
    </row>
    <row r="3620" spans="7:7">
      <c r="G3620"/>
    </row>
    <row r="3621" spans="7:7">
      <c r="G3621"/>
    </row>
    <row r="3622" spans="7:7">
      <c r="G3622"/>
    </row>
    <row r="3623" spans="7:7">
      <c r="G3623"/>
    </row>
    <row r="3624" spans="7:7">
      <c r="G3624"/>
    </row>
    <row r="3625" spans="7:7">
      <c r="G3625"/>
    </row>
    <row r="3626" spans="7:7">
      <c r="G3626"/>
    </row>
    <row r="3627" spans="7:7">
      <c r="G3627"/>
    </row>
    <row r="3628" spans="7:7">
      <c r="G3628"/>
    </row>
    <row r="3629" spans="7:7">
      <c r="G3629"/>
    </row>
    <row r="3630" spans="7:7">
      <c r="G3630"/>
    </row>
    <row r="3631" spans="7:7">
      <c r="G3631"/>
    </row>
    <row r="3632" spans="7:7">
      <c r="G3632"/>
    </row>
    <row r="3633" spans="7:7">
      <c r="G3633"/>
    </row>
    <row r="3634" spans="7:7">
      <c r="G3634"/>
    </row>
    <row r="3635" spans="7:7">
      <c r="G3635"/>
    </row>
    <row r="3636" spans="7:7">
      <c r="G3636"/>
    </row>
    <row r="3637" spans="7:7">
      <c r="G3637"/>
    </row>
    <row r="3638" spans="7:7">
      <c r="G3638"/>
    </row>
    <row r="3639" spans="7:7">
      <c r="G3639"/>
    </row>
    <row r="3640" spans="7:7">
      <c r="G3640"/>
    </row>
    <row r="3641" spans="7:7">
      <c r="G3641"/>
    </row>
    <row r="3642" spans="7:7">
      <c r="G3642"/>
    </row>
    <row r="3643" spans="7:7">
      <c r="G3643"/>
    </row>
    <row r="3644" spans="7:7">
      <c r="G3644"/>
    </row>
    <row r="3645" spans="7:7">
      <c r="G3645"/>
    </row>
    <row r="3646" spans="7:7">
      <c r="G3646"/>
    </row>
    <row r="3647" spans="7:7">
      <c r="G3647"/>
    </row>
    <row r="3648" spans="7:7">
      <c r="G3648"/>
    </row>
    <row r="3649" spans="7:7">
      <c r="G3649"/>
    </row>
    <row r="3650" spans="7:7">
      <c r="G3650"/>
    </row>
    <row r="3651" spans="7:7">
      <c r="G3651"/>
    </row>
    <row r="3652" spans="7:7">
      <c r="G3652"/>
    </row>
    <row r="3653" spans="7:7">
      <c r="G3653"/>
    </row>
    <row r="3654" spans="7:7">
      <c r="G3654"/>
    </row>
    <row r="3655" spans="7:7">
      <c r="G3655"/>
    </row>
    <row r="3656" spans="7:7">
      <c r="G3656"/>
    </row>
    <row r="3657" spans="7:7">
      <c r="G3657"/>
    </row>
    <row r="3658" spans="7:7">
      <c r="G3658"/>
    </row>
    <row r="3659" spans="7:7">
      <c r="G3659"/>
    </row>
    <row r="3660" spans="7:7">
      <c r="G3660"/>
    </row>
    <row r="3661" spans="7:7">
      <c r="G3661"/>
    </row>
    <row r="3662" spans="7:7">
      <c r="G3662"/>
    </row>
    <row r="3663" spans="7:7">
      <c r="G3663"/>
    </row>
    <row r="3664" spans="7:7">
      <c r="G3664"/>
    </row>
    <row r="3665" spans="7:7">
      <c r="G3665"/>
    </row>
    <row r="3666" spans="7:7">
      <c r="G3666"/>
    </row>
    <row r="3667" spans="7:7">
      <c r="G3667"/>
    </row>
    <row r="3668" spans="7:7">
      <c r="G3668"/>
    </row>
    <row r="3669" spans="7:7">
      <c r="G3669"/>
    </row>
    <row r="3670" spans="7:7">
      <c r="G3670"/>
    </row>
    <row r="3671" spans="7:7">
      <c r="G3671"/>
    </row>
    <row r="3672" spans="7:7">
      <c r="G3672"/>
    </row>
    <row r="3673" spans="7:7">
      <c r="G3673"/>
    </row>
    <row r="3674" spans="7:7">
      <c r="G3674"/>
    </row>
    <row r="3675" spans="7:7">
      <c r="G3675"/>
    </row>
    <row r="3676" spans="7:7">
      <c r="G3676"/>
    </row>
    <row r="3677" spans="7:7">
      <c r="G3677"/>
    </row>
    <row r="3678" spans="7:7">
      <c r="G3678"/>
    </row>
    <row r="3679" spans="7:7">
      <c r="G3679"/>
    </row>
    <row r="3680" spans="7:7">
      <c r="G3680"/>
    </row>
    <row r="3681" spans="7:7">
      <c r="G3681"/>
    </row>
    <row r="3682" spans="7:7">
      <c r="G3682"/>
    </row>
    <row r="3683" spans="7:7">
      <c r="G3683"/>
    </row>
    <row r="3684" spans="7:7">
      <c r="G3684"/>
    </row>
    <row r="3685" spans="7:7">
      <c r="G3685"/>
    </row>
    <row r="3686" spans="7:7">
      <c r="G3686"/>
    </row>
    <row r="3687" spans="7:7">
      <c r="G3687"/>
    </row>
    <row r="3688" spans="7:7">
      <c r="G3688"/>
    </row>
    <row r="3689" spans="7:7">
      <c r="G3689"/>
    </row>
    <row r="3690" spans="7:7">
      <c r="G3690"/>
    </row>
    <row r="3691" spans="7:7">
      <c r="G3691"/>
    </row>
    <row r="3692" spans="7:7">
      <c r="G3692"/>
    </row>
    <row r="3693" spans="7:7">
      <c r="G3693"/>
    </row>
    <row r="3694" spans="7:7">
      <c r="G3694"/>
    </row>
    <row r="3695" spans="7:7">
      <c r="G3695"/>
    </row>
    <row r="3696" spans="7:7">
      <c r="G3696"/>
    </row>
    <row r="3697" spans="7:7">
      <c r="G3697"/>
    </row>
    <row r="3698" spans="7:7">
      <c r="G3698"/>
    </row>
    <row r="3699" spans="7:7">
      <c r="G3699"/>
    </row>
    <row r="3700" spans="7:7">
      <c r="G3700"/>
    </row>
    <row r="3701" spans="7:7">
      <c r="G3701"/>
    </row>
    <row r="3702" spans="7:7">
      <c r="G3702"/>
    </row>
    <row r="3703" spans="7:7">
      <c r="G3703"/>
    </row>
    <row r="3704" spans="7:7">
      <c r="G3704"/>
    </row>
    <row r="3705" spans="7:7">
      <c r="G3705"/>
    </row>
    <row r="3706" spans="7:7">
      <c r="G3706"/>
    </row>
    <row r="3707" spans="7:7">
      <c r="G3707"/>
    </row>
    <row r="3708" spans="7:7">
      <c r="G3708"/>
    </row>
    <row r="3709" spans="7:7">
      <c r="G3709"/>
    </row>
    <row r="3710" spans="7:7">
      <c r="G3710"/>
    </row>
    <row r="3711" spans="7:7">
      <c r="G3711"/>
    </row>
    <row r="3712" spans="7:7">
      <c r="G3712"/>
    </row>
    <row r="3713" spans="7:7">
      <c r="G3713"/>
    </row>
    <row r="3714" spans="7:7">
      <c r="G3714"/>
    </row>
    <row r="3715" spans="7:7">
      <c r="G3715"/>
    </row>
    <row r="3716" spans="7:7">
      <c r="G3716"/>
    </row>
    <row r="3717" spans="7:7">
      <c r="G3717"/>
    </row>
    <row r="3718" spans="7:7">
      <c r="G3718"/>
    </row>
    <row r="3719" spans="7:7">
      <c r="G3719"/>
    </row>
    <row r="3720" spans="7:7">
      <c r="G3720"/>
    </row>
    <row r="3721" spans="7:7">
      <c r="G3721"/>
    </row>
    <row r="3722" spans="7:7">
      <c r="G3722"/>
    </row>
    <row r="3723" spans="7:7">
      <c r="G3723"/>
    </row>
    <row r="3724" spans="7:7">
      <c r="G3724"/>
    </row>
    <row r="3725" spans="7:7">
      <c r="G3725"/>
    </row>
    <row r="3726" spans="7:7">
      <c r="G3726"/>
    </row>
    <row r="3727" spans="7:7">
      <c r="G3727"/>
    </row>
    <row r="3728" spans="7:7">
      <c r="G3728"/>
    </row>
    <row r="3729" spans="7:7">
      <c r="G3729"/>
    </row>
    <row r="3730" spans="7:7">
      <c r="G3730"/>
    </row>
    <row r="3731" spans="7:7">
      <c r="G3731"/>
    </row>
    <row r="3732" spans="7:7">
      <c r="G3732"/>
    </row>
    <row r="3733" spans="7:7">
      <c r="G3733"/>
    </row>
    <row r="3734" spans="7:7">
      <c r="G3734"/>
    </row>
    <row r="3735" spans="7:7">
      <c r="G3735"/>
    </row>
    <row r="3736" spans="7:7">
      <c r="G3736"/>
    </row>
    <row r="3737" spans="7:7">
      <c r="G3737"/>
    </row>
    <row r="3738" spans="7:7">
      <c r="G3738"/>
    </row>
    <row r="3739" spans="7:7">
      <c r="G3739"/>
    </row>
    <row r="3740" spans="7:7">
      <c r="G3740"/>
    </row>
    <row r="3741" spans="7:7">
      <c r="G3741"/>
    </row>
    <row r="3742" spans="7:7">
      <c r="G3742"/>
    </row>
    <row r="3743" spans="7:7">
      <c r="G3743"/>
    </row>
    <row r="3744" spans="7:7">
      <c r="G3744"/>
    </row>
    <row r="3745" spans="7:7">
      <c r="G3745"/>
    </row>
    <row r="3746" spans="7:7">
      <c r="G3746"/>
    </row>
    <row r="3747" spans="7:7">
      <c r="G3747"/>
    </row>
    <row r="3748" spans="7:7">
      <c r="G3748"/>
    </row>
    <row r="3749" spans="7:7">
      <c r="G3749"/>
    </row>
    <row r="3750" spans="7:7">
      <c r="G3750"/>
    </row>
    <row r="3751" spans="7:7">
      <c r="G3751"/>
    </row>
    <row r="3752" spans="7:7">
      <c r="G3752"/>
    </row>
    <row r="3753" spans="7:7">
      <c r="G3753"/>
    </row>
    <row r="3754" spans="7:7">
      <c r="G3754"/>
    </row>
    <row r="3755" spans="7:7">
      <c r="G3755"/>
    </row>
    <row r="3756" spans="7:7">
      <c r="G3756"/>
    </row>
    <row r="3757" spans="7:7">
      <c r="G3757"/>
    </row>
    <row r="3758" spans="7:7">
      <c r="G3758"/>
    </row>
    <row r="3759" spans="7:7">
      <c r="G3759"/>
    </row>
    <row r="3760" spans="7:7">
      <c r="G3760"/>
    </row>
    <row r="3761" spans="7:7">
      <c r="G3761"/>
    </row>
    <row r="3762" spans="7:7">
      <c r="G3762"/>
    </row>
    <row r="3763" spans="7:7">
      <c r="G3763"/>
    </row>
    <row r="3764" spans="7:7">
      <c r="G3764"/>
    </row>
    <row r="3765" spans="7:7">
      <c r="G3765"/>
    </row>
    <row r="3766" spans="7:7">
      <c r="G3766"/>
    </row>
    <row r="3767" spans="7:7">
      <c r="G3767"/>
    </row>
    <row r="3768" spans="7:7">
      <c r="G3768"/>
    </row>
    <row r="3769" spans="7:7">
      <c r="G3769"/>
    </row>
    <row r="3770" spans="7:7">
      <c r="G3770"/>
    </row>
    <row r="3771" spans="7:7">
      <c r="G3771"/>
    </row>
    <row r="3772" spans="7:7">
      <c r="G3772"/>
    </row>
    <row r="3773" spans="7:7">
      <c r="G3773"/>
    </row>
    <row r="3774" spans="7:7">
      <c r="G3774"/>
    </row>
    <row r="3775" spans="7:7">
      <c r="G3775"/>
    </row>
    <row r="3776" spans="7:7">
      <c r="G3776"/>
    </row>
    <row r="3777" spans="7:7">
      <c r="G3777"/>
    </row>
    <row r="3778" spans="7:7">
      <c r="G3778"/>
    </row>
    <row r="3779" spans="7:7">
      <c r="G3779"/>
    </row>
    <row r="3780" spans="7:7">
      <c r="G3780"/>
    </row>
    <row r="3781" spans="7:7">
      <c r="G3781"/>
    </row>
    <row r="3782" spans="7:7">
      <c r="G3782"/>
    </row>
    <row r="3783" spans="7:7">
      <c r="G3783"/>
    </row>
    <row r="3784" spans="7:7">
      <c r="G3784"/>
    </row>
    <row r="3785" spans="7:7">
      <c r="G3785"/>
    </row>
    <row r="3786" spans="7:7">
      <c r="G3786"/>
    </row>
    <row r="3787" spans="7:7">
      <c r="G3787"/>
    </row>
    <row r="3788" spans="7:7">
      <c r="G3788"/>
    </row>
    <row r="3789" spans="7:7">
      <c r="G3789"/>
    </row>
    <row r="3790" spans="7:7">
      <c r="G3790"/>
    </row>
    <row r="3791" spans="7:7">
      <c r="G3791"/>
    </row>
    <row r="3792" spans="7:7">
      <c r="G3792"/>
    </row>
    <row r="3793" spans="7:7">
      <c r="G3793"/>
    </row>
    <row r="3794" spans="7:7">
      <c r="G3794"/>
    </row>
    <row r="3795" spans="7:7">
      <c r="G3795"/>
    </row>
    <row r="3796" spans="7:7">
      <c r="G3796"/>
    </row>
    <row r="3797" spans="7:7">
      <c r="G3797"/>
    </row>
    <row r="3798" spans="7:7">
      <c r="G3798"/>
    </row>
    <row r="3799" spans="7:7">
      <c r="G3799"/>
    </row>
    <row r="3800" spans="7:7">
      <c r="G3800"/>
    </row>
    <row r="3801" spans="7:7">
      <c r="G3801"/>
    </row>
    <row r="3802" spans="7:7">
      <c r="G3802"/>
    </row>
    <row r="3803" spans="7:7">
      <c r="G3803"/>
    </row>
    <row r="3804" spans="7:7">
      <c r="G3804"/>
    </row>
    <row r="3805" spans="7:7">
      <c r="G3805"/>
    </row>
    <row r="3806" spans="7:7">
      <c r="G3806"/>
    </row>
    <row r="3807" spans="7:7">
      <c r="G3807"/>
    </row>
    <row r="3808" spans="7:7">
      <c r="G3808"/>
    </row>
    <row r="3809" spans="7:7">
      <c r="G3809"/>
    </row>
    <row r="3810" spans="7:7">
      <c r="G3810"/>
    </row>
    <row r="3811" spans="7:7">
      <c r="G3811"/>
    </row>
    <row r="3812" spans="7:7">
      <c r="G3812"/>
    </row>
    <row r="3813" spans="7:7">
      <c r="G3813"/>
    </row>
    <row r="3814" spans="7:7">
      <c r="G3814"/>
    </row>
    <row r="3815" spans="7:7">
      <c r="G3815"/>
    </row>
    <row r="3816" spans="7:7">
      <c r="G3816"/>
    </row>
    <row r="3817" spans="7:7">
      <c r="G3817"/>
    </row>
    <row r="3818" spans="7:7">
      <c r="G3818"/>
    </row>
    <row r="3819" spans="7:7">
      <c r="G3819"/>
    </row>
    <row r="3820" spans="7:7">
      <c r="G3820"/>
    </row>
    <row r="3821" spans="7:7">
      <c r="G3821"/>
    </row>
    <row r="3822" spans="7:7">
      <c r="G3822"/>
    </row>
    <row r="3823" spans="7:7">
      <c r="G3823"/>
    </row>
    <row r="3824" spans="7:7">
      <c r="G3824"/>
    </row>
    <row r="3825" spans="7:7">
      <c r="G3825"/>
    </row>
    <row r="3826" spans="7:7">
      <c r="G3826"/>
    </row>
    <row r="3827" spans="7:7">
      <c r="G3827"/>
    </row>
    <row r="3828" spans="7:7">
      <c r="G3828"/>
    </row>
    <row r="3829" spans="7:7">
      <c r="G3829"/>
    </row>
    <row r="3830" spans="7:7">
      <c r="G3830"/>
    </row>
    <row r="3831" spans="7:7">
      <c r="G3831"/>
    </row>
    <row r="3832" spans="7:7">
      <c r="G3832"/>
    </row>
    <row r="3833" spans="7:7">
      <c r="G3833"/>
    </row>
    <row r="3834" spans="7:7">
      <c r="G3834"/>
    </row>
    <row r="3835" spans="7:7">
      <c r="G3835"/>
    </row>
    <row r="3836" spans="7:7">
      <c r="G3836"/>
    </row>
    <row r="3837" spans="7:7">
      <c r="G3837"/>
    </row>
    <row r="3838" spans="7:7">
      <c r="G3838"/>
    </row>
    <row r="3839" spans="7:7">
      <c r="G3839"/>
    </row>
    <row r="3840" spans="7:7">
      <c r="G3840"/>
    </row>
    <row r="3841" spans="7:7">
      <c r="G3841"/>
    </row>
    <row r="3842" spans="7:7">
      <c r="G3842"/>
    </row>
    <row r="3843" spans="7:7">
      <c r="G3843"/>
    </row>
    <row r="3844" spans="7:7">
      <c r="G3844"/>
    </row>
    <row r="3845" spans="7:7">
      <c r="G3845"/>
    </row>
    <row r="3846" spans="7:7">
      <c r="G3846"/>
    </row>
    <row r="3847" spans="7:7">
      <c r="G3847"/>
    </row>
    <row r="3848" spans="7:7">
      <c r="G3848"/>
    </row>
    <row r="3849" spans="7:7">
      <c r="G3849"/>
    </row>
    <row r="3850" spans="7:7">
      <c r="G3850"/>
    </row>
    <row r="3851" spans="7:7">
      <c r="G3851"/>
    </row>
    <row r="3852" spans="7:7">
      <c r="G3852"/>
    </row>
    <row r="3853" spans="7:7">
      <c r="G3853"/>
    </row>
    <row r="3854" spans="7:7">
      <c r="G3854"/>
    </row>
    <row r="3855" spans="7:7">
      <c r="G3855"/>
    </row>
    <row r="3856" spans="7:7">
      <c r="G3856"/>
    </row>
    <row r="3857" spans="7:7">
      <c r="G3857"/>
    </row>
    <row r="3858" spans="7:7">
      <c r="G3858"/>
    </row>
    <row r="3859" spans="7:7">
      <c r="G3859"/>
    </row>
    <row r="3860" spans="7:7">
      <c r="G3860"/>
    </row>
    <row r="3861" spans="7:7">
      <c r="G3861"/>
    </row>
    <row r="3862" spans="7:7">
      <c r="G3862"/>
    </row>
    <row r="3863" spans="7:7">
      <c r="G3863"/>
    </row>
    <row r="3864" spans="7:7">
      <c r="G3864"/>
    </row>
    <row r="3865" spans="7:7">
      <c r="G3865"/>
    </row>
    <row r="3866" spans="7:7">
      <c r="G3866"/>
    </row>
    <row r="3867" spans="7:7">
      <c r="G3867"/>
    </row>
    <row r="3868" spans="7:7">
      <c r="G3868"/>
    </row>
    <row r="3869" spans="7:7">
      <c r="G3869"/>
    </row>
    <row r="3870" spans="7:7">
      <c r="G3870"/>
    </row>
    <row r="3871" spans="7:7">
      <c r="G3871"/>
    </row>
    <row r="3872" spans="7:7">
      <c r="G3872"/>
    </row>
    <row r="3873" spans="7:7">
      <c r="G3873"/>
    </row>
    <row r="3874" spans="7:7">
      <c r="G3874"/>
    </row>
    <row r="3875" spans="7:7">
      <c r="G3875"/>
    </row>
    <row r="3876" spans="7:7">
      <c r="G3876"/>
    </row>
    <row r="3877" spans="7:7">
      <c r="G3877"/>
    </row>
    <row r="3878" spans="7:7">
      <c r="G3878"/>
    </row>
    <row r="3879" spans="7:7">
      <c r="G3879"/>
    </row>
    <row r="3880" spans="7:7">
      <c r="G3880"/>
    </row>
    <row r="3881" spans="7:7">
      <c r="G3881"/>
    </row>
    <row r="3882" spans="7:7">
      <c r="G3882"/>
    </row>
    <row r="3883" spans="7:7">
      <c r="G3883"/>
    </row>
    <row r="3884" spans="7:7">
      <c r="G3884"/>
    </row>
    <row r="3885" spans="7:7">
      <c r="G3885"/>
    </row>
    <row r="3886" spans="7:7">
      <c r="G3886"/>
    </row>
    <row r="3887" spans="7:7">
      <c r="G3887"/>
    </row>
    <row r="3888" spans="7:7">
      <c r="G3888"/>
    </row>
    <row r="3889" spans="7:7">
      <c r="G3889"/>
    </row>
    <row r="3890" spans="7:7">
      <c r="G3890"/>
    </row>
    <row r="3891" spans="7:7">
      <c r="G3891"/>
    </row>
    <row r="3892" spans="7:7">
      <c r="G3892"/>
    </row>
    <row r="3893" spans="7:7">
      <c r="G3893"/>
    </row>
    <row r="3894" spans="7:7">
      <c r="G3894"/>
    </row>
    <row r="3895" spans="7:7">
      <c r="G3895"/>
    </row>
    <row r="3896" spans="7:7">
      <c r="G3896"/>
    </row>
    <row r="3897" spans="7:7">
      <c r="G3897"/>
    </row>
    <row r="3898" spans="7:7">
      <c r="G3898"/>
    </row>
    <row r="3899" spans="7:7">
      <c r="G3899"/>
    </row>
    <row r="3900" spans="7:7">
      <c r="G3900"/>
    </row>
    <row r="3901" spans="7:7">
      <c r="G3901"/>
    </row>
    <row r="3902" spans="7:7">
      <c r="G3902"/>
    </row>
    <row r="3903" spans="7:7">
      <c r="G3903"/>
    </row>
    <row r="3904" spans="7:7">
      <c r="G3904"/>
    </row>
    <row r="3905" spans="7:7">
      <c r="G3905"/>
    </row>
    <row r="3906" spans="7:7">
      <c r="G3906"/>
    </row>
    <row r="3907" spans="7:7">
      <c r="G3907"/>
    </row>
    <row r="3908" spans="7:7">
      <c r="G3908"/>
    </row>
    <row r="3909" spans="7:7">
      <c r="G3909"/>
    </row>
    <row r="3910" spans="7:7">
      <c r="G3910"/>
    </row>
    <row r="3911" spans="7:7">
      <c r="G3911"/>
    </row>
    <row r="3912" spans="7:7">
      <c r="G3912"/>
    </row>
    <row r="3913" spans="7:7">
      <c r="G3913"/>
    </row>
    <row r="3914" spans="7:7">
      <c r="G3914"/>
    </row>
    <row r="3915" spans="7:7">
      <c r="G3915"/>
    </row>
    <row r="3916" spans="7:7">
      <c r="G3916"/>
    </row>
    <row r="3917" spans="7:7">
      <c r="G3917"/>
    </row>
    <row r="3918" spans="7:7">
      <c r="G3918"/>
    </row>
    <row r="3919" spans="7:7">
      <c r="G3919"/>
    </row>
    <row r="3920" spans="7:7">
      <c r="G3920"/>
    </row>
    <row r="3921" spans="7:7">
      <c r="G3921"/>
    </row>
    <row r="3922" spans="7:7">
      <c r="G3922"/>
    </row>
    <row r="3923" spans="7:7">
      <c r="G3923"/>
    </row>
    <row r="3924" spans="7:7">
      <c r="G3924"/>
    </row>
    <row r="3925" spans="7:7">
      <c r="G3925"/>
    </row>
    <row r="3926" spans="7:7">
      <c r="G3926"/>
    </row>
    <row r="3927" spans="7:7">
      <c r="G3927"/>
    </row>
    <row r="3928" spans="7:7">
      <c r="G3928"/>
    </row>
    <row r="3929" spans="7:7">
      <c r="G3929"/>
    </row>
    <row r="3930" spans="7:7">
      <c r="G3930"/>
    </row>
    <row r="3931" spans="7:7">
      <c r="G3931"/>
    </row>
    <row r="3932" spans="7:7">
      <c r="G3932"/>
    </row>
    <row r="3933" spans="7:7">
      <c r="G3933"/>
    </row>
    <row r="3934" spans="7:7">
      <c r="G3934"/>
    </row>
    <row r="3935" spans="7:7">
      <c r="G3935"/>
    </row>
    <row r="3936" spans="7:7">
      <c r="G3936"/>
    </row>
    <row r="3937" spans="7:7">
      <c r="G3937"/>
    </row>
    <row r="3938" spans="7:7">
      <c r="G3938"/>
    </row>
    <row r="3939" spans="7:7">
      <c r="G3939"/>
    </row>
    <row r="3940" spans="7:7">
      <c r="G3940"/>
    </row>
    <row r="3941" spans="7:7">
      <c r="G3941"/>
    </row>
    <row r="3942" spans="7:7">
      <c r="G3942"/>
    </row>
    <row r="3943" spans="7:7">
      <c r="G3943"/>
    </row>
    <row r="3944" spans="7:7">
      <c r="G3944"/>
    </row>
    <row r="3945" spans="7:7">
      <c r="G3945"/>
    </row>
    <row r="3946" spans="7:7">
      <c r="G3946"/>
    </row>
    <row r="3947" spans="7:7">
      <c r="G3947"/>
    </row>
    <row r="3948" spans="7:7">
      <c r="G3948"/>
    </row>
    <row r="3949" spans="7:7">
      <c r="G3949"/>
    </row>
    <row r="3950" spans="7:7">
      <c r="G3950"/>
    </row>
    <row r="3951" spans="7:7">
      <c r="G3951"/>
    </row>
    <row r="3952" spans="7:7">
      <c r="G3952"/>
    </row>
    <row r="3953" spans="7:7">
      <c r="G3953"/>
    </row>
    <row r="3954" spans="7:7">
      <c r="G3954"/>
    </row>
    <row r="3955" spans="7:7">
      <c r="G3955"/>
    </row>
    <row r="3956" spans="7:7">
      <c r="G3956"/>
    </row>
    <row r="3957" spans="7:7">
      <c r="G3957"/>
    </row>
    <row r="3958" spans="7:7">
      <c r="G3958"/>
    </row>
    <row r="3959" spans="7:7">
      <c r="G3959"/>
    </row>
    <row r="3960" spans="7:7">
      <c r="G3960"/>
    </row>
    <row r="3961" spans="7:7">
      <c r="G3961"/>
    </row>
    <row r="3962" spans="7:7">
      <c r="G3962"/>
    </row>
    <row r="3963" spans="7:7">
      <c r="G3963"/>
    </row>
    <row r="3964" spans="7:7">
      <c r="G3964"/>
    </row>
    <row r="3965" spans="7:7">
      <c r="G3965"/>
    </row>
    <row r="3966" spans="7:7">
      <c r="G3966"/>
    </row>
    <row r="3967" spans="7:7">
      <c r="G3967"/>
    </row>
    <row r="3968" spans="7:7">
      <c r="G3968"/>
    </row>
    <row r="3969" spans="7:7">
      <c r="G3969"/>
    </row>
    <row r="3970" spans="7:7">
      <c r="G3970"/>
    </row>
    <row r="3971" spans="7:7">
      <c r="G3971"/>
    </row>
    <row r="3972" spans="7:7">
      <c r="G3972"/>
    </row>
    <row r="3973" spans="7:7">
      <c r="G3973"/>
    </row>
    <row r="3974" spans="7:7">
      <c r="G3974"/>
    </row>
    <row r="3975" spans="7:7">
      <c r="G3975"/>
    </row>
    <row r="3976" spans="7:7">
      <c r="G3976"/>
    </row>
    <row r="3977" spans="7:7">
      <c r="G3977"/>
    </row>
    <row r="3978" spans="7:7">
      <c r="G3978"/>
    </row>
    <row r="3979" spans="7:7">
      <c r="G3979"/>
    </row>
    <row r="3980" spans="7:7">
      <c r="G3980"/>
    </row>
    <row r="3981" spans="7:7">
      <c r="G3981"/>
    </row>
    <row r="3982" spans="7:7">
      <c r="G3982"/>
    </row>
    <row r="3983" spans="7:7">
      <c r="G3983"/>
    </row>
    <row r="3984" spans="7:7">
      <c r="G3984"/>
    </row>
    <row r="3985" spans="7:7">
      <c r="G3985"/>
    </row>
    <row r="3986" spans="7:7">
      <c r="G3986"/>
    </row>
    <row r="3987" spans="7:7">
      <c r="G3987"/>
    </row>
    <row r="3988" spans="7:7">
      <c r="G3988"/>
    </row>
    <row r="3989" spans="7:7">
      <c r="G3989"/>
    </row>
    <row r="3990" spans="7:7">
      <c r="G3990"/>
    </row>
    <row r="3991" spans="7:7">
      <c r="G3991"/>
    </row>
    <row r="3992" spans="7:7">
      <c r="G3992"/>
    </row>
    <row r="3993" spans="7:7">
      <c r="G3993"/>
    </row>
    <row r="3994" spans="7:7">
      <c r="G3994"/>
    </row>
    <row r="3995" spans="7:7">
      <c r="G3995"/>
    </row>
    <row r="3996" spans="7:7">
      <c r="G3996"/>
    </row>
    <row r="3997" spans="7:7">
      <c r="G3997"/>
    </row>
    <row r="3998" spans="7:7">
      <c r="G3998"/>
    </row>
    <row r="3999" spans="7:7">
      <c r="G3999"/>
    </row>
    <row r="4000" spans="7:7">
      <c r="G4000"/>
    </row>
    <row r="4001" spans="7:7">
      <c r="G4001"/>
    </row>
    <row r="4002" spans="7:7">
      <c r="G4002"/>
    </row>
    <row r="4003" spans="7:7">
      <c r="G4003"/>
    </row>
    <row r="4004" spans="7:7">
      <c r="G4004"/>
    </row>
    <row r="4005" spans="7:7">
      <c r="G4005"/>
    </row>
    <row r="4006" spans="7:7">
      <c r="G4006"/>
    </row>
    <row r="4007" spans="7:7">
      <c r="G4007"/>
    </row>
    <row r="4008" spans="7:7">
      <c r="G4008"/>
    </row>
    <row r="4009" spans="7:7">
      <c r="G4009"/>
    </row>
    <row r="4010" spans="7:7">
      <c r="G4010"/>
    </row>
    <row r="4011" spans="7:7">
      <c r="G4011"/>
    </row>
    <row r="4012" spans="7:7">
      <c r="G4012"/>
    </row>
    <row r="4013" spans="7:7">
      <c r="G4013"/>
    </row>
    <row r="4014" spans="7:7">
      <c r="G4014"/>
    </row>
    <row r="4015" spans="7:7">
      <c r="G4015"/>
    </row>
    <row r="4016" spans="7:7">
      <c r="G4016"/>
    </row>
    <row r="4017" spans="7:7">
      <c r="G4017"/>
    </row>
    <row r="4018" spans="7:7">
      <c r="G4018"/>
    </row>
    <row r="4019" spans="7:7">
      <c r="G4019"/>
    </row>
    <row r="4020" spans="7:7">
      <c r="G4020"/>
    </row>
    <row r="4021" spans="7:7">
      <c r="G4021"/>
    </row>
    <row r="4022" spans="7:7">
      <c r="G4022"/>
    </row>
    <row r="4023" spans="7:7">
      <c r="G4023"/>
    </row>
    <row r="4024" spans="7:7">
      <c r="G4024"/>
    </row>
    <row r="4025" spans="7:7">
      <c r="G4025"/>
    </row>
    <row r="4026" spans="7:7">
      <c r="G4026"/>
    </row>
    <row r="4027" spans="7:7">
      <c r="G4027"/>
    </row>
    <row r="4028" spans="7:7">
      <c r="G4028"/>
    </row>
    <row r="4029" spans="7:7">
      <c r="G4029"/>
    </row>
    <row r="4030" spans="7:7">
      <c r="G4030"/>
    </row>
    <row r="4031" spans="7:7">
      <c r="G4031"/>
    </row>
    <row r="4032" spans="7:7">
      <c r="G4032"/>
    </row>
    <row r="4033" spans="7:7">
      <c r="G4033"/>
    </row>
    <row r="4034" spans="7:7">
      <c r="G4034"/>
    </row>
    <row r="4035" spans="7:7">
      <c r="G4035"/>
    </row>
    <row r="4036" spans="7:7">
      <c r="G4036"/>
    </row>
    <row r="4037" spans="7:7">
      <c r="G4037"/>
    </row>
    <row r="4038" spans="7:7">
      <c r="G4038"/>
    </row>
    <row r="4039" spans="7:7">
      <c r="G4039"/>
    </row>
    <row r="4040" spans="7:7">
      <c r="G4040"/>
    </row>
    <row r="4041" spans="7:7">
      <c r="G4041"/>
    </row>
    <row r="4042" spans="7:7">
      <c r="G4042"/>
    </row>
    <row r="4043" spans="7:7">
      <c r="G4043"/>
    </row>
    <row r="4044" spans="7:7">
      <c r="G4044"/>
    </row>
    <row r="4045" spans="7:7">
      <c r="G4045"/>
    </row>
    <row r="4046" spans="7:7">
      <c r="G4046"/>
    </row>
    <row r="4047" spans="7:7">
      <c r="G4047"/>
    </row>
    <row r="4048" spans="7:7">
      <c r="G4048"/>
    </row>
    <row r="4049" spans="7:7">
      <c r="G4049"/>
    </row>
    <row r="4050" spans="7:7">
      <c r="G4050"/>
    </row>
    <row r="4051" spans="7:7">
      <c r="G4051"/>
    </row>
    <row r="4052" spans="7:7">
      <c r="G4052"/>
    </row>
    <row r="4053" spans="7:7">
      <c r="G4053"/>
    </row>
    <row r="4054" spans="7:7">
      <c r="G4054"/>
    </row>
    <row r="4055" spans="7:7">
      <c r="G4055"/>
    </row>
    <row r="4056" spans="7:7">
      <c r="G4056"/>
    </row>
    <row r="4057" spans="7:7">
      <c r="G4057"/>
    </row>
    <row r="4058" spans="7:7">
      <c r="G4058"/>
    </row>
    <row r="4059" spans="7:7">
      <c r="G4059"/>
    </row>
    <row r="4060" spans="7:7">
      <c r="G4060"/>
    </row>
    <row r="4061" spans="7:7">
      <c r="G4061"/>
    </row>
    <row r="4062" spans="7:7">
      <c r="G4062"/>
    </row>
    <row r="4063" spans="7:7">
      <c r="G4063"/>
    </row>
    <row r="4064" spans="7:7">
      <c r="G4064"/>
    </row>
    <row r="4065" spans="7:7">
      <c r="G4065"/>
    </row>
    <row r="4066" spans="7:7">
      <c r="G4066"/>
    </row>
    <row r="4067" spans="7:7">
      <c r="G4067"/>
    </row>
    <row r="4068" spans="7:7">
      <c r="G4068"/>
    </row>
    <row r="4069" spans="7:7">
      <c r="G4069"/>
    </row>
    <row r="4070" spans="7:7">
      <c r="G4070"/>
    </row>
    <row r="4071" spans="7:7">
      <c r="G4071"/>
    </row>
    <row r="4072" spans="7:7">
      <c r="G4072"/>
    </row>
    <row r="4073" spans="7:7">
      <c r="G4073"/>
    </row>
    <row r="4074" spans="7:7">
      <c r="G4074"/>
    </row>
    <row r="4075" spans="7:7">
      <c r="G4075"/>
    </row>
    <row r="4076" spans="7:7">
      <c r="G4076"/>
    </row>
    <row r="4077" spans="7:7">
      <c r="G4077"/>
    </row>
    <row r="4078" spans="7:7">
      <c r="G4078"/>
    </row>
    <row r="4079" spans="7:7">
      <c r="G4079"/>
    </row>
    <row r="4080" spans="7:7">
      <c r="G4080"/>
    </row>
    <row r="4081" spans="7:7">
      <c r="G4081"/>
    </row>
    <row r="4082" spans="7:7">
      <c r="G4082"/>
    </row>
    <row r="4083" spans="7:7">
      <c r="G4083"/>
    </row>
    <row r="4084" spans="7:7">
      <c r="G4084"/>
    </row>
    <row r="4085" spans="7:7">
      <c r="G4085"/>
    </row>
    <row r="4086" spans="7:7">
      <c r="G4086"/>
    </row>
    <row r="4087" spans="7:7">
      <c r="G4087"/>
    </row>
    <row r="4088" spans="7:7">
      <c r="G4088"/>
    </row>
    <row r="4089" spans="7:7">
      <c r="G4089"/>
    </row>
    <row r="4090" spans="7:7">
      <c r="G4090"/>
    </row>
    <row r="4091" spans="7:7">
      <c r="G4091"/>
    </row>
    <row r="4092" spans="7:7">
      <c r="G4092"/>
    </row>
    <row r="4093" spans="7:7">
      <c r="G4093"/>
    </row>
    <row r="4094" spans="7:7">
      <c r="G4094"/>
    </row>
    <row r="4095" spans="7:7">
      <c r="G4095"/>
    </row>
    <row r="4096" spans="7:7">
      <c r="G4096"/>
    </row>
    <row r="4097" spans="7:7">
      <c r="G4097"/>
    </row>
    <row r="4098" spans="7:7">
      <c r="G4098"/>
    </row>
    <row r="4099" spans="7:7">
      <c r="G4099"/>
    </row>
    <row r="4100" spans="7:7">
      <c r="G4100"/>
    </row>
    <row r="4101" spans="7:7">
      <c r="G4101"/>
    </row>
    <row r="4102" spans="7:7">
      <c r="G4102"/>
    </row>
    <row r="4103" spans="7:7">
      <c r="G4103"/>
    </row>
    <row r="4104" spans="7:7">
      <c r="G4104"/>
    </row>
    <row r="4105" spans="7:7">
      <c r="G4105"/>
    </row>
    <row r="4106" spans="7:7">
      <c r="G4106"/>
    </row>
    <row r="4107" spans="7:7">
      <c r="G4107"/>
    </row>
    <row r="4108" spans="7:7">
      <c r="G4108"/>
    </row>
    <row r="4109" spans="7:7">
      <c r="G4109"/>
    </row>
    <row r="4110" spans="7:7">
      <c r="G4110"/>
    </row>
    <row r="4111" spans="7:7">
      <c r="G4111"/>
    </row>
    <row r="4112" spans="7:7">
      <c r="G4112"/>
    </row>
    <row r="4113" spans="7:7">
      <c r="G4113"/>
    </row>
    <row r="4114" spans="7:7">
      <c r="G4114"/>
    </row>
    <row r="4115" spans="7:7">
      <c r="G4115"/>
    </row>
    <row r="4116" spans="7:7">
      <c r="G4116"/>
    </row>
    <row r="4117" spans="7:7">
      <c r="G4117"/>
    </row>
    <row r="4118" spans="7:7">
      <c r="G4118"/>
    </row>
    <row r="4119" spans="7:7">
      <c r="G4119"/>
    </row>
    <row r="4120" spans="7:7">
      <c r="G4120"/>
    </row>
    <row r="4121" spans="7:7">
      <c r="G4121"/>
    </row>
    <row r="4122" spans="7:7">
      <c r="G4122"/>
    </row>
    <row r="4123" spans="7:7">
      <c r="G4123"/>
    </row>
    <row r="4124" spans="7:7">
      <c r="G4124"/>
    </row>
    <row r="4125" spans="7:7">
      <c r="G4125"/>
    </row>
    <row r="4126" spans="7:7">
      <c r="G4126"/>
    </row>
    <row r="4127" spans="7:7">
      <c r="G4127"/>
    </row>
    <row r="4128" spans="7:7">
      <c r="G4128"/>
    </row>
    <row r="4129" spans="7:7">
      <c r="G4129"/>
    </row>
    <row r="4130" spans="7:7">
      <c r="G4130"/>
    </row>
    <row r="4131" spans="7:7">
      <c r="G4131"/>
    </row>
    <row r="4132" spans="7:7">
      <c r="G4132"/>
    </row>
    <row r="4133" spans="7:7">
      <c r="G4133"/>
    </row>
    <row r="4134" spans="7:7">
      <c r="G4134"/>
    </row>
    <row r="4135" spans="7:7">
      <c r="G4135"/>
    </row>
    <row r="4136" spans="7:7">
      <c r="G4136"/>
    </row>
    <row r="4137" spans="7:7">
      <c r="G4137"/>
    </row>
    <row r="4138" spans="7:7">
      <c r="G4138"/>
    </row>
    <row r="4139" spans="7:7">
      <c r="G4139"/>
    </row>
    <row r="4140" spans="7:7">
      <c r="G4140"/>
    </row>
    <row r="4141" spans="7:7">
      <c r="G4141"/>
    </row>
    <row r="4142" spans="7:7">
      <c r="G4142"/>
    </row>
    <row r="4143" spans="7:7">
      <c r="G4143"/>
    </row>
    <row r="4144" spans="7:7">
      <c r="G4144"/>
    </row>
    <row r="4145" spans="7:7">
      <c r="G4145"/>
    </row>
    <row r="4146" spans="7:7">
      <c r="G4146"/>
    </row>
    <row r="4147" spans="7:7">
      <c r="G4147"/>
    </row>
    <row r="4148" spans="7:7">
      <c r="G4148"/>
    </row>
    <row r="4149" spans="7:7">
      <c r="G4149"/>
    </row>
    <row r="4150" spans="7:7">
      <c r="G4150"/>
    </row>
    <row r="4151" spans="7:7">
      <c r="G4151"/>
    </row>
    <row r="4152" spans="7:7">
      <c r="G4152"/>
    </row>
    <row r="4153" spans="7:7">
      <c r="G4153"/>
    </row>
    <row r="4154" spans="7:7">
      <c r="G4154"/>
    </row>
    <row r="4155" spans="7:7">
      <c r="G4155"/>
    </row>
    <row r="4156" spans="7:7">
      <c r="G4156"/>
    </row>
    <row r="4157" spans="7:7">
      <c r="G4157"/>
    </row>
    <row r="4158" spans="7:7">
      <c r="G4158"/>
    </row>
    <row r="4159" spans="7:7">
      <c r="G4159"/>
    </row>
    <row r="4160" spans="7:7">
      <c r="G4160"/>
    </row>
    <row r="4161" spans="7:7">
      <c r="G4161"/>
    </row>
    <row r="4162" spans="7:7">
      <c r="G4162"/>
    </row>
    <row r="4163" spans="7:7">
      <c r="G4163"/>
    </row>
    <row r="4164" spans="7:7">
      <c r="G4164"/>
    </row>
    <row r="4165" spans="7:7">
      <c r="G4165"/>
    </row>
    <row r="4166" spans="7:7">
      <c r="G4166"/>
    </row>
    <row r="4167" spans="7:7">
      <c r="G4167"/>
    </row>
    <row r="4168" spans="7:7">
      <c r="G4168"/>
    </row>
    <row r="4169" spans="7:7">
      <c r="G4169"/>
    </row>
    <row r="4170" spans="7:7">
      <c r="G4170"/>
    </row>
    <row r="4171" spans="7:7">
      <c r="G4171"/>
    </row>
    <row r="4172" spans="7:7">
      <c r="G4172"/>
    </row>
    <row r="4173" spans="7:7">
      <c r="G4173"/>
    </row>
    <row r="4174" spans="7:7">
      <c r="G4174"/>
    </row>
    <row r="4175" spans="7:7">
      <c r="G4175"/>
    </row>
    <row r="4176" spans="7:7">
      <c r="G4176"/>
    </row>
    <row r="4177" spans="7:7">
      <c r="G4177"/>
    </row>
    <row r="4178" spans="7:7">
      <c r="G4178"/>
    </row>
    <row r="4179" spans="7:7">
      <c r="G4179"/>
    </row>
    <row r="4180" spans="7:7">
      <c r="G4180"/>
    </row>
    <row r="4181" spans="7:7">
      <c r="G4181"/>
    </row>
    <row r="4182" spans="7:7">
      <c r="G4182"/>
    </row>
    <row r="4183" spans="7:7">
      <c r="G4183"/>
    </row>
    <row r="4184" spans="7:7">
      <c r="G4184"/>
    </row>
    <row r="4185" spans="7:7">
      <c r="G4185"/>
    </row>
    <row r="4186" spans="7:7">
      <c r="G4186"/>
    </row>
    <row r="4187" spans="7:7">
      <c r="G4187"/>
    </row>
    <row r="4188" spans="7:7">
      <c r="G4188"/>
    </row>
    <row r="4189" spans="7:7">
      <c r="G4189"/>
    </row>
    <row r="4190" spans="7:7">
      <c r="G4190"/>
    </row>
    <row r="4191" spans="7:7">
      <c r="G4191"/>
    </row>
    <row r="4192" spans="7:7">
      <c r="G4192"/>
    </row>
    <row r="4193" spans="7:7">
      <c r="G4193"/>
    </row>
    <row r="4194" spans="7:7">
      <c r="G4194"/>
    </row>
    <row r="4195" spans="7:7">
      <c r="G4195"/>
    </row>
    <row r="4196" spans="7:7">
      <c r="G4196"/>
    </row>
    <row r="4197" spans="7:7">
      <c r="G4197"/>
    </row>
    <row r="4198" spans="7:7">
      <c r="G4198"/>
    </row>
    <row r="4199" spans="7:7">
      <c r="G4199"/>
    </row>
    <row r="4200" spans="7:7">
      <c r="G4200"/>
    </row>
    <row r="4201" spans="7:7">
      <c r="G4201"/>
    </row>
    <row r="4202" spans="7:7">
      <c r="G4202"/>
    </row>
    <row r="4203" spans="7:7">
      <c r="G4203"/>
    </row>
    <row r="4204" spans="7:7">
      <c r="G4204"/>
    </row>
    <row r="4205" spans="7:7">
      <c r="G4205"/>
    </row>
    <row r="4206" spans="7:7">
      <c r="G4206"/>
    </row>
    <row r="4207" spans="7:7">
      <c r="G4207"/>
    </row>
    <row r="4208" spans="7:7">
      <c r="G4208"/>
    </row>
    <row r="4209" spans="7:7">
      <c r="G4209"/>
    </row>
    <row r="4210" spans="7:7">
      <c r="G4210"/>
    </row>
    <row r="4211" spans="7:7">
      <c r="G4211"/>
    </row>
    <row r="4212" spans="7:7">
      <c r="G4212"/>
    </row>
    <row r="4213" spans="7:7">
      <c r="G4213"/>
    </row>
    <row r="4214" spans="7:7">
      <c r="G4214"/>
    </row>
    <row r="4215" spans="7:7">
      <c r="G4215"/>
    </row>
    <row r="4216" spans="7:7">
      <c r="G4216"/>
    </row>
    <row r="4217" spans="7:7">
      <c r="G4217"/>
    </row>
    <row r="4218" spans="7:7">
      <c r="G4218"/>
    </row>
    <row r="4219" spans="7:7">
      <c r="G4219"/>
    </row>
    <row r="4220" spans="7:7">
      <c r="G4220"/>
    </row>
    <row r="4221" spans="7:7">
      <c r="G4221"/>
    </row>
    <row r="4222" spans="7:7">
      <c r="G4222"/>
    </row>
    <row r="4223" spans="7:7">
      <c r="G4223"/>
    </row>
    <row r="4224" spans="7:7">
      <c r="G4224"/>
    </row>
    <row r="4225" spans="7:7">
      <c r="G4225"/>
    </row>
    <row r="4226" spans="7:7">
      <c r="G4226"/>
    </row>
    <row r="4227" spans="7:7">
      <c r="G4227"/>
    </row>
    <row r="4228" spans="7:7">
      <c r="G4228"/>
    </row>
    <row r="4229" spans="7:7">
      <c r="G4229"/>
    </row>
    <row r="4230" spans="7:7">
      <c r="G4230"/>
    </row>
    <row r="4231" spans="7:7">
      <c r="G4231"/>
    </row>
    <row r="4232" spans="7:7">
      <c r="G4232"/>
    </row>
    <row r="4233" spans="7:7">
      <c r="G4233"/>
    </row>
    <row r="4234" spans="7:7">
      <c r="G4234"/>
    </row>
    <row r="4235" spans="7:7">
      <c r="G4235"/>
    </row>
    <row r="4236" spans="7:7">
      <c r="G4236"/>
    </row>
    <row r="4237" spans="7:7">
      <c r="G4237"/>
    </row>
    <row r="4238" spans="7:7">
      <c r="G4238"/>
    </row>
    <row r="4239" spans="7:7">
      <c r="G4239"/>
    </row>
    <row r="4240" spans="7:7">
      <c r="G4240"/>
    </row>
    <row r="4241" spans="7:7">
      <c r="G4241"/>
    </row>
    <row r="4242" spans="7:7">
      <c r="G4242"/>
    </row>
    <row r="4243" spans="7:7">
      <c r="G4243"/>
    </row>
    <row r="4244" spans="7:7">
      <c r="G4244"/>
    </row>
    <row r="4245" spans="7:7">
      <c r="G4245"/>
    </row>
    <row r="4246" spans="7:7">
      <c r="G4246"/>
    </row>
    <row r="4247" spans="7:7">
      <c r="G4247"/>
    </row>
    <row r="4248" spans="7:7">
      <c r="G4248"/>
    </row>
    <row r="4249" spans="7:7">
      <c r="G4249"/>
    </row>
    <row r="4250" spans="7:7">
      <c r="G4250"/>
    </row>
    <row r="4251" spans="7:7">
      <c r="G4251"/>
    </row>
    <row r="4252" spans="7:7">
      <c r="G4252"/>
    </row>
    <row r="4253" spans="7:7">
      <c r="G4253"/>
    </row>
    <row r="4254" spans="7:7">
      <c r="G4254"/>
    </row>
    <row r="4255" spans="7:7">
      <c r="G4255"/>
    </row>
    <row r="4256" spans="7:7">
      <c r="G4256"/>
    </row>
    <row r="4257" spans="7:7">
      <c r="G4257"/>
    </row>
    <row r="4258" spans="7:7">
      <c r="G4258"/>
    </row>
    <row r="4259" spans="7:7">
      <c r="G4259"/>
    </row>
    <row r="4260" spans="7:7">
      <c r="G4260"/>
    </row>
    <row r="4261" spans="7:7">
      <c r="G4261"/>
    </row>
    <row r="4262" spans="7:7">
      <c r="G4262"/>
    </row>
    <row r="4263" spans="7:7">
      <c r="G4263"/>
    </row>
    <row r="4264" spans="7:7">
      <c r="G4264"/>
    </row>
    <row r="4265" spans="7:7">
      <c r="G4265"/>
    </row>
    <row r="4266" spans="7:7">
      <c r="G4266"/>
    </row>
    <row r="4267" spans="7:7">
      <c r="G4267"/>
    </row>
    <row r="4268" spans="7:7">
      <c r="G4268"/>
    </row>
    <row r="4269" spans="7:7">
      <c r="G4269"/>
    </row>
    <row r="4270" spans="7:7">
      <c r="G4270"/>
    </row>
    <row r="4271" spans="7:7">
      <c r="G4271"/>
    </row>
    <row r="4272" spans="7:7">
      <c r="G4272"/>
    </row>
    <row r="4273" spans="7:7">
      <c r="G4273"/>
    </row>
    <row r="4274" spans="7:7">
      <c r="G4274"/>
    </row>
    <row r="4275" spans="7:7">
      <c r="G4275"/>
    </row>
    <row r="4276" spans="7:7">
      <c r="G4276"/>
    </row>
    <row r="4277" spans="7:7">
      <c r="G4277"/>
    </row>
    <row r="4278" spans="7:7">
      <c r="G4278"/>
    </row>
    <row r="4279" spans="7:7">
      <c r="G4279"/>
    </row>
    <row r="4280" spans="7:7">
      <c r="G4280"/>
    </row>
    <row r="4281" spans="7:7">
      <c r="G4281"/>
    </row>
    <row r="4282" spans="7:7">
      <c r="G4282"/>
    </row>
    <row r="4283" spans="7:7">
      <c r="G4283"/>
    </row>
    <row r="4284" spans="7:7">
      <c r="G4284"/>
    </row>
    <row r="4285" spans="7:7">
      <c r="G4285"/>
    </row>
    <row r="4286" spans="7:7">
      <c r="G4286"/>
    </row>
    <row r="4287" spans="7:7">
      <c r="G4287"/>
    </row>
    <row r="4288" spans="7:7">
      <c r="G4288"/>
    </row>
    <row r="4289" spans="7:7">
      <c r="G4289"/>
    </row>
    <row r="4290" spans="7:7">
      <c r="G4290"/>
    </row>
    <row r="4291" spans="7:7">
      <c r="G4291"/>
    </row>
    <row r="4292" spans="7:7">
      <c r="G4292"/>
    </row>
    <row r="4293" spans="7:7">
      <c r="G4293"/>
    </row>
    <row r="4294" spans="7:7">
      <c r="G4294"/>
    </row>
    <row r="4295" spans="7:7">
      <c r="G4295"/>
    </row>
    <row r="4296" spans="7:7">
      <c r="G4296"/>
    </row>
    <row r="4297" spans="7:7">
      <c r="G4297"/>
    </row>
    <row r="4298" spans="7:7">
      <c r="G4298"/>
    </row>
    <row r="4299" spans="7:7">
      <c r="G4299"/>
    </row>
    <row r="4300" spans="7:7">
      <c r="G4300"/>
    </row>
    <row r="4301" spans="7:7">
      <c r="G4301"/>
    </row>
    <row r="4302" spans="7:7">
      <c r="G4302"/>
    </row>
    <row r="4303" spans="7:7">
      <c r="G4303"/>
    </row>
    <row r="4304" spans="7:7">
      <c r="G4304"/>
    </row>
    <row r="4305" spans="7:7">
      <c r="G4305"/>
    </row>
    <row r="4306" spans="7:7">
      <c r="G4306"/>
    </row>
    <row r="4307" spans="7:7">
      <c r="G4307"/>
    </row>
    <row r="4308" spans="7:7">
      <c r="G4308"/>
    </row>
    <row r="4309" spans="7:7">
      <c r="G4309"/>
    </row>
    <row r="4310" spans="7:7">
      <c r="G4310"/>
    </row>
    <row r="4311" spans="7:7">
      <c r="G4311"/>
    </row>
    <row r="4312" spans="7:7">
      <c r="G4312"/>
    </row>
    <row r="4313" spans="7:7">
      <c r="G4313"/>
    </row>
    <row r="4314" spans="7:7">
      <c r="G4314"/>
    </row>
    <row r="4315" spans="7:7">
      <c r="G4315"/>
    </row>
    <row r="4316" spans="7:7">
      <c r="G4316"/>
    </row>
    <row r="4317" spans="7:7">
      <c r="G4317"/>
    </row>
    <row r="4318" spans="7:7">
      <c r="G4318"/>
    </row>
    <row r="4319" spans="7:7">
      <c r="G4319"/>
    </row>
    <row r="4320" spans="7:7">
      <c r="G4320"/>
    </row>
    <row r="4321" spans="7:7">
      <c r="G4321"/>
    </row>
    <row r="4322" spans="7:7">
      <c r="G4322"/>
    </row>
    <row r="4323" spans="7:7">
      <c r="G4323"/>
    </row>
    <row r="4324" spans="7:7">
      <c r="G4324"/>
    </row>
    <row r="4325" spans="7:7">
      <c r="G4325"/>
    </row>
    <row r="4326" spans="7:7">
      <c r="G4326"/>
    </row>
    <row r="4327" spans="7:7">
      <c r="G4327"/>
    </row>
    <row r="4328" spans="7:7">
      <c r="G4328"/>
    </row>
    <row r="4329" spans="7:7">
      <c r="G4329"/>
    </row>
    <row r="4330" spans="7:7">
      <c r="G4330"/>
    </row>
    <row r="4331" spans="7:7">
      <c r="G4331"/>
    </row>
    <row r="4332" spans="7:7">
      <c r="G4332"/>
    </row>
    <row r="4333" spans="7:7">
      <c r="G4333"/>
    </row>
    <row r="4334" spans="7:7">
      <c r="G4334"/>
    </row>
    <row r="4335" spans="7:7">
      <c r="G4335"/>
    </row>
    <row r="4336" spans="7:7">
      <c r="G4336"/>
    </row>
    <row r="4337" spans="7:7">
      <c r="G4337"/>
    </row>
    <row r="4338" spans="7:7">
      <c r="G4338"/>
    </row>
    <row r="4339" spans="7:7">
      <c r="G4339"/>
    </row>
    <row r="4340" spans="7:7">
      <c r="G4340"/>
    </row>
    <row r="4341" spans="7:7">
      <c r="G4341"/>
    </row>
    <row r="4342" spans="7:7">
      <c r="G4342"/>
    </row>
    <row r="4343" spans="7:7">
      <c r="G4343"/>
    </row>
    <row r="4344" spans="7:7">
      <c r="G4344"/>
    </row>
    <row r="4345" spans="7:7">
      <c r="G4345"/>
    </row>
    <row r="4346" spans="7:7">
      <c r="G4346"/>
    </row>
    <row r="4347" spans="7:7">
      <c r="G4347"/>
    </row>
    <row r="4348" spans="7:7">
      <c r="G4348"/>
    </row>
    <row r="4349" spans="7:7">
      <c r="G4349"/>
    </row>
    <row r="4350" spans="7:7">
      <c r="G4350"/>
    </row>
    <row r="4351" spans="7:7">
      <c r="G4351"/>
    </row>
    <row r="4352" spans="7:7">
      <c r="G4352"/>
    </row>
    <row r="4353" spans="7:7">
      <c r="G4353"/>
    </row>
    <row r="4354" spans="7:7">
      <c r="G4354"/>
    </row>
    <row r="4355" spans="7:7">
      <c r="G4355"/>
    </row>
    <row r="4356" spans="7:7">
      <c r="G4356"/>
    </row>
    <row r="4357" spans="7:7">
      <c r="G4357"/>
    </row>
    <row r="4358" spans="7:7">
      <c r="G4358"/>
    </row>
    <row r="4359" spans="7:7">
      <c r="G4359"/>
    </row>
    <row r="4360" spans="7:7">
      <c r="G4360"/>
    </row>
    <row r="4361" spans="7:7">
      <c r="G4361"/>
    </row>
    <row r="4362" spans="7:7">
      <c r="G4362"/>
    </row>
    <row r="4363" spans="7:7">
      <c r="G4363"/>
    </row>
    <row r="4364" spans="7:7">
      <c r="G4364"/>
    </row>
    <row r="4365" spans="7:7">
      <c r="G4365"/>
    </row>
    <row r="4366" spans="7:7">
      <c r="G4366"/>
    </row>
    <row r="4367" spans="7:7">
      <c r="G4367"/>
    </row>
    <row r="4368" spans="7:7">
      <c r="G4368"/>
    </row>
    <row r="4369" spans="7:7">
      <c r="G4369"/>
    </row>
    <row r="4370" spans="7:7">
      <c r="G4370"/>
    </row>
    <row r="4371" spans="7:7">
      <c r="G4371"/>
    </row>
    <row r="4372" spans="7:7">
      <c r="G4372"/>
    </row>
    <row r="4373" spans="7:7">
      <c r="G4373"/>
    </row>
    <row r="4374" spans="7:7">
      <c r="G4374"/>
    </row>
    <row r="4375" spans="7:7">
      <c r="G4375"/>
    </row>
    <row r="4376" spans="7:7">
      <c r="G4376"/>
    </row>
    <row r="4377" spans="7:7">
      <c r="G4377"/>
    </row>
    <row r="4378" spans="7:7">
      <c r="G4378"/>
    </row>
    <row r="4379" spans="7:7">
      <c r="G4379"/>
    </row>
    <row r="4380" spans="7:7">
      <c r="G4380"/>
    </row>
    <row r="4381" spans="7:7">
      <c r="G4381"/>
    </row>
    <row r="4382" spans="7:7">
      <c r="G4382"/>
    </row>
    <row r="4383" spans="7:7">
      <c r="G4383"/>
    </row>
    <row r="4384" spans="7:7">
      <c r="G4384"/>
    </row>
    <row r="4385" spans="7:7">
      <c r="G4385"/>
    </row>
    <row r="4386" spans="7:7">
      <c r="G4386"/>
    </row>
    <row r="4387" spans="7:7">
      <c r="G4387"/>
    </row>
    <row r="4388" spans="7:7">
      <c r="G4388"/>
    </row>
    <row r="4389" spans="7:7">
      <c r="G4389"/>
    </row>
    <row r="4390" spans="7:7">
      <c r="G4390"/>
    </row>
    <row r="4391" spans="7:7">
      <c r="G4391"/>
    </row>
    <row r="4392" spans="7:7">
      <c r="G4392"/>
    </row>
    <row r="4393" spans="7:7">
      <c r="G4393"/>
    </row>
    <row r="4394" spans="7:7">
      <c r="G4394"/>
    </row>
    <row r="4395" spans="7:7">
      <c r="G4395"/>
    </row>
    <row r="4396" spans="7:7">
      <c r="G4396"/>
    </row>
    <row r="4397" spans="7:7">
      <c r="G4397"/>
    </row>
    <row r="4398" spans="7:7">
      <c r="G4398"/>
    </row>
    <row r="4399" spans="7:7">
      <c r="G4399"/>
    </row>
    <row r="4400" spans="7:7">
      <c r="G4400"/>
    </row>
    <row r="4401" spans="7:7">
      <c r="G4401"/>
    </row>
    <row r="4402" spans="7:7">
      <c r="G4402"/>
    </row>
    <row r="4403" spans="7:7">
      <c r="G4403"/>
    </row>
    <row r="4404" spans="7:7">
      <c r="G4404"/>
    </row>
    <row r="4405" spans="7:7">
      <c r="G4405"/>
    </row>
    <row r="4406" spans="7:7">
      <c r="G4406"/>
    </row>
    <row r="4407" spans="7:7">
      <c r="G4407"/>
    </row>
    <row r="4408" spans="7:7">
      <c r="G4408"/>
    </row>
    <row r="4409" spans="7:7">
      <c r="G4409"/>
    </row>
    <row r="4410" spans="7:7">
      <c r="G4410"/>
    </row>
    <row r="4411" spans="7:7">
      <c r="G4411"/>
    </row>
    <row r="4412" spans="7:7">
      <c r="G4412"/>
    </row>
    <row r="4413" spans="7:7">
      <c r="G4413"/>
    </row>
    <row r="4414" spans="7:7">
      <c r="G4414"/>
    </row>
    <row r="4415" spans="7:7">
      <c r="G4415"/>
    </row>
    <row r="4416" spans="7:7">
      <c r="G4416"/>
    </row>
    <row r="4417" spans="7:7">
      <c r="G4417"/>
    </row>
    <row r="4418" spans="7:7">
      <c r="G4418"/>
    </row>
    <row r="4419" spans="7:7">
      <c r="G4419"/>
    </row>
    <row r="4420" spans="7:7">
      <c r="G4420"/>
    </row>
    <row r="4421" spans="7:7">
      <c r="G4421"/>
    </row>
    <row r="4422" spans="7:7">
      <c r="G4422"/>
    </row>
    <row r="4423" spans="7:7">
      <c r="G4423"/>
    </row>
    <row r="4424" spans="7:7">
      <c r="G4424"/>
    </row>
    <row r="4425" spans="7:7">
      <c r="G4425"/>
    </row>
    <row r="4426" spans="7:7">
      <c r="G4426"/>
    </row>
    <row r="4427" spans="7:7">
      <c r="G4427"/>
    </row>
    <row r="4428" spans="7:7">
      <c r="G4428"/>
    </row>
    <row r="4429" spans="7:7">
      <c r="G4429"/>
    </row>
    <row r="4430" spans="7:7">
      <c r="G4430"/>
    </row>
    <row r="4431" spans="7:7">
      <c r="G4431"/>
    </row>
    <row r="4432" spans="7:7">
      <c r="G4432"/>
    </row>
    <row r="4433" spans="7:7">
      <c r="G4433"/>
    </row>
    <row r="4434" spans="7:7">
      <c r="G4434"/>
    </row>
    <row r="4435" spans="7:7">
      <c r="G4435"/>
    </row>
    <row r="4436" spans="7:7">
      <c r="G4436"/>
    </row>
    <row r="4437" spans="7:7">
      <c r="G4437"/>
    </row>
    <row r="4438" spans="7:7">
      <c r="G4438"/>
    </row>
    <row r="4439" spans="7:7">
      <c r="G4439"/>
    </row>
    <row r="4440" spans="7:7">
      <c r="G4440"/>
    </row>
    <row r="4441" spans="7:7">
      <c r="G4441"/>
    </row>
    <row r="4442" spans="7:7">
      <c r="G4442"/>
    </row>
    <row r="4443" spans="7:7">
      <c r="G4443"/>
    </row>
    <row r="4444" spans="7:7">
      <c r="G4444"/>
    </row>
    <row r="4445" spans="7:7">
      <c r="G4445"/>
    </row>
    <row r="4446" spans="7:7">
      <c r="G4446"/>
    </row>
    <row r="4447" spans="7:7">
      <c r="G4447"/>
    </row>
    <row r="4448" spans="7:7">
      <c r="G4448"/>
    </row>
    <row r="4449" spans="7:7">
      <c r="G4449"/>
    </row>
    <row r="4450" spans="7:7">
      <c r="G4450"/>
    </row>
    <row r="4451" spans="7:7">
      <c r="G4451"/>
    </row>
    <row r="4452" spans="7:7">
      <c r="G4452"/>
    </row>
    <row r="4453" spans="7:7">
      <c r="G4453"/>
    </row>
    <row r="4454" spans="7:7">
      <c r="G4454"/>
    </row>
    <row r="4455" spans="7:7">
      <c r="G4455"/>
    </row>
    <row r="4456" spans="7:7">
      <c r="G4456"/>
    </row>
    <row r="4457" spans="7:7">
      <c r="G4457"/>
    </row>
    <row r="4458" spans="7:7">
      <c r="G4458"/>
    </row>
    <row r="4459" spans="7:7">
      <c r="G4459"/>
    </row>
    <row r="4460" spans="7:7">
      <c r="G4460"/>
    </row>
    <row r="4461" spans="7:7">
      <c r="G4461"/>
    </row>
    <row r="4462" spans="7:7">
      <c r="G4462"/>
    </row>
    <row r="4463" spans="7:7">
      <c r="G4463"/>
    </row>
    <row r="4464" spans="7:7">
      <c r="G4464"/>
    </row>
    <row r="4465" spans="7:7">
      <c r="G4465"/>
    </row>
    <row r="4466" spans="7:7">
      <c r="G4466"/>
    </row>
    <row r="4467" spans="7:7">
      <c r="G4467"/>
    </row>
    <row r="4468" spans="7:7">
      <c r="G4468"/>
    </row>
    <row r="4469" spans="7:7">
      <c r="G4469"/>
    </row>
    <row r="4470" spans="7:7">
      <c r="G4470"/>
    </row>
    <row r="4471" spans="7:7">
      <c r="G4471"/>
    </row>
    <row r="4472" spans="7:7">
      <c r="G4472"/>
    </row>
    <row r="4473" spans="7:7">
      <c r="G4473"/>
    </row>
    <row r="4474" spans="7:7">
      <c r="G4474"/>
    </row>
    <row r="4475" spans="7:7">
      <c r="G4475"/>
    </row>
    <row r="4476" spans="7:7">
      <c r="G4476"/>
    </row>
    <row r="4477" spans="7:7">
      <c r="G4477"/>
    </row>
    <row r="4478" spans="7:7">
      <c r="G4478"/>
    </row>
    <row r="4479" spans="7:7">
      <c r="G4479"/>
    </row>
    <row r="4480" spans="7:7">
      <c r="G4480"/>
    </row>
    <row r="4481" spans="7:7">
      <c r="G4481"/>
    </row>
    <row r="4482" spans="7:7">
      <c r="G4482"/>
    </row>
    <row r="4483" spans="7:7">
      <c r="G4483"/>
    </row>
    <row r="4484" spans="7:7">
      <c r="G4484"/>
    </row>
    <row r="4485" spans="7:7">
      <c r="G4485"/>
    </row>
    <row r="4486" spans="7:7">
      <c r="G4486"/>
    </row>
    <row r="4487" spans="7:7">
      <c r="G4487"/>
    </row>
    <row r="4488" spans="7:7">
      <c r="G4488"/>
    </row>
    <row r="4489" spans="7:7">
      <c r="G4489"/>
    </row>
    <row r="4490" spans="7:7">
      <c r="G4490"/>
    </row>
    <row r="4491" spans="7:7">
      <c r="G4491"/>
    </row>
    <row r="4492" spans="7:7">
      <c r="G4492"/>
    </row>
    <row r="4493" spans="7:7">
      <c r="G4493"/>
    </row>
    <row r="4494" spans="7:7">
      <c r="G4494"/>
    </row>
    <row r="4495" spans="7:7">
      <c r="G4495"/>
    </row>
    <row r="4496" spans="7:7">
      <c r="G4496"/>
    </row>
    <row r="4497" spans="7:7">
      <c r="G4497"/>
    </row>
    <row r="4498" spans="7:7">
      <c r="G4498"/>
    </row>
    <row r="4499" spans="7:7">
      <c r="G4499"/>
    </row>
    <row r="4500" spans="7:7">
      <c r="G4500"/>
    </row>
    <row r="4501" spans="7:7">
      <c r="G4501"/>
    </row>
    <row r="4502" spans="7:7">
      <c r="G4502"/>
    </row>
    <row r="4503" spans="7:7">
      <c r="G4503"/>
    </row>
    <row r="4504" spans="7:7">
      <c r="G4504"/>
    </row>
    <row r="4505" spans="7:7">
      <c r="G4505"/>
    </row>
    <row r="4506" spans="7:7">
      <c r="G4506"/>
    </row>
    <row r="4507" spans="7:7">
      <c r="G4507"/>
    </row>
    <row r="4508" spans="7:7">
      <c r="G4508"/>
    </row>
    <row r="4509" spans="7:7">
      <c r="G4509"/>
    </row>
    <row r="4510" spans="7:7">
      <c r="G4510"/>
    </row>
    <row r="4511" spans="7:7">
      <c r="G4511"/>
    </row>
    <row r="4512" spans="7:7">
      <c r="G4512"/>
    </row>
    <row r="4513" spans="7:7">
      <c r="G4513"/>
    </row>
    <row r="4514" spans="7:7">
      <c r="G4514"/>
    </row>
    <row r="4515" spans="7:7">
      <c r="G4515"/>
    </row>
    <row r="4516" spans="7:7">
      <c r="G4516"/>
    </row>
    <row r="4517" spans="7:7">
      <c r="G4517"/>
    </row>
    <row r="4518" spans="7:7">
      <c r="G4518"/>
    </row>
    <row r="4519" spans="7:7">
      <c r="G4519"/>
    </row>
    <row r="4520" spans="7:7">
      <c r="G4520"/>
    </row>
    <row r="4521" spans="7:7">
      <c r="G4521"/>
    </row>
    <row r="4522" spans="7:7">
      <c r="G4522"/>
    </row>
    <row r="4523" spans="7:7">
      <c r="G4523"/>
    </row>
    <row r="4524" spans="7:7">
      <c r="G4524"/>
    </row>
    <row r="4525" spans="7:7">
      <c r="G4525"/>
    </row>
    <row r="4526" spans="7:7">
      <c r="G4526"/>
    </row>
    <row r="4527" spans="7:7">
      <c r="G4527"/>
    </row>
    <row r="4528" spans="7:7">
      <c r="G4528"/>
    </row>
    <row r="4529" spans="7:7">
      <c r="G4529"/>
    </row>
    <row r="4530" spans="7:7">
      <c r="G4530"/>
    </row>
    <row r="4531" spans="7:7">
      <c r="G4531"/>
    </row>
    <row r="4532" spans="7:7">
      <c r="G4532"/>
    </row>
    <row r="4533" spans="7:7">
      <c r="G4533"/>
    </row>
    <row r="4534" spans="7:7">
      <c r="G4534"/>
    </row>
    <row r="4535" spans="7:7">
      <c r="G4535"/>
    </row>
    <row r="4536" spans="7:7">
      <c r="G4536"/>
    </row>
    <row r="4537" spans="7:7">
      <c r="G4537"/>
    </row>
    <row r="4538" spans="7:7">
      <c r="G4538"/>
    </row>
    <row r="4539" spans="7:7">
      <c r="G4539"/>
    </row>
    <row r="4540" spans="7:7">
      <c r="G4540"/>
    </row>
    <row r="4541" spans="7:7">
      <c r="G4541"/>
    </row>
    <row r="4542" spans="7:7">
      <c r="G4542"/>
    </row>
    <row r="4543" spans="7:7">
      <c r="G4543"/>
    </row>
    <row r="4544" spans="7:7">
      <c r="G4544"/>
    </row>
    <row r="4545" spans="7:7">
      <c r="G4545"/>
    </row>
    <row r="4546" spans="7:7">
      <c r="G4546"/>
    </row>
    <row r="4547" spans="7:7">
      <c r="G4547"/>
    </row>
    <row r="4548" spans="7:7">
      <c r="G4548"/>
    </row>
    <row r="4549" spans="7:7">
      <c r="G4549"/>
    </row>
    <row r="4550" spans="7:7">
      <c r="G4550"/>
    </row>
    <row r="4551" spans="7:7">
      <c r="G4551"/>
    </row>
    <row r="4552" spans="7:7">
      <c r="G4552"/>
    </row>
    <row r="4553" spans="7:7">
      <c r="G4553"/>
    </row>
    <row r="4554" spans="7:7">
      <c r="G4554"/>
    </row>
    <row r="4555" spans="7:7">
      <c r="G4555"/>
    </row>
    <row r="4556" spans="7:7">
      <c r="G4556"/>
    </row>
    <row r="4557" spans="7:7">
      <c r="G4557"/>
    </row>
    <row r="4558" spans="7:7">
      <c r="G4558"/>
    </row>
    <row r="4559" spans="7:7">
      <c r="G4559"/>
    </row>
    <row r="4560" spans="7:7">
      <c r="G4560"/>
    </row>
    <row r="4561" spans="7:7">
      <c r="G4561"/>
    </row>
    <row r="4562" spans="7:7">
      <c r="G4562"/>
    </row>
    <row r="4563" spans="7:7">
      <c r="G4563"/>
    </row>
    <row r="4564" spans="7:7">
      <c r="G4564"/>
    </row>
    <row r="4565" spans="7:7">
      <c r="G4565"/>
    </row>
    <row r="4566" spans="7:7">
      <c r="G4566"/>
    </row>
    <row r="4567" spans="7:7">
      <c r="G4567"/>
    </row>
    <row r="4568" spans="7:7">
      <c r="G4568"/>
    </row>
    <row r="4569" spans="7:7">
      <c r="G4569"/>
    </row>
    <row r="4570" spans="7:7">
      <c r="G4570"/>
    </row>
    <row r="4571" spans="7:7">
      <c r="G4571"/>
    </row>
    <row r="4572" spans="7:7">
      <c r="G4572"/>
    </row>
    <row r="4573" spans="7:7">
      <c r="G4573"/>
    </row>
    <row r="4574" spans="7:7">
      <c r="G4574"/>
    </row>
    <row r="4575" spans="7:7">
      <c r="G4575"/>
    </row>
    <row r="4576" spans="7:7">
      <c r="G4576"/>
    </row>
    <row r="4577" spans="7:7">
      <c r="G4577"/>
    </row>
    <row r="4578" spans="7:7">
      <c r="G4578"/>
    </row>
    <row r="4579" spans="7:7">
      <c r="G4579"/>
    </row>
    <row r="4580" spans="7:7">
      <c r="G4580"/>
    </row>
    <row r="4581" spans="7:7">
      <c r="G4581"/>
    </row>
    <row r="4582" spans="7:7">
      <c r="G4582"/>
    </row>
    <row r="4583" spans="7:7">
      <c r="G4583"/>
    </row>
    <row r="4584" spans="7:7">
      <c r="G4584"/>
    </row>
    <row r="4585" spans="7:7">
      <c r="G4585"/>
    </row>
    <row r="4586" spans="7:7">
      <c r="G4586"/>
    </row>
    <row r="4587" spans="7:7">
      <c r="G4587"/>
    </row>
    <row r="4588" spans="7:7">
      <c r="G4588"/>
    </row>
    <row r="4589" spans="7:7">
      <c r="G4589"/>
    </row>
    <row r="4590" spans="7:7">
      <c r="G4590"/>
    </row>
    <row r="4591" spans="7:7">
      <c r="G4591"/>
    </row>
    <row r="4592" spans="7:7">
      <c r="G4592"/>
    </row>
    <row r="4593" spans="7:7">
      <c r="G4593"/>
    </row>
    <row r="4594" spans="7:7">
      <c r="G4594"/>
    </row>
    <row r="4595" spans="7:7">
      <c r="G4595"/>
    </row>
    <row r="4596" spans="7:7">
      <c r="G4596"/>
    </row>
    <row r="4597" spans="7:7">
      <c r="G4597"/>
    </row>
    <row r="4598" spans="7:7">
      <c r="G4598"/>
    </row>
    <row r="4599" spans="7:7">
      <c r="G4599"/>
    </row>
    <row r="4600" spans="7:7">
      <c r="G4600"/>
    </row>
    <row r="4601" spans="7:7">
      <c r="G4601"/>
    </row>
    <row r="4602" spans="7:7">
      <c r="G4602"/>
    </row>
    <row r="4603" spans="7:7">
      <c r="G4603"/>
    </row>
    <row r="4604" spans="7:7">
      <c r="G4604"/>
    </row>
    <row r="4605" spans="7:7">
      <c r="G4605"/>
    </row>
    <row r="4606" spans="7:7">
      <c r="G4606"/>
    </row>
    <row r="4607" spans="7:7">
      <c r="G4607"/>
    </row>
    <row r="4608" spans="7:7">
      <c r="G4608"/>
    </row>
    <row r="4609" spans="7:7">
      <c r="G4609"/>
    </row>
    <row r="4610" spans="7:7">
      <c r="G4610"/>
    </row>
    <row r="4611" spans="7:7">
      <c r="G4611"/>
    </row>
    <row r="4612" spans="7:7">
      <c r="G4612"/>
    </row>
    <row r="4613" spans="7:7">
      <c r="G4613"/>
    </row>
    <row r="4614" spans="7:7">
      <c r="G4614"/>
    </row>
    <row r="4615" spans="7:7">
      <c r="G4615"/>
    </row>
    <row r="4616" spans="7:7">
      <c r="G4616"/>
    </row>
    <row r="4617" spans="7:7">
      <c r="G4617"/>
    </row>
    <row r="4618" spans="7:7">
      <c r="G4618"/>
    </row>
    <row r="4619" spans="7:7">
      <c r="G4619"/>
    </row>
    <row r="4620" spans="7:7">
      <c r="G4620"/>
    </row>
    <row r="4621" spans="7:7">
      <c r="G4621"/>
    </row>
    <row r="4622" spans="7:7">
      <c r="G4622"/>
    </row>
    <row r="4623" spans="7:7">
      <c r="G4623"/>
    </row>
    <row r="4624" spans="7:7">
      <c r="G4624"/>
    </row>
    <row r="4625" spans="7:7">
      <c r="G4625"/>
    </row>
    <row r="4626" spans="7:7">
      <c r="G4626"/>
    </row>
    <row r="4627" spans="7:7">
      <c r="G4627"/>
    </row>
    <row r="4628" spans="7:7">
      <c r="G4628"/>
    </row>
    <row r="4629" spans="7:7">
      <c r="G4629"/>
    </row>
    <row r="4630" spans="7:7">
      <c r="G4630"/>
    </row>
    <row r="4631" spans="7:7">
      <c r="G4631"/>
    </row>
    <row r="4632" spans="7:7">
      <c r="G4632"/>
    </row>
    <row r="4633" spans="7:7">
      <c r="G4633"/>
    </row>
    <row r="4634" spans="7:7">
      <c r="G4634"/>
    </row>
    <row r="4635" spans="7:7">
      <c r="G4635"/>
    </row>
    <row r="4636" spans="7:7">
      <c r="G4636"/>
    </row>
    <row r="4637" spans="7:7">
      <c r="G4637"/>
    </row>
    <row r="4638" spans="7:7">
      <c r="G4638"/>
    </row>
    <row r="4639" spans="7:7">
      <c r="G4639"/>
    </row>
    <row r="4640" spans="7:7">
      <c r="G4640"/>
    </row>
    <row r="4641" spans="7:7">
      <c r="G4641"/>
    </row>
    <row r="4642" spans="7:7">
      <c r="G4642"/>
    </row>
    <row r="4643" spans="7:7">
      <c r="G4643"/>
    </row>
    <row r="4644" spans="7:7">
      <c r="G4644"/>
    </row>
    <row r="4645" spans="7:7">
      <c r="G4645"/>
    </row>
    <row r="4646" spans="7:7">
      <c r="G4646"/>
    </row>
    <row r="4647" spans="7:7">
      <c r="G4647"/>
    </row>
    <row r="4648" spans="7:7">
      <c r="G4648"/>
    </row>
    <row r="4649" spans="7:7">
      <c r="G4649"/>
    </row>
    <row r="4650" spans="7:7">
      <c r="G4650"/>
    </row>
    <row r="4651" spans="7:7">
      <c r="G4651"/>
    </row>
    <row r="4652" spans="7:7">
      <c r="G4652"/>
    </row>
    <row r="4653" spans="7:7">
      <c r="G4653"/>
    </row>
    <row r="4654" spans="7:7">
      <c r="G4654"/>
    </row>
    <row r="4655" spans="7:7">
      <c r="G4655"/>
    </row>
    <row r="4656" spans="7:7">
      <c r="G4656"/>
    </row>
    <row r="4657" spans="7:7">
      <c r="G4657"/>
    </row>
    <row r="4658" spans="7:7">
      <c r="G4658"/>
    </row>
    <row r="4659" spans="7:7">
      <c r="G4659"/>
    </row>
    <row r="4660" spans="7:7">
      <c r="G4660"/>
    </row>
    <row r="4661" spans="7:7">
      <c r="G4661"/>
    </row>
    <row r="4662" spans="7:7">
      <c r="G4662"/>
    </row>
    <row r="4663" spans="7:7">
      <c r="G4663"/>
    </row>
    <row r="4664" spans="7:7">
      <c r="G4664"/>
    </row>
    <row r="4665" spans="7:7">
      <c r="G4665"/>
    </row>
    <row r="4666" spans="7:7">
      <c r="G4666"/>
    </row>
    <row r="4667" spans="7:7">
      <c r="G4667"/>
    </row>
    <row r="4668" spans="7:7">
      <c r="G4668"/>
    </row>
    <row r="4669" spans="7:7">
      <c r="G4669"/>
    </row>
    <row r="4670" spans="7:7">
      <c r="G4670"/>
    </row>
    <row r="4671" spans="7:7">
      <c r="G4671"/>
    </row>
    <row r="4672" spans="7:7">
      <c r="G4672"/>
    </row>
    <row r="4673" spans="7:7">
      <c r="G4673"/>
    </row>
    <row r="4674" spans="7:7">
      <c r="G4674"/>
    </row>
    <row r="4675" spans="7:7">
      <c r="G4675"/>
    </row>
    <row r="4676" spans="7:7">
      <c r="G4676"/>
    </row>
    <row r="4677" spans="7:7">
      <c r="G4677"/>
    </row>
    <row r="4678" spans="7:7">
      <c r="G4678"/>
    </row>
    <row r="4679" spans="7:7">
      <c r="G4679"/>
    </row>
    <row r="4680" spans="7:7">
      <c r="G4680"/>
    </row>
    <row r="4681" spans="7:7">
      <c r="G4681"/>
    </row>
    <row r="4682" spans="7:7">
      <c r="G4682"/>
    </row>
    <row r="4683" spans="7:7">
      <c r="G4683"/>
    </row>
    <row r="4684" spans="7:7">
      <c r="G4684"/>
    </row>
    <row r="4685" spans="7:7">
      <c r="G4685"/>
    </row>
    <row r="4686" spans="7:7">
      <c r="G4686"/>
    </row>
    <row r="4687" spans="7:7">
      <c r="G4687"/>
    </row>
    <row r="4688" spans="7:7">
      <c r="G4688"/>
    </row>
    <row r="4689" spans="7:7">
      <c r="G4689"/>
    </row>
    <row r="4690" spans="7:7">
      <c r="G4690"/>
    </row>
    <row r="4691" spans="7:7">
      <c r="G4691"/>
    </row>
    <row r="4692" spans="7:7">
      <c r="G4692"/>
    </row>
    <row r="4693" spans="7:7">
      <c r="G4693"/>
    </row>
    <row r="4694" spans="7:7">
      <c r="G4694"/>
    </row>
    <row r="4695" spans="7:7">
      <c r="G4695"/>
    </row>
    <row r="4696" spans="7:7">
      <c r="G4696"/>
    </row>
    <row r="4697" spans="7:7">
      <c r="G4697"/>
    </row>
    <row r="4698" spans="7:7">
      <c r="G4698"/>
    </row>
    <row r="4699" spans="7:7">
      <c r="G4699"/>
    </row>
    <row r="4700" spans="7:7">
      <c r="G4700"/>
    </row>
    <row r="4701" spans="7:7">
      <c r="G4701"/>
    </row>
    <row r="4702" spans="7:7">
      <c r="G4702"/>
    </row>
    <row r="4703" spans="7:7">
      <c r="G4703"/>
    </row>
    <row r="4704" spans="7:7">
      <c r="G4704"/>
    </row>
    <row r="4705" spans="7:7">
      <c r="G4705"/>
    </row>
    <row r="4706" spans="7:7">
      <c r="G4706"/>
    </row>
    <row r="4707" spans="7:7">
      <c r="G4707"/>
    </row>
    <row r="4708" spans="7:7">
      <c r="G4708"/>
    </row>
    <row r="4709" spans="7:7">
      <c r="G4709"/>
    </row>
    <row r="4710" spans="7:7">
      <c r="G4710"/>
    </row>
    <row r="4711" spans="7:7">
      <c r="G4711"/>
    </row>
    <row r="4712" spans="7:7">
      <c r="G4712"/>
    </row>
    <row r="4713" spans="7:7">
      <c r="G4713"/>
    </row>
    <row r="4714" spans="7:7">
      <c r="G4714"/>
    </row>
    <row r="4715" spans="7:7">
      <c r="G4715"/>
    </row>
    <row r="4716" spans="7:7">
      <c r="G4716"/>
    </row>
    <row r="4717" spans="7:7">
      <c r="G4717"/>
    </row>
    <row r="4718" spans="7:7">
      <c r="G4718"/>
    </row>
    <row r="4719" spans="7:7">
      <c r="G4719"/>
    </row>
    <row r="4720" spans="7:7">
      <c r="G4720"/>
    </row>
    <row r="4721" spans="7:7">
      <c r="G4721"/>
    </row>
    <row r="4722" spans="7:7">
      <c r="G4722"/>
    </row>
    <row r="4723" spans="7:7">
      <c r="G4723"/>
    </row>
    <row r="4724" spans="7:7">
      <c r="G4724"/>
    </row>
    <row r="4725" spans="7:7">
      <c r="G4725"/>
    </row>
    <row r="4726" spans="7:7">
      <c r="G4726"/>
    </row>
    <row r="4727" spans="7:7">
      <c r="G4727"/>
    </row>
    <row r="4728" spans="7:7">
      <c r="G4728"/>
    </row>
    <row r="4729" spans="7:7">
      <c r="G4729"/>
    </row>
    <row r="4730" spans="7:7">
      <c r="G4730"/>
    </row>
    <row r="4731" spans="7:7">
      <c r="G4731"/>
    </row>
    <row r="4732" spans="7:7">
      <c r="G4732"/>
    </row>
    <row r="4733" spans="7:7">
      <c r="G4733"/>
    </row>
    <row r="4734" spans="7:7">
      <c r="G4734"/>
    </row>
    <row r="4735" spans="7:7">
      <c r="G4735"/>
    </row>
    <row r="4736" spans="7:7">
      <c r="G4736"/>
    </row>
    <row r="4737" spans="7:7">
      <c r="G4737"/>
    </row>
    <row r="4738" spans="7:7">
      <c r="G4738"/>
    </row>
    <row r="4739" spans="7:7">
      <c r="G4739"/>
    </row>
    <row r="4740" spans="7:7">
      <c r="G4740"/>
    </row>
    <row r="4741" spans="7:7">
      <c r="G4741"/>
    </row>
    <row r="4742" spans="7:7">
      <c r="G4742"/>
    </row>
    <row r="4743" spans="7:7">
      <c r="G4743"/>
    </row>
    <row r="4744" spans="7:7">
      <c r="G4744"/>
    </row>
    <row r="4745" spans="7:7">
      <c r="G4745"/>
    </row>
    <row r="4746" spans="7:7">
      <c r="G4746"/>
    </row>
    <row r="4747" spans="7:7">
      <c r="G4747"/>
    </row>
    <row r="4748" spans="7:7">
      <c r="G4748"/>
    </row>
    <row r="4749" spans="7:7">
      <c r="G4749"/>
    </row>
    <row r="4750" spans="7:7">
      <c r="G4750"/>
    </row>
    <row r="4751" spans="7:7">
      <c r="G4751"/>
    </row>
    <row r="4752" spans="7:7">
      <c r="G4752"/>
    </row>
    <row r="4753" spans="7:7">
      <c r="G4753"/>
    </row>
    <row r="4754" spans="7:7">
      <c r="G4754"/>
    </row>
    <row r="4755" spans="7:7">
      <c r="G4755"/>
    </row>
    <row r="4756" spans="7:7">
      <c r="G4756"/>
    </row>
    <row r="4757" spans="7:7">
      <c r="G4757"/>
    </row>
    <row r="4758" spans="7:7">
      <c r="G4758"/>
    </row>
    <row r="4759" spans="7:7">
      <c r="G4759"/>
    </row>
    <row r="4760" spans="7:7">
      <c r="G4760"/>
    </row>
    <row r="4761" spans="7:7">
      <c r="G4761"/>
    </row>
    <row r="4762" spans="7:7">
      <c r="G4762"/>
    </row>
    <row r="4763" spans="7:7">
      <c r="G4763"/>
    </row>
    <row r="4764" spans="7:7">
      <c r="G4764"/>
    </row>
    <row r="4765" spans="7:7">
      <c r="G4765"/>
    </row>
    <row r="4766" spans="7:7">
      <c r="G4766"/>
    </row>
    <row r="4767" spans="7:7">
      <c r="G4767"/>
    </row>
    <row r="4768" spans="7:7">
      <c r="G4768"/>
    </row>
    <row r="4769" spans="7:7">
      <c r="G4769"/>
    </row>
    <row r="4770" spans="7:7">
      <c r="G4770"/>
    </row>
    <row r="4771" spans="7:7">
      <c r="G4771"/>
    </row>
    <row r="4772" spans="7:7">
      <c r="G4772"/>
    </row>
    <row r="4773" spans="7:7">
      <c r="G4773"/>
    </row>
    <row r="4774" spans="7:7">
      <c r="G4774"/>
    </row>
    <row r="4775" spans="7:7">
      <c r="G4775"/>
    </row>
    <row r="4776" spans="7:7">
      <c r="G4776"/>
    </row>
    <row r="4777" spans="7:7">
      <c r="G4777"/>
    </row>
    <row r="4778" spans="7:7">
      <c r="G4778"/>
    </row>
    <row r="4779" spans="7:7">
      <c r="G4779"/>
    </row>
    <row r="4780" spans="7:7">
      <c r="G4780"/>
    </row>
    <row r="4781" spans="7:7">
      <c r="G4781"/>
    </row>
    <row r="4782" spans="7:7">
      <c r="G4782"/>
    </row>
    <row r="4783" spans="7:7">
      <c r="G4783"/>
    </row>
    <row r="4784" spans="7:7">
      <c r="G4784"/>
    </row>
    <row r="4785" spans="7:7">
      <c r="G4785"/>
    </row>
    <row r="4786" spans="7:7">
      <c r="G4786"/>
    </row>
    <row r="4787" spans="7:7">
      <c r="G4787"/>
    </row>
    <row r="4788" spans="7:7">
      <c r="G4788"/>
    </row>
    <row r="4789" spans="7:7">
      <c r="G4789"/>
    </row>
    <row r="4790" spans="7:7">
      <c r="G4790"/>
    </row>
    <row r="4791" spans="7:7">
      <c r="G4791"/>
    </row>
    <row r="4792" spans="7:7">
      <c r="G4792"/>
    </row>
    <row r="4793" spans="7:7">
      <c r="G4793"/>
    </row>
    <row r="4794" spans="7:7">
      <c r="G4794"/>
    </row>
    <row r="4795" spans="7:7">
      <c r="G4795"/>
    </row>
    <row r="4796" spans="7:7">
      <c r="G4796"/>
    </row>
    <row r="4797" spans="7:7">
      <c r="G4797"/>
    </row>
    <row r="4798" spans="7:7">
      <c r="G4798"/>
    </row>
    <row r="4799" spans="7:7">
      <c r="G4799"/>
    </row>
    <row r="4800" spans="7:7">
      <c r="G4800"/>
    </row>
    <row r="4801" spans="7:7">
      <c r="G4801"/>
    </row>
    <row r="4802" spans="7:7">
      <c r="G4802"/>
    </row>
    <row r="4803" spans="7:7">
      <c r="G4803"/>
    </row>
    <row r="4804" spans="7:7">
      <c r="G4804"/>
    </row>
    <row r="4805" spans="7:7">
      <c r="G4805"/>
    </row>
    <row r="4806" spans="7:7">
      <c r="G4806"/>
    </row>
    <row r="4807" spans="7:7">
      <c r="G4807"/>
    </row>
    <row r="4808" spans="7:7">
      <c r="G4808"/>
    </row>
    <row r="4809" spans="7:7">
      <c r="G4809"/>
    </row>
    <row r="4810" spans="7:7">
      <c r="G4810"/>
    </row>
    <row r="4811" spans="7:7">
      <c r="G4811"/>
    </row>
    <row r="4812" spans="7:7">
      <c r="G4812"/>
    </row>
    <row r="4813" spans="7:7">
      <c r="G4813"/>
    </row>
    <row r="4814" spans="7:7">
      <c r="G4814"/>
    </row>
    <row r="4815" spans="7:7">
      <c r="G4815"/>
    </row>
    <row r="4816" spans="7:7">
      <c r="G4816"/>
    </row>
    <row r="4817" spans="7:7">
      <c r="G4817"/>
    </row>
    <row r="4818" spans="7:7">
      <c r="G4818"/>
    </row>
    <row r="4819" spans="7:7">
      <c r="G4819"/>
    </row>
    <row r="4820" spans="7:7">
      <c r="G4820"/>
    </row>
    <row r="4821" spans="7:7">
      <c r="G4821"/>
    </row>
    <row r="4822" spans="7:7">
      <c r="G4822"/>
    </row>
    <row r="4823" spans="7:7">
      <c r="G4823"/>
    </row>
    <row r="4824" spans="7:7">
      <c r="G4824"/>
    </row>
    <row r="4825" spans="7:7">
      <c r="G4825"/>
    </row>
    <row r="4826" spans="7:7">
      <c r="G4826"/>
    </row>
    <row r="4827" spans="7:7">
      <c r="G4827"/>
    </row>
    <row r="4828" spans="7:7">
      <c r="G4828"/>
    </row>
    <row r="4829" spans="7:7">
      <c r="G4829"/>
    </row>
    <row r="4830" spans="7:7">
      <c r="G4830"/>
    </row>
    <row r="4831" spans="7:7">
      <c r="G4831"/>
    </row>
    <row r="4832" spans="7:7">
      <c r="G4832"/>
    </row>
    <row r="4833" spans="7:7">
      <c r="G4833"/>
    </row>
    <row r="4834" spans="7:7">
      <c r="G4834"/>
    </row>
    <row r="4835" spans="7:7">
      <c r="G4835"/>
    </row>
    <row r="4836" spans="7:7">
      <c r="G4836"/>
    </row>
    <row r="4837" spans="7:7">
      <c r="G4837"/>
    </row>
    <row r="4838" spans="7:7">
      <c r="G4838"/>
    </row>
    <row r="4839" spans="7:7">
      <c r="G4839"/>
    </row>
    <row r="4840" spans="7:7">
      <c r="G4840"/>
    </row>
    <row r="4841" spans="7:7">
      <c r="G4841"/>
    </row>
    <row r="4842" spans="7:7">
      <c r="G4842"/>
    </row>
    <row r="4843" spans="7:7">
      <c r="G4843"/>
    </row>
    <row r="4844" spans="7:7">
      <c r="G4844"/>
    </row>
    <row r="4845" spans="7:7">
      <c r="G4845"/>
    </row>
    <row r="4846" spans="7:7">
      <c r="G4846"/>
    </row>
    <row r="4847" spans="7:7">
      <c r="G4847"/>
    </row>
    <row r="4848" spans="7:7">
      <c r="G4848"/>
    </row>
    <row r="4849" spans="7:7">
      <c r="G4849"/>
    </row>
    <row r="4850" spans="7:7">
      <c r="G4850"/>
    </row>
    <row r="4851" spans="7:7">
      <c r="G4851"/>
    </row>
    <row r="4852" spans="7:7">
      <c r="G4852"/>
    </row>
    <row r="4853" spans="7:7">
      <c r="G4853"/>
    </row>
    <row r="4854" spans="7:7">
      <c r="G4854"/>
    </row>
    <row r="4855" spans="7:7">
      <c r="G4855"/>
    </row>
    <row r="4856" spans="7:7">
      <c r="G4856"/>
    </row>
    <row r="4857" spans="7:7">
      <c r="G4857"/>
    </row>
    <row r="4858" spans="7:7">
      <c r="G4858"/>
    </row>
    <row r="4859" spans="7:7">
      <c r="G4859"/>
    </row>
    <row r="4860" spans="7:7">
      <c r="G4860"/>
    </row>
    <row r="4861" spans="7:7">
      <c r="G4861"/>
    </row>
    <row r="4862" spans="7:7">
      <c r="G4862"/>
    </row>
    <row r="4863" spans="7:7">
      <c r="G4863"/>
    </row>
    <row r="4864" spans="7:7">
      <c r="G4864"/>
    </row>
    <row r="4865" spans="7:7">
      <c r="G4865"/>
    </row>
    <row r="4866" spans="7:7">
      <c r="G4866"/>
    </row>
    <row r="4867" spans="7:7">
      <c r="G4867"/>
    </row>
    <row r="4868" spans="7:7">
      <c r="G4868"/>
    </row>
    <row r="4869" spans="7:7">
      <c r="G4869"/>
    </row>
    <row r="4870" spans="7:7">
      <c r="G4870"/>
    </row>
    <row r="4871" spans="7:7">
      <c r="G4871"/>
    </row>
    <row r="4872" spans="7:7">
      <c r="G4872"/>
    </row>
    <row r="4873" spans="7:7">
      <c r="G4873"/>
    </row>
    <row r="4874" spans="7:7">
      <c r="G4874"/>
    </row>
    <row r="4875" spans="7:7">
      <c r="G4875"/>
    </row>
    <row r="4876" spans="7:7">
      <c r="G4876"/>
    </row>
    <row r="4877" spans="7:7">
      <c r="G4877"/>
    </row>
    <row r="4878" spans="7:7">
      <c r="G4878"/>
    </row>
    <row r="4879" spans="7:7">
      <c r="G4879"/>
    </row>
    <row r="4880" spans="7:7">
      <c r="G4880"/>
    </row>
    <row r="4881" spans="7:7">
      <c r="G4881"/>
    </row>
    <row r="4882" spans="7:7">
      <c r="G4882"/>
    </row>
    <row r="4883" spans="7:7">
      <c r="G4883"/>
    </row>
    <row r="4884" spans="7:7">
      <c r="G4884"/>
    </row>
    <row r="4885" spans="7:7">
      <c r="G4885"/>
    </row>
    <row r="4886" spans="7:7">
      <c r="G4886"/>
    </row>
    <row r="4887" spans="7:7">
      <c r="G4887"/>
    </row>
    <row r="4888" spans="7:7">
      <c r="G4888"/>
    </row>
    <row r="4889" spans="7:7">
      <c r="G4889"/>
    </row>
    <row r="4890" spans="7:7">
      <c r="G4890"/>
    </row>
    <row r="4891" spans="7:7">
      <c r="G4891"/>
    </row>
    <row r="4892" spans="7:7">
      <c r="G4892"/>
    </row>
    <row r="4893" spans="7:7">
      <c r="G4893"/>
    </row>
    <row r="4894" spans="7:7">
      <c r="G4894"/>
    </row>
    <row r="4895" spans="7:7">
      <c r="G4895"/>
    </row>
    <row r="4896" spans="7:7">
      <c r="G4896"/>
    </row>
    <row r="4897" spans="7:7">
      <c r="G4897"/>
    </row>
    <row r="4898" spans="7:7">
      <c r="G4898"/>
    </row>
    <row r="4899" spans="7:7">
      <c r="G4899"/>
    </row>
    <row r="4900" spans="7:7">
      <c r="G4900"/>
    </row>
    <row r="4901" spans="7:7">
      <c r="G4901"/>
    </row>
    <row r="4902" spans="7:7">
      <c r="G4902"/>
    </row>
    <row r="4903" spans="7:7">
      <c r="G4903"/>
    </row>
    <row r="4904" spans="7:7">
      <c r="G4904"/>
    </row>
    <row r="4905" spans="7:7">
      <c r="G4905"/>
    </row>
    <row r="4906" spans="7:7">
      <c r="G4906"/>
    </row>
    <row r="4907" spans="7:7">
      <c r="G4907"/>
    </row>
    <row r="4908" spans="7:7">
      <c r="G4908"/>
    </row>
    <row r="4909" spans="7:7">
      <c r="G4909"/>
    </row>
    <row r="4910" spans="7:7">
      <c r="G4910"/>
    </row>
    <row r="4911" spans="7:7">
      <c r="G4911"/>
    </row>
    <row r="4912" spans="7:7">
      <c r="G4912"/>
    </row>
    <row r="4913" spans="7:7">
      <c r="G4913"/>
    </row>
    <row r="4914" spans="7:7">
      <c r="G4914"/>
    </row>
    <row r="4915" spans="7:7">
      <c r="G4915"/>
    </row>
    <row r="4916" spans="7:7">
      <c r="G4916"/>
    </row>
    <row r="4917" spans="7:7">
      <c r="G4917"/>
    </row>
    <row r="4918" spans="7:7">
      <c r="G4918"/>
    </row>
    <row r="4919" spans="7:7">
      <c r="G4919"/>
    </row>
    <row r="4920" spans="7:7">
      <c r="G4920"/>
    </row>
    <row r="4921" spans="7:7">
      <c r="G4921"/>
    </row>
    <row r="4922" spans="7:7">
      <c r="G4922"/>
    </row>
    <row r="4923" spans="7:7">
      <c r="G4923"/>
    </row>
    <row r="4924" spans="7:7">
      <c r="G4924"/>
    </row>
    <row r="4925" spans="7:7">
      <c r="G4925"/>
    </row>
    <row r="4926" spans="7:7">
      <c r="G4926"/>
    </row>
    <row r="4927" spans="7:7">
      <c r="G4927"/>
    </row>
    <row r="4928" spans="7:7">
      <c r="G4928"/>
    </row>
    <row r="4929" spans="7:7">
      <c r="G4929"/>
    </row>
    <row r="4930" spans="7:7">
      <c r="G4930"/>
    </row>
    <row r="4931" spans="7:7">
      <c r="G4931"/>
    </row>
    <row r="4932" spans="7:7">
      <c r="G4932"/>
    </row>
    <row r="4933" spans="7:7">
      <c r="G4933"/>
    </row>
    <row r="4934" spans="7:7">
      <c r="G4934"/>
    </row>
    <row r="4935" spans="7:7">
      <c r="G4935"/>
    </row>
    <row r="4936" spans="7:7">
      <c r="G4936"/>
    </row>
    <row r="4937" spans="7:7">
      <c r="G4937"/>
    </row>
    <row r="4938" spans="7:7">
      <c r="G4938"/>
    </row>
    <row r="4939" spans="7:7">
      <c r="G4939"/>
    </row>
    <row r="4940" spans="7:7">
      <c r="G4940"/>
    </row>
    <row r="4941" spans="7:7">
      <c r="G4941"/>
    </row>
    <row r="4942" spans="7:7">
      <c r="G4942"/>
    </row>
    <row r="4943" spans="7:7">
      <c r="G4943"/>
    </row>
    <row r="4944" spans="7:7">
      <c r="G4944"/>
    </row>
    <row r="4945" spans="7:7">
      <c r="G4945"/>
    </row>
    <row r="4946" spans="7:7">
      <c r="G4946"/>
    </row>
    <row r="4947" spans="7:7">
      <c r="G4947"/>
    </row>
    <row r="4948" spans="7:7">
      <c r="G4948"/>
    </row>
    <row r="4949" spans="7:7">
      <c r="G4949"/>
    </row>
    <row r="4950" spans="7:7">
      <c r="G4950"/>
    </row>
    <row r="4951" spans="7:7">
      <c r="G4951"/>
    </row>
    <row r="4952" spans="7:7">
      <c r="G4952"/>
    </row>
    <row r="4953" spans="7:7">
      <c r="G4953"/>
    </row>
    <row r="4954" spans="7:7">
      <c r="G4954"/>
    </row>
    <row r="4955" spans="7:7">
      <c r="G4955"/>
    </row>
    <row r="4956" spans="7:7">
      <c r="G4956"/>
    </row>
    <row r="4957" spans="7:7">
      <c r="G4957"/>
    </row>
    <row r="4958" spans="7:7">
      <c r="G4958"/>
    </row>
    <row r="4959" spans="7:7">
      <c r="G4959"/>
    </row>
    <row r="4960" spans="7:7">
      <c r="G4960"/>
    </row>
    <row r="4961" spans="7:7">
      <c r="G4961"/>
    </row>
    <row r="4962" spans="7:7">
      <c r="G4962"/>
    </row>
    <row r="4963" spans="7:7">
      <c r="G4963"/>
    </row>
    <row r="4964" spans="7:7">
      <c r="G4964"/>
    </row>
    <row r="4965" spans="7:7">
      <c r="G4965"/>
    </row>
    <row r="4966" spans="7:7">
      <c r="G4966"/>
    </row>
    <row r="4967" spans="7:7">
      <c r="G4967"/>
    </row>
    <row r="4968" spans="7:7">
      <c r="G4968"/>
    </row>
    <row r="4969" spans="7:7">
      <c r="G4969"/>
    </row>
    <row r="4970" spans="7:7">
      <c r="G4970"/>
    </row>
    <row r="4971" spans="7:7">
      <c r="G4971"/>
    </row>
    <row r="4972" spans="7:7">
      <c r="G4972"/>
    </row>
    <row r="4973" spans="7:7">
      <c r="G4973"/>
    </row>
    <row r="4974" spans="7:7">
      <c r="G4974"/>
    </row>
    <row r="4975" spans="7:7">
      <c r="G4975"/>
    </row>
    <row r="4976" spans="7:7">
      <c r="G4976"/>
    </row>
    <row r="4977" spans="7:7">
      <c r="G4977"/>
    </row>
    <row r="4978" spans="7:7">
      <c r="G4978"/>
    </row>
    <row r="4979" spans="7:7">
      <c r="G4979"/>
    </row>
    <row r="4980" spans="7:7">
      <c r="G4980"/>
    </row>
    <row r="4981" spans="7:7">
      <c r="G4981"/>
    </row>
    <row r="4982" spans="7:7">
      <c r="G4982"/>
    </row>
    <row r="4983" spans="7:7">
      <c r="G4983"/>
    </row>
    <row r="4984" spans="7:7">
      <c r="G4984"/>
    </row>
    <row r="4985" spans="7:7">
      <c r="G4985"/>
    </row>
    <row r="4986" spans="7:7">
      <c r="G4986"/>
    </row>
    <row r="4987" spans="7:7">
      <c r="G4987"/>
    </row>
    <row r="4988" spans="7:7">
      <c r="G4988"/>
    </row>
    <row r="4989" spans="7:7">
      <c r="G4989"/>
    </row>
    <row r="4990" spans="7:7">
      <c r="G4990"/>
    </row>
    <row r="4991" spans="7:7">
      <c r="G4991"/>
    </row>
    <row r="4992" spans="7:7">
      <c r="G4992"/>
    </row>
    <row r="4993" spans="7:7">
      <c r="G4993"/>
    </row>
    <row r="4994" spans="7:7">
      <c r="G4994"/>
    </row>
    <row r="4995" spans="7:7">
      <c r="G4995"/>
    </row>
    <row r="4996" spans="7:7">
      <c r="G4996"/>
    </row>
    <row r="4997" spans="7:7">
      <c r="G4997"/>
    </row>
    <row r="4998" spans="7:7">
      <c r="G4998"/>
    </row>
    <row r="4999" spans="7:7">
      <c r="G4999"/>
    </row>
    <row r="5000" spans="7:7">
      <c r="G5000"/>
    </row>
    <row r="5001" spans="7:7">
      <c r="G5001"/>
    </row>
    <row r="5002" spans="7:7">
      <c r="G5002"/>
    </row>
    <row r="5003" spans="7:7">
      <c r="G5003"/>
    </row>
    <row r="5004" spans="7:7">
      <c r="G5004"/>
    </row>
    <row r="5005" spans="7:7">
      <c r="G5005"/>
    </row>
    <row r="5006" spans="7:7">
      <c r="G5006"/>
    </row>
    <row r="5007" spans="7:7">
      <c r="G5007"/>
    </row>
    <row r="5008" spans="7:7">
      <c r="G5008"/>
    </row>
    <row r="5009" spans="7:7">
      <c r="G5009"/>
    </row>
    <row r="5010" spans="7:7">
      <c r="G5010"/>
    </row>
    <row r="5011" spans="7:7">
      <c r="G5011"/>
    </row>
    <row r="5012" spans="7:7">
      <c r="G5012"/>
    </row>
    <row r="5013" spans="7:7">
      <c r="G5013"/>
    </row>
    <row r="5014" spans="7:7">
      <c r="G5014"/>
    </row>
    <row r="5015" spans="7:7">
      <c r="G5015"/>
    </row>
    <row r="5016" spans="7:7">
      <c r="G5016"/>
    </row>
    <row r="5017" spans="7:7">
      <c r="G5017"/>
    </row>
    <row r="5018" spans="7:7">
      <c r="G5018"/>
    </row>
    <row r="5019" spans="7:7">
      <c r="G5019"/>
    </row>
    <row r="5020" spans="7:7">
      <c r="G5020"/>
    </row>
    <row r="5021" spans="7:7">
      <c r="G5021"/>
    </row>
    <row r="5022" spans="7:7">
      <c r="G5022"/>
    </row>
    <row r="5023" spans="7:7">
      <c r="G5023"/>
    </row>
    <row r="5024" spans="7:7">
      <c r="G5024"/>
    </row>
    <row r="5025" spans="7:7">
      <c r="G5025"/>
    </row>
    <row r="5026" spans="7:7">
      <c r="G5026"/>
    </row>
    <row r="5027" spans="7:7">
      <c r="G5027"/>
    </row>
    <row r="5028" spans="7:7">
      <c r="G5028"/>
    </row>
    <row r="5029" spans="7:7">
      <c r="G5029"/>
    </row>
    <row r="5030" spans="7:7">
      <c r="G5030"/>
    </row>
    <row r="5031" spans="7:7">
      <c r="G5031"/>
    </row>
    <row r="5032" spans="7:7">
      <c r="G5032"/>
    </row>
    <row r="5033" spans="7:7">
      <c r="G5033"/>
    </row>
    <row r="5034" spans="7:7">
      <c r="G5034"/>
    </row>
    <row r="5035" spans="7:7">
      <c r="G5035"/>
    </row>
    <row r="5036" spans="7:7">
      <c r="G5036"/>
    </row>
    <row r="5037" spans="7:7">
      <c r="G5037"/>
    </row>
    <row r="5038" spans="7:7">
      <c r="G5038"/>
    </row>
    <row r="5039" spans="7:7">
      <c r="G5039"/>
    </row>
    <row r="5040" spans="7:7">
      <c r="G5040"/>
    </row>
    <row r="5041" spans="7:7">
      <c r="G5041"/>
    </row>
    <row r="5042" spans="7:7">
      <c r="G5042"/>
    </row>
    <row r="5043" spans="7:7">
      <c r="G5043"/>
    </row>
    <row r="5044" spans="7:7">
      <c r="G5044"/>
    </row>
    <row r="5045" spans="7:7">
      <c r="G5045"/>
    </row>
    <row r="5046" spans="7:7">
      <c r="G5046"/>
    </row>
    <row r="5047" spans="7:7">
      <c r="G5047"/>
    </row>
    <row r="5048" spans="7:7">
      <c r="G5048"/>
    </row>
    <row r="5049" spans="7:7">
      <c r="G5049"/>
    </row>
    <row r="5050" spans="7:7">
      <c r="G5050"/>
    </row>
    <row r="5051" spans="7:7">
      <c r="G5051"/>
    </row>
    <row r="5052" spans="7:7">
      <c r="G5052"/>
    </row>
    <row r="5053" spans="7:7">
      <c r="G5053"/>
    </row>
    <row r="5054" spans="7:7">
      <c r="G5054"/>
    </row>
    <row r="5055" spans="7:7">
      <c r="G5055"/>
    </row>
    <row r="5056" spans="7:7">
      <c r="G5056"/>
    </row>
    <row r="5057" spans="7:7">
      <c r="G5057"/>
    </row>
    <row r="5058" spans="7:7">
      <c r="G5058"/>
    </row>
    <row r="5059" spans="7:7">
      <c r="G5059"/>
    </row>
    <row r="5060" spans="7:7">
      <c r="G5060"/>
    </row>
    <row r="5061" spans="7:7">
      <c r="G5061"/>
    </row>
    <row r="5062" spans="7:7">
      <c r="G5062"/>
    </row>
    <row r="5063" spans="7:7">
      <c r="G5063"/>
    </row>
    <row r="5064" spans="7:7">
      <c r="G5064"/>
    </row>
    <row r="5065" spans="7:7">
      <c r="G5065"/>
    </row>
    <row r="5066" spans="7:7">
      <c r="G5066"/>
    </row>
    <row r="5067" spans="7:7">
      <c r="G5067"/>
    </row>
    <row r="5068" spans="7:7">
      <c r="G5068"/>
    </row>
    <row r="5069" spans="7:7">
      <c r="G5069"/>
    </row>
    <row r="5070" spans="7:7">
      <c r="G5070"/>
    </row>
    <row r="5071" spans="7:7">
      <c r="G5071"/>
    </row>
    <row r="5072" spans="7:7">
      <c r="G5072"/>
    </row>
    <row r="5073" spans="7:7">
      <c r="G5073"/>
    </row>
    <row r="5074" spans="7:7">
      <c r="G5074"/>
    </row>
    <row r="5075" spans="7:7">
      <c r="G5075"/>
    </row>
    <row r="5076" spans="7:7">
      <c r="G5076"/>
    </row>
    <row r="5077" spans="7:7">
      <c r="G5077"/>
    </row>
    <row r="5078" spans="7:7">
      <c r="G5078"/>
    </row>
    <row r="5079" spans="7:7">
      <c r="G5079"/>
    </row>
    <row r="5080" spans="7:7">
      <c r="G5080"/>
    </row>
    <row r="5081" spans="7:7">
      <c r="G5081"/>
    </row>
    <row r="5082" spans="7:7">
      <c r="G5082"/>
    </row>
    <row r="5083" spans="7:7">
      <c r="G5083"/>
    </row>
    <row r="5084" spans="7:7">
      <c r="G5084"/>
    </row>
    <row r="5085" spans="7:7">
      <c r="G5085"/>
    </row>
    <row r="5086" spans="7:7">
      <c r="G5086"/>
    </row>
    <row r="5087" spans="7:7">
      <c r="G5087"/>
    </row>
    <row r="5088" spans="7:7">
      <c r="G5088"/>
    </row>
    <row r="5089" spans="7:7">
      <c r="G5089"/>
    </row>
    <row r="5090" spans="7:7">
      <c r="G5090"/>
    </row>
    <row r="5091" spans="7:7">
      <c r="G5091"/>
    </row>
    <row r="5092" spans="7:7">
      <c r="G5092"/>
    </row>
    <row r="5093" spans="7:7">
      <c r="G5093"/>
    </row>
    <row r="5094" spans="7:7">
      <c r="G5094"/>
    </row>
    <row r="5095" spans="7:7">
      <c r="G5095"/>
    </row>
    <row r="5096" spans="7:7">
      <c r="G5096"/>
    </row>
    <row r="5097" spans="7:7">
      <c r="G5097"/>
    </row>
    <row r="5098" spans="7:7">
      <c r="G5098"/>
    </row>
    <row r="5099" spans="7:7">
      <c r="G5099"/>
    </row>
    <row r="5100" spans="7:7">
      <c r="G5100"/>
    </row>
    <row r="5101" spans="7:7">
      <c r="G5101"/>
    </row>
    <row r="5102" spans="7:7">
      <c r="G5102"/>
    </row>
    <row r="5103" spans="7:7">
      <c r="G5103"/>
    </row>
    <row r="5104" spans="7:7">
      <c r="G5104"/>
    </row>
    <row r="5105" spans="7:7">
      <c r="G5105"/>
    </row>
    <row r="5106" spans="7:7">
      <c r="G5106"/>
    </row>
    <row r="5107" spans="7:7">
      <c r="G5107"/>
    </row>
    <row r="5108" spans="7:7">
      <c r="G5108"/>
    </row>
    <row r="5109" spans="7:7">
      <c r="G5109"/>
    </row>
    <row r="5110" spans="7:7">
      <c r="G5110"/>
    </row>
    <row r="5111" spans="7:7">
      <c r="G5111"/>
    </row>
    <row r="5112" spans="7:7">
      <c r="G5112"/>
    </row>
    <row r="5113" spans="7:7">
      <c r="G5113"/>
    </row>
    <row r="5114" spans="7:7">
      <c r="G5114"/>
    </row>
    <row r="5115" spans="7:7">
      <c r="G5115"/>
    </row>
    <row r="5116" spans="7:7">
      <c r="G5116"/>
    </row>
    <row r="5117" spans="7:7">
      <c r="G5117"/>
    </row>
    <row r="5118" spans="7:7">
      <c r="G5118"/>
    </row>
    <row r="5119" spans="7:7">
      <c r="G5119"/>
    </row>
    <row r="5120" spans="7:7">
      <c r="G5120"/>
    </row>
    <row r="5121" spans="7:7">
      <c r="G5121"/>
    </row>
    <row r="5122" spans="7:7">
      <c r="G5122"/>
    </row>
    <row r="5123" spans="7:7">
      <c r="G5123"/>
    </row>
    <row r="5124" spans="7:7">
      <c r="G5124"/>
    </row>
    <row r="5125" spans="7:7">
      <c r="G5125"/>
    </row>
    <row r="5126" spans="7:7">
      <c r="G5126"/>
    </row>
    <row r="5127" spans="7:7">
      <c r="G5127"/>
    </row>
    <row r="5128" spans="7:7">
      <c r="G5128"/>
    </row>
    <row r="5129" spans="7:7">
      <c r="G5129"/>
    </row>
    <row r="5130" spans="7:7">
      <c r="G5130"/>
    </row>
    <row r="5131" spans="7:7">
      <c r="G5131"/>
    </row>
    <row r="5132" spans="7:7">
      <c r="G5132"/>
    </row>
    <row r="5133" spans="7:7">
      <c r="G5133"/>
    </row>
    <row r="5134" spans="7:7">
      <c r="G5134"/>
    </row>
    <row r="5135" spans="7:7">
      <c r="G5135"/>
    </row>
    <row r="5136" spans="7:7">
      <c r="G5136"/>
    </row>
    <row r="5137" spans="7:7">
      <c r="G5137"/>
    </row>
    <row r="5138" spans="7:7">
      <c r="G5138"/>
    </row>
    <row r="5139" spans="7:7">
      <c r="G5139"/>
    </row>
    <row r="5140" spans="7:7">
      <c r="G5140"/>
    </row>
    <row r="5141" spans="7:7">
      <c r="G5141"/>
    </row>
    <row r="5142" spans="7:7">
      <c r="G5142"/>
    </row>
    <row r="5143" spans="7:7">
      <c r="G5143"/>
    </row>
    <row r="5144" spans="7:7">
      <c r="G5144"/>
    </row>
    <row r="5145" spans="7:7">
      <c r="G5145"/>
    </row>
    <row r="5146" spans="7:7">
      <c r="G5146"/>
    </row>
    <row r="5147" spans="7:7">
      <c r="G5147"/>
    </row>
    <row r="5148" spans="7:7">
      <c r="G5148"/>
    </row>
    <row r="5149" spans="7:7">
      <c r="G5149"/>
    </row>
    <row r="5150" spans="7:7">
      <c r="G5150"/>
    </row>
    <row r="5151" spans="7:7">
      <c r="G5151"/>
    </row>
    <row r="5152" spans="7:7">
      <c r="G5152"/>
    </row>
    <row r="5153" spans="7:7">
      <c r="G5153"/>
    </row>
    <row r="5154" spans="7:7">
      <c r="G5154"/>
    </row>
    <row r="5155" spans="7:7">
      <c r="G5155"/>
    </row>
    <row r="5156" spans="7:7">
      <c r="G5156"/>
    </row>
    <row r="5157" spans="7:7">
      <c r="G5157"/>
    </row>
    <row r="5158" spans="7:7">
      <c r="G5158"/>
    </row>
    <row r="5159" spans="7:7">
      <c r="G5159"/>
    </row>
    <row r="5160" spans="7:7">
      <c r="G5160"/>
    </row>
    <row r="5161" spans="7:7">
      <c r="G5161"/>
    </row>
    <row r="5162" spans="7:7">
      <c r="G5162"/>
    </row>
    <row r="5163" spans="7:7">
      <c r="G5163"/>
    </row>
    <row r="5164" spans="7:7">
      <c r="G5164"/>
    </row>
    <row r="5165" spans="7:7">
      <c r="G5165"/>
    </row>
    <row r="5166" spans="7:7">
      <c r="G5166"/>
    </row>
    <row r="5167" spans="7:7">
      <c r="G5167"/>
    </row>
    <row r="5168" spans="7:7">
      <c r="G5168"/>
    </row>
    <row r="5169" spans="7:7">
      <c r="G5169"/>
    </row>
    <row r="5170" spans="7:7">
      <c r="G5170"/>
    </row>
    <row r="5171" spans="7:7">
      <c r="G5171"/>
    </row>
    <row r="5172" spans="7:7">
      <c r="G5172"/>
    </row>
    <row r="5173" spans="7:7">
      <c r="G5173"/>
    </row>
    <row r="5174" spans="7:7">
      <c r="G5174"/>
    </row>
    <row r="5175" spans="7:7">
      <c r="G5175"/>
    </row>
    <row r="5176" spans="7:7">
      <c r="G5176"/>
    </row>
    <row r="5177" spans="7:7">
      <c r="G5177"/>
    </row>
    <row r="5178" spans="7:7">
      <c r="G5178"/>
    </row>
    <row r="5179" spans="7:7">
      <c r="G5179"/>
    </row>
    <row r="5180" spans="7:7">
      <c r="G5180"/>
    </row>
    <row r="5181" spans="7:7">
      <c r="G5181"/>
    </row>
    <row r="5182" spans="7:7">
      <c r="G5182"/>
    </row>
    <row r="5183" spans="7:7">
      <c r="G5183"/>
    </row>
    <row r="5184" spans="7:7">
      <c r="G5184"/>
    </row>
    <row r="5185" spans="7:7">
      <c r="G5185"/>
    </row>
    <row r="5186" spans="7:7">
      <c r="G5186"/>
    </row>
    <row r="5187" spans="7:7">
      <c r="G5187"/>
    </row>
    <row r="5188" spans="7:7">
      <c r="G5188"/>
    </row>
    <row r="5189" spans="7:7">
      <c r="G5189"/>
    </row>
    <row r="5190" spans="7:7">
      <c r="G5190"/>
    </row>
    <row r="5191" spans="7:7">
      <c r="G5191"/>
    </row>
    <row r="5192" spans="7:7">
      <c r="G5192"/>
    </row>
    <row r="5193" spans="7:7">
      <c r="G5193"/>
    </row>
    <row r="5194" spans="7:7">
      <c r="G5194"/>
    </row>
    <row r="5195" spans="7:7">
      <c r="G5195"/>
    </row>
    <row r="5196" spans="7:7">
      <c r="G5196"/>
    </row>
    <row r="5197" spans="7:7">
      <c r="G5197"/>
    </row>
    <row r="5198" spans="7:7">
      <c r="G5198"/>
    </row>
    <row r="5199" spans="7:7">
      <c r="G5199"/>
    </row>
    <row r="5200" spans="7:7">
      <c r="G5200"/>
    </row>
    <row r="5201" spans="7:7">
      <c r="G5201"/>
    </row>
    <row r="5202" spans="7:7">
      <c r="G5202"/>
    </row>
    <row r="5203" spans="7:7">
      <c r="G5203"/>
    </row>
    <row r="5204" spans="7:7">
      <c r="G5204"/>
    </row>
    <row r="5205" spans="7:7">
      <c r="G5205"/>
    </row>
    <row r="5206" spans="7:7">
      <c r="G5206"/>
    </row>
    <row r="5207" spans="7:7">
      <c r="G5207"/>
    </row>
    <row r="5208" spans="7:7">
      <c r="G5208"/>
    </row>
    <row r="5209" spans="7:7">
      <c r="G5209"/>
    </row>
    <row r="5210" spans="7:7">
      <c r="G5210"/>
    </row>
    <row r="5211" spans="7:7">
      <c r="G5211"/>
    </row>
    <row r="5212" spans="7:7">
      <c r="G5212"/>
    </row>
    <row r="5213" spans="7:7">
      <c r="G5213"/>
    </row>
    <row r="5214" spans="7:7">
      <c r="G5214"/>
    </row>
    <row r="5215" spans="7:7">
      <c r="G5215"/>
    </row>
    <row r="5216" spans="7:7">
      <c r="G5216"/>
    </row>
    <row r="5217" spans="7:7">
      <c r="G5217"/>
    </row>
    <row r="5218" spans="7:7">
      <c r="G5218"/>
    </row>
    <row r="5219" spans="7:7">
      <c r="G5219"/>
    </row>
    <row r="5220" spans="7:7">
      <c r="G5220"/>
    </row>
    <row r="5221" spans="7:7">
      <c r="G5221"/>
    </row>
    <row r="5222" spans="7:7">
      <c r="G5222"/>
    </row>
    <row r="5223" spans="7:7">
      <c r="G5223"/>
    </row>
    <row r="5224" spans="7:7">
      <c r="G5224"/>
    </row>
    <row r="5225" spans="7:7">
      <c r="G5225"/>
    </row>
    <row r="5226" spans="7:7">
      <c r="G5226"/>
    </row>
    <row r="5227" spans="7:7">
      <c r="G5227"/>
    </row>
    <row r="5228" spans="7:7">
      <c r="G5228"/>
    </row>
    <row r="5229" spans="7:7">
      <c r="G5229"/>
    </row>
    <row r="5230" spans="7:7">
      <c r="G5230"/>
    </row>
    <row r="5231" spans="7:7">
      <c r="G5231"/>
    </row>
    <row r="5232" spans="7:7">
      <c r="G5232"/>
    </row>
    <row r="5233" spans="7:7">
      <c r="G5233"/>
    </row>
    <row r="5234" spans="7:7">
      <c r="G5234"/>
    </row>
    <row r="5235" spans="7:7">
      <c r="G5235"/>
    </row>
    <row r="5236" spans="7:7">
      <c r="G5236"/>
    </row>
    <row r="5237" spans="7:7">
      <c r="G5237"/>
    </row>
    <row r="5238" spans="7:7">
      <c r="G5238"/>
    </row>
    <row r="5239" spans="7:7">
      <c r="G5239"/>
    </row>
    <row r="5240" spans="7:7">
      <c r="G5240"/>
    </row>
    <row r="5241" spans="7:7">
      <c r="G5241"/>
    </row>
    <row r="5242" spans="7:7">
      <c r="G5242"/>
    </row>
    <row r="5243" spans="7:7">
      <c r="G5243"/>
    </row>
    <row r="5244" spans="7:7">
      <c r="G5244"/>
    </row>
    <row r="5245" spans="7:7">
      <c r="G5245"/>
    </row>
    <row r="5246" spans="7:7">
      <c r="G5246"/>
    </row>
    <row r="5247" spans="7:7">
      <c r="G5247"/>
    </row>
    <row r="5248" spans="7:7">
      <c r="G5248"/>
    </row>
    <row r="5249" spans="7:7">
      <c r="G5249"/>
    </row>
    <row r="5250" spans="7:7">
      <c r="G5250"/>
    </row>
    <row r="5251" spans="7:7">
      <c r="G5251"/>
    </row>
    <row r="5252" spans="7:7">
      <c r="G5252"/>
    </row>
    <row r="5253" spans="7:7">
      <c r="G5253"/>
    </row>
    <row r="5254" spans="7:7">
      <c r="G5254"/>
    </row>
    <row r="5255" spans="7:7">
      <c r="G5255"/>
    </row>
    <row r="5256" spans="7:7">
      <c r="G5256"/>
    </row>
    <row r="5257" spans="7:7">
      <c r="G5257"/>
    </row>
    <row r="5258" spans="7:7">
      <c r="G5258"/>
    </row>
    <row r="5259" spans="7:7">
      <c r="G5259"/>
    </row>
    <row r="5260" spans="7:7">
      <c r="G5260"/>
    </row>
    <row r="5261" spans="7:7">
      <c r="G5261"/>
    </row>
    <row r="5262" spans="7:7">
      <c r="G5262"/>
    </row>
    <row r="5263" spans="7:7">
      <c r="G5263"/>
    </row>
    <row r="5264" spans="7:7">
      <c r="G5264"/>
    </row>
    <row r="5265" spans="7:7">
      <c r="G5265"/>
    </row>
    <row r="5266" spans="7:7">
      <c r="G5266"/>
    </row>
    <row r="5267" spans="7:7">
      <c r="G5267"/>
    </row>
    <row r="5268" spans="7:7">
      <c r="G5268"/>
    </row>
    <row r="5269" spans="7:7">
      <c r="G5269"/>
    </row>
    <row r="5270" spans="7:7">
      <c r="G5270"/>
    </row>
    <row r="5271" spans="7:7">
      <c r="G5271"/>
    </row>
    <row r="5272" spans="7:7">
      <c r="G5272"/>
    </row>
    <row r="5273" spans="7:7">
      <c r="G5273"/>
    </row>
    <row r="5274" spans="7:7">
      <c r="G5274"/>
    </row>
    <row r="5275" spans="7:7">
      <c r="G5275"/>
    </row>
    <row r="5276" spans="7:7">
      <c r="G5276"/>
    </row>
    <row r="5277" spans="7:7">
      <c r="G5277"/>
    </row>
    <row r="5278" spans="7:7">
      <c r="G5278"/>
    </row>
    <row r="5279" spans="7:7">
      <c r="G5279"/>
    </row>
    <row r="5280" spans="7:7">
      <c r="G5280"/>
    </row>
    <row r="5281" spans="7:7">
      <c r="G5281"/>
    </row>
    <row r="5282" spans="7:7">
      <c r="G5282"/>
    </row>
    <row r="5283" spans="7:7">
      <c r="G5283"/>
    </row>
    <row r="5284" spans="7:7">
      <c r="G5284"/>
    </row>
    <row r="5285" spans="7:7">
      <c r="G5285"/>
    </row>
    <row r="5286" spans="7:7">
      <c r="G5286"/>
    </row>
    <row r="5287" spans="7:7">
      <c r="G5287"/>
    </row>
    <row r="5288" spans="7:7">
      <c r="G5288"/>
    </row>
    <row r="5289" spans="7:7">
      <c r="G5289"/>
    </row>
    <row r="5290" spans="7:7">
      <c r="G5290"/>
    </row>
    <row r="5291" spans="7:7">
      <c r="G5291"/>
    </row>
    <row r="5292" spans="7:7">
      <c r="G5292"/>
    </row>
    <row r="5293" spans="7:7">
      <c r="G5293"/>
    </row>
    <row r="5294" spans="7:7">
      <c r="G5294"/>
    </row>
    <row r="5295" spans="7:7">
      <c r="G5295"/>
    </row>
    <row r="5296" spans="7:7">
      <c r="G5296"/>
    </row>
    <row r="5297" spans="7:7">
      <c r="G5297"/>
    </row>
    <row r="5298" spans="7:7">
      <c r="G5298"/>
    </row>
    <row r="5299" spans="7:7">
      <c r="G5299"/>
    </row>
    <row r="5300" spans="7:7">
      <c r="G5300"/>
    </row>
    <row r="5301" spans="7:7">
      <c r="G5301"/>
    </row>
    <row r="5302" spans="7:7">
      <c r="G5302"/>
    </row>
    <row r="5303" spans="7:7">
      <c r="G5303"/>
    </row>
    <row r="5304" spans="7:7">
      <c r="G5304"/>
    </row>
    <row r="5305" spans="7:7">
      <c r="G5305"/>
    </row>
    <row r="5306" spans="7:7">
      <c r="G5306"/>
    </row>
    <row r="5307" spans="7:7">
      <c r="G5307"/>
    </row>
    <row r="5308" spans="7:7">
      <c r="G5308"/>
    </row>
    <row r="5309" spans="7:7">
      <c r="G5309"/>
    </row>
    <row r="5310" spans="7:7">
      <c r="G5310"/>
    </row>
    <row r="5311" spans="7:7">
      <c r="G5311"/>
    </row>
    <row r="5312" spans="7:7">
      <c r="G5312"/>
    </row>
    <row r="5313" spans="7:7">
      <c r="G5313"/>
    </row>
    <row r="5314" spans="7:7">
      <c r="G5314"/>
    </row>
    <row r="5315" spans="7:7">
      <c r="G5315"/>
    </row>
    <row r="5316" spans="7:7">
      <c r="G5316"/>
    </row>
    <row r="5317" spans="7:7">
      <c r="G5317"/>
    </row>
    <row r="5318" spans="7:7">
      <c r="G5318"/>
    </row>
    <row r="5319" spans="7:7">
      <c r="G5319"/>
    </row>
    <row r="5320" spans="7:7">
      <c r="G5320"/>
    </row>
    <row r="5321" spans="7:7">
      <c r="G5321"/>
    </row>
    <row r="5322" spans="7:7">
      <c r="G5322"/>
    </row>
    <row r="5323" spans="7:7">
      <c r="G5323"/>
    </row>
    <row r="5324" spans="7:7">
      <c r="G5324"/>
    </row>
    <row r="5325" spans="7:7">
      <c r="G5325"/>
    </row>
    <row r="5326" spans="7:7">
      <c r="G5326"/>
    </row>
    <row r="5327" spans="7:7">
      <c r="G5327"/>
    </row>
    <row r="5328" spans="7:7">
      <c r="G5328"/>
    </row>
    <row r="5329" spans="7:7">
      <c r="G5329"/>
    </row>
    <row r="5330" spans="7:7">
      <c r="G5330"/>
    </row>
    <row r="5331" spans="7:7">
      <c r="G5331"/>
    </row>
    <row r="5332" spans="7:7">
      <c r="G5332"/>
    </row>
    <row r="5333" spans="7:7">
      <c r="G5333"/>
    </row>
    <row r="5334" spans="7:7">
      <c r="G5334"/>
    </row>
    <row r="5335" spans="7:7">
      <c r="G5335"/>
    </row>
    <row r="5336" spans="7:7">
      <c r="G5336"/>
    </row>
    <row r="5337" spans="7:7">
      <c r="G5337"/>
    </row>
    <row r="5338" spans="7:7">
      <c r="G5338"/>
    </row>
    <row r="5339" spans="7:7">
      <c r="G5339"/>
    </row>
    <row r="5340" spans="7:7">
      <c r="G5340"/>
    </row>
    <row r="5341" spans="7:7">
      <c r="G5341"/>
    </row>
    <row r="5342" spans="7:7">
      <c r="G5342"/>
    </row>
    <row r="5343" spans="7:7">
      <c r="G5343"/>
    </row>
    <row r="5344" spans="7:7">
      <c r="G5344"/>
    </row>
    <row r="5345" spans="7:7">
      <c r="G5345"/>
    </row>
    <row r="5346" spans="7:7">
      <c r="G5346"/>
    </row>
    <row r="5347" spans="7:7">
      <c r="G5347"/>
    </row>
    <row r="5348" spans="7:7">
      <c r="G5348"/>
    </row>
    <row r="5349" spans="7:7">
      <c r="G5349"/>
    </row>
    <row r="5350" spans="7:7">
      <c r="G5350"/>
    </row>
    <row r="5351" spans="7:7">
      <c r="G5351"/>
    </row>
    <row r="5352" spans="7:7">
      <c r="G5352"/>
    </row>
    <row r="5353" spans="7:7">
      <c r="G5353"/>
    </row>
    <row r="5354" spans="7:7">
      <c r="G5354"/>
    </row>
    <row r="5355" spans="7:7">
      <c r="G5355"/>
    </row>
    <row r="5356" spans="7:7">
      <c r="G5356"/>
    </row>
    <row r="5357" spans="7:7">
      <c r="G5357"/>
    </row>
    <row r="5358" spans="7:7">
      <c r="G5358"/>
    </row>
    <row r="5359" spans="7:7">
      <c r="G5359"/>
    </row>
    <row r="5360" spans="7:7">
      <c r="G5360"/>
    </row>
    <row r="5361" spans="7:7">
      <c r="G5361"/>
    </row>
    <row r="5362" spans="7:7">
      <c r="G5362"/>
    </row>
    <row r="5363" spans="7:7">
      <c r="G5363"/>
    </row>
    <row r="5364" spans="7:7">
      <c r="G5364"/>
    </row>
    <row r="5365" spans="7:7">
      <c r="G5365"/>
    </row>
    <row r="5366" spans="7:7">
      <c r="G5366"/>
    </row>
    <row r="5367" spans="7:7">
      <c r="G5367"/>
    </row>
    <row r="5368" spans="7:7">
      <c r="G5368"/>
    </row>
    <row r="5369" spans="7:7">
      <c r="G5369"/>
    </row>
    <row r="5370" spans="7:7">
      <c r="G5370"/>
    </row>
    <row r="5371" spans="7:7">
      <c r="G5371"/>
    </row>
    <row r="5372" spans="7:7">
      <c r="G5372"/>
    </row>
    <row r="5373" spans="7:7">
      <c r="G5373"/>
    </row>
    <row r="5374" spans="7:7">
      <c r="G5374"/>
    </row>
    <row r="5375" spans="7:7">
      <c r="G5375"/>
    </row>
    <row r="5376" spans="7:7">
      <c r="G5376"/>
    </row>
    <row r="5377" spans="7:7">
      <c r="G5377"/>
    </row>
    <row r="5378" spans="7:7">
      <c r="G5378"/>
    </row>
    <row r="5379" spans="7:7">
      <c r="G5379"/>
    </row>
    <row r="5380" spans="7:7">
      <c r="G5380"/>
    </row>
    <row r="5381" spans="7:7">
      <c r="G5381"/>
    </row>
    <row r="5382" spans="7:7">
      <c r="G5382"/>
    </row>
    <row r="5383" spans="7:7">
      <c r="G5383"/>
    </row>
    <row r="5384" spans="7:7">
      <c r="G5384"/>
    </row>
    <row r="5385" spans="7:7">
      <c r="G5385"/>
    </row>
    <row r="5386" spans="7:7">
      <c r="G5386"/>
    </row>
    <row r="5387" spans="7:7">
      <c r="G5387"/>
    </row>
    <row r="5388" spans="7:7">
      <c r="G5388"/>
    </row>
    <row r="5389" spans="7:7">
      <c r="G5389"/>
    </row>
    <row r="5390" spans="7:7">
      <c r="G5390"/>
    </row>
    <row r="5391" spans="7:7">
      <c r="G5391"/>
    </row>
    <row r="5392" spans="7:7">
      <c r="G5392"/>
    </row>
    <row r="5393" spans="7:7">
      <c r="G5393"/>
    </row>
    <row r="5394" spans="7:7">
      <c r="G5394"/>
    </row>
    <row r="5395" spans="7:7">
      <c r="G5395"/>
    </row>
    <row r="5396" spans="7:7">
      <c r="G5396"/>
    </row>
    <row r="5397" spans="7:7">
      <c r="G5397"/>
    </row>
    <row r="5398" spans="7:7">
      <c r="G5398"/>
    </row>
    <row r="5399" spans="7:7">
      <c r="G5399"/>
    </row>
    <row r="5400" spans="7:7">
      <c r="G5400"/>
    </row>
    <row r="5401" spans="7:7">
      <c r="G5401"/>
    </row>
    <row r="5402" spans="7:7">
      <c r="G5402"/>
    </row>
    <row r="5403" spans="7:7">
      <c r="G5403"/>
    </row>
    <row r="5404" spans="7:7">
      <c r="G5404"/>
    </row>
    <row r="5405" spans="7:7">
      <c r="G5405"/>
    </row>
    <row r="5406" spans="7:7">
      <c r="G5406"/>
    </row>
    <row r="5407" spans="7:7">
      <c r="G5407"/>
    </row>
    <row r="5408" spans="7:7">
      <c r="G5408"/>
    </row>
    <row r="5409" spans="7:7">
      <c r="G5409"/>
    </row>
    <row r="5410" spans="7:7">
      <c r="G5410"/>
    </row>
    <row r="5411" spans="7:7">
      <c r="G5411"/>
    </row>
    <row r="5412" spans="7:7">
      <c r="G5412"/>
    </row>
    <row r="5413" spans="7:7">
      <c r="G5413"/>
    </row>
    <row r="5414" spans="7:7">
      <c r="G5414"/>
    </row>
    <row r="5415" spans="7:7">
      <c r="G5415"/>
    </row>
    <row r="5416" spans="7:7">
      <c r="G5416"/>
    </row>
    <row r="5417" spans="7:7">
      <c r="G5417"/>
    </row>
    <row r="5418" spans="7:7">
      <c r="G5418"/>
    </row>
    <row r="5419" spans="7:7">
      <c r="G5419"/>
    </row>
    <row r="5420" spans="7:7">
      <c r="G5420"/>
    </row>
    <row r="5421" spans="7:7">
      <c r="G5421"/>
    </row>
    <row r="5422" spans="7:7">
      <c r="G5422"/>
    </row>
    <row r="5423" spans="7:7">
      <c r="G5423"/>
    </row>
    <row r="5424" spans="7:7">
      <c r="G5424"/>
    </row>
    <row r="5425" spans="7:7">
      <c r="G5425"/>
    </row>
    <row r="5426" spans="7:7">
      <c r="G5426"/>
    </row>
    <row r="5427" spans="7:7">
      <c r="G5427"/>
    </row>
    <row r="5428" spans="7:7">
      <c r="G5428"/>
    </row>
    <row r="5429" spans="7:7">
      <c r="G5429"/>
    </row>
    <row r="5430" spans="7:7">
      <c r="G5430"/>
    </row>
    <row r="5431" spans="7:7">
      <c r="G5431"/>
    </row>
    <row r="5432" spans="7:7">
      <c r="G5432"/>
    </row>
    <row r="5433" spans="7:7">
      <c r="G5433"/>
    </row>
    <row r="5434" spans="7:7">
      <c r="G5434"/>
    </row>
    <row r="5435" spans="7:7">
      <c r="G5435"/>
    </row>
    <row r="5436" spans="7:7">
      <c r="G5436"/>
    </row>
    <row r="5437" spans="7:7">
      <c r="G5437"/>
    </row>
    <row r="5438" spans="7:7">
      <c r="G5438"/>
    </row>
    <row r="5439" spans="7:7">
      <c r="G5439"/>
    </row>
    <row r="5440" spans="7:7">
      <c r="G5440"/>
    </row>
    <row r="5441" spans="7:7">
      <c r="G5441"/>
    </row>
    <row r="5442" spans="7:7">
      <c r="G5442"/>
    </row>
    <row r="5443" spans="7:7">
      <c r="G5443"/>
    </row>
    <row r="5444" spans="7:7">
      <c r="G5444"/>
    </row>
    <row r="5445" spans="7:7">
      <c r="G5445"/>
    </row>
    <row r="5446" spans="7:7">
      <c r="G5446"/>
    </row>
    <row r="5447" spans="7:7">
      <c r="G5447"/>
    </row>
    <row r="5448" spans="7:7">
      <c r="G5448"/>
    </row>
    <row r="5449" spans="7:7">
      <c r="G5449"/>
    </row>
    <row r="5450" spans="7:7">
      <c r="G5450"/>
    </row>
    <row r="5451" spans="7:7">
      <c r="G5451"/>
    </row>
    <row r="5452" spans="7:7">
      <c r="G5452"/>
    </row>
    <row r="5453" spans="7:7">
      <c r="G5453"/>
    </row>
    <row r="5454" spans="7:7">
      <c r="G5454"/>
    </row>
    <row r="5455" spans="7:7">
      <c r="G5455"/>
    </row>
    <row r="5456" spans="7:7">
      <c r="G5456"/>
    </row>
    <row r="5457" spans="7:7">
      <c r="G5457"/>
    </row>
    <row r="5458" spans="7:7">
      <c r="G5458"/>
    </row>
    <row r="5459" spans="7:7">
      <c r="G5459"/>
    </row>
    <row r="5460" spans="7:7">
      <c r="G5460"/>
    </row>
    <row r="5461" spans="7:7">
      <c r="G5461"/>
    </row>
    <row r="5462" spans="7:7">
      <c r="G5462"/>
    </row>
    <row r="5463" spans="7:7">
      <c r="G5463"/>
    </row>
    <row r="5464" spans="7:7">
      <c r="G5464"/>
    </row>
    <row r="5465" spans="7:7">
      <c r="G5465"/>
    </row>
    <row r="5466" spans="7:7">
      <c r="G5466"/>
    </row>
    <row r="5467" spans="7:7">
      <c r="G5467"/>
    </row>
    <row r="5468" spans="7:7">
      <c r="G5468"/>
    </row>
    <row r="5469" spans="7:7">
      <c r="G5469"/>
    </row>
    <row r="5470" spans="7:7">
      <c r="G5470"/>
    </row>
    <row r="5471" spans="7:7">
      <c r="G5471"/>
    </row>
    <row r="5472" spans="7:7">
      <c r="G5472"/>
    </row>
    <row r="5473" spans="7:7">
      <c r="G5473"/>
    </row>
    <row r="5474" spans="7:7">
      <c r="G5474"/>
    </row>
    <row r="5475" spans="7:7">
      <c r="G5475"/>
    </row>
    <row r="5476" spans="7:7">
      <c r="G5476"/>
    </row>
    <row r="5477" spans="7:7">
      <c r="G5477"/>
    </row>
    <row r="5478" spans="7:7">
      <c r="G5478"/>
    </row>
    <row r="5479" spans="7:7">
      <c r="G5479"/>
    </row>
    <row r="5480" spans="7:7">
      <c r="G5480"/>
    </row>
    <row r="5481" spans="7:7">
      <c r="G5481"/>
    </row>
    <row r="5482" spans="7:7">
      <c r="G5482"/>
    </row>
    <row r="5483" spans="7:7">
      <c r="G5483"/>
    </row>
    <row r="5484" spans="7:7">
      <c r="G5484"/>
    </row>
    <row r="5485" spans="7:7">
      <c r="G5485"/>
    </row>
    <row r="5486" spans="7:7">
      <c r="G5486"/>
    </row>
    <row r="5487" spans="7:7">
      <c r="G5487"/>
    </row>
    <row r="5488" spans="7:7">
      <c r="G5488"/>
    </row>
    <row r="5489" spans="7:7">
      <c r="G5489"/>
    </row>
    <row r="5490" spans="7:7">
      <c r="G5490"/>
    </row>
    <row r="5491" spans="7:7">
      <c r="G5491"/>
    </row>
    <row r="5492" spans="7:7">
      <c r="G5492"/>
    </row>
    <row r="5493" spans="7:7">
      <c r="G5493"/>
    </row>
    <row r="5494" spans="7:7">
      <c r="G5494"/>
    </row>
    <row r="5495" spans="7:7">
      <c r="G5495"/>
    </row>
    <row r="5496" spans="7:7">
      <c r="G5496"/>
    </row>
    <row r="5497" spans="7:7">
      <c r="G5497"/>
    </row>
    <row r="5498" spans="7:7">
      <c r="G5498"/>
    </row>
    <row r="5499" spans="7:7">
      <c r="G5499"/>
    </row>
    <row r="5500" spans="7:7">
      <c r="G5500"/>
    </row>
    <row r="5501" spans="7:7">
      <c r="G5501"/>
    </row>
    <row r="5502" spans="7:7">
      <c r="G5502"/>
    </row>
    <row r="5503" spans="7:7">
      <c r="G5503"/>
    </row>
    <row r="5504" spans="7:7">
      <c r="G5504"/>
    </row>
    <row r="5505" spans="7:7">
      <c r="G5505"/>
    </row>
    <row r="5506" spans="7:7">
      <c r="G5506"/>
    </row>
    <row r="5507" spans="7:7">
      <c r="G5507"/>
    </row>
    <row r="5508" spans="7:7">
      <c r="G5508"/>
    </row>
    <row r="5509" spans="7:7">
      <c r="G5509"/>
    </row>
    <row r="5510" spans="7:7">
      <c r="G5510"/>
    </row>
    <row r="5511" spans="7:7">
      <c r="G5511"/>
    </row>
    <row r="5512" spans="7:7">
      <c r="G5512"/>
    </row>
    <row r="5513" spans="7:7">
      <c r="G5513"/>
    </row>
    <row r="5514" spans="7:7">
      <c r="G5514"/>
    </row>
    <row r="5515" spans="7:7">
      <c r="G5515"/>
    </row>
    <row r="5516" spans="7:7">
      <c r="G5516"/>
    </row>
    <row r="5517" spans="7:7">
      <c r="G5517"/>
    </row>
    <row r="5518" spans="7:7">
      <c r="G5518"/>
    </row>
    <row r="5519" spans="7:7">
      <c r="G5519"/>
    </row>
    <row r="5520" spans="7:7">
      <c r="G5520"/>
    </row>
    <row r="5521" spans="7:7">
      <c r="G5521"/>
    </row>
    <row r="5522" spans="7:7">
      <c r="G5522"/>
    </row>
    <row r="5523" spans="7:7">
      <c r="G5523"/>
    </row>
    <row r="5524" spans="7:7">
      <c r="G5524"/>
    </row>
    <row r="5525" spans="7:7">
      <c r="G5525"/>
    </row>
    <row r="5526" spans="7:7">
      <c r="G5526"/>
    </row>
    <row r="5527" spans="7:7">
      <c r="G5527"/>
    </row>
    <row r="5528" spans="7:7">
      <c r="G5528"/>
    </row>
    <row r="5529" spans="7:7">
      <c r="G5529"/>
    </row>
    <row r="5530" spans="7:7">
      <c r="G5530"/>
    </row>
    <row r="5531" spans="7:7">
      <c r="G5531"/>
    </row>
    <row r="5532" spans="7:7">
      <c r="G5532"/>
    </row>
    <row r="5533" spans="7:7">
      <c r="G5533"/>
    </row>
    <row r="5534" spans="7:7">
      <c r="G5534"/>
    </row>
    <row r="5535" spans="7:7">
      <c r="G5535"/>
    </row>
    <row r="5536" spans="7:7">
      <c r="G5536"/>
    </row>
    <row r="5537" spans="7:7">
      <c r="G5537"/>
    </row>
    <row r="5538" spans="7:7">
      <c r="G5538"/>
    </row>
    <row r="5539" spans="7:7">
      <c r="G5539"/>
    </row>
    <row r="5540" spans="7:7">
      <c r="G5540"/>
    </row>
    <row r="5541" spans="7:7">
      <c r="G5541"/>
    </row>
    <row r="5542" spans="7:7">
      <c r="G5542"/>
    </row>
    <row r="5543" spans="7:7">
      <c r="G5543"/>
    </row>
    <row r="5544" spans="7:7">
      <c r="G5544"/>
    </row>
    <row r="5545" spans="7:7">
      <c r="G5545"/>
    </row>
    <row r="5546" spans="7:7">
      <c r="G5546"/>
    </row>
    <row r="5547" spans="7:7">
      <c r="G5547"/>
    </row>
    <row r="5548" spans="7:7">
      <c r="G5548"/>
    </row>
    <row r="5549" spans="7:7">
      <c r="G5549"/>
    </row>
    <row r="5550" spans="7:7">
      <c r="G5550"/>
    </row>
    <row r="5551" spans="7:7">
      <c r="G5551"/>
    </row>
    <row r="5552" spans="7:7">
      <c r="G5552"/>
    </row>
    <row r="5553" spans="7:7">
      <c r="G5553"/>
    </row>
    <row r="5554" spans="7:7">
      <c r="G5554"/>
    </row>
    <row r="5555" spans="7:7">
      <c r="G5555"/>
    </row>
    <row r="5556" spans="7:7">
      <c r="G5556"/>
    </row>
    <row r="5557" spans="7:7">
      <c r="G5557"/>
    </row>
    <row r="5558" spans="7:7">
      <c r="G5558"/>
    </row>
    <row r="5559" spans="7:7">
      <c r="G5559"/>
    </row>
    <row r="5560" spans="7:7">
      <c r="G5560"/>
    </row>
    <row r="5561" spans="7:7">
      <c r="G5561"/>
    </row>
    <row r="5562" spans="7:7">
      <c r="G5562"/>
    </row>
    <row r="5563" spans="7:7">
      <c r="G5563"/>
    </row>
    <row r="5564" spans="7:7">
      <c r="G5564"/>
    </row>
    <row r="5565" spans="7:7">
      <c r="G5565"/>
    </row>
    <row r="5566" spans="7:7">
      <c r="G5566"/>
    </row>
    <row r="5567" spans="7:7">
      <c r="G5567"/>
    </row>
    <row r="5568" spans="7:7">
      <c r="G5568"/>
    </row>
    <row r="5569" spans="7:7">
      <c r="G5569"/>
    </row>
    <row r="5570" spans="7:7">
      <c r="G5570"/>
    </row>
    <row r="5571" spans="7:7">
      <c r="G5571"/>
    </row>
    <row r="5572" spans="7:7">
      <c r="G5572"/>
    </row>
    <row r="5573" spans="7:7">
      <c r="G5573"/>
    </row>
    <row r="5574" spans="7:7">
      <c r="G5574"/>
    </row>
    <row r="5575" spans="7:7">
      <c r="G5575"/>
    </row>
    <row r="5576" spans="7:7">
      <c r="G5576"/>
    </row>
    <row r="5577" spans="7:7">
      <c r="G5577"/>
    </row>
    <row r="5578" spans="7:7">
      <c r="G5578"/>
    </row>
    <row r="5579" spans="7:7">
      <c r="G5579"/>
    </row>
    <row r="5580" spans="7:7">
      <c r="G5580"/>
    </row>
    <row r="5581" spans="7:7">
      <c r="G5581"/>
    </row>
    <row r="5582" spans="7:7">
      <c r="G5582"/>
    </row>
    <row r="5583" spans="7:7">
      <c r="G5583"/>
    </row>
    <row r="5584" spans="7:7">
      <c r="G5584"/>
    </row>
    <row r="5585" spans="7:7">
      <c r="G5585"/>
    </row>
    <row r="5586" spans="7:7">
      <c r="G5586"/>
    </row>
    <row r="5587" spans="7:7">
      <c r="G5587"/>
    </row>
    <row r="5588" spans="7:7">
      <c r="G5588"/>
    </row>
    <row r="5589" spans="7:7">
      <c r="G5589"/>
    </row>
    <row r="5590" spans="7:7">
      <c r="G5590"/>
    </row>
    <row r="5591" spans="7:7">
      <c r="G5591"/>
    </row>
    <row r="5592" spans="7:7">
      <c r="G5592"/>
    </row>
    <row r="5593" spans="7:7">
      <c r="G5593"/>
    </row>
    <row r="5594" spans="7:7">
      <c r="G5594"/>
    </row>
    <row r="5595" spans="7:7">
      <c r="G5595"/>
    </row>
    <row r="5596" spans="7:7">
      <c r="G5596"/>
    </row>
    <row r="5597" spans="7:7">
      <c r="G5597"/>
    </row>
    <row r="5598" spans="7:7">
      <c r="G5598"/>
    </row>
    <row r="5599" spans="7:7">
      <c r="G5599"/>
    </row>
    <row r="5600" spans="7:7">
      <c r="G5600"/>
    </row>
    <row r="5601" spans="7:7">
      <c r="G5601"/>
    </row>
    <row r="5602" spans="7:7">
      <c r="G5602"/>
    </row>
    <row r="5603" spans="7:7">
      <c r="G5603"/>
    </row>
    <row r="5604" spans="7:7">
      <c r="G5604"/>
    </row>
    <row r="5605" spans="7:7">
      <c r="G5605"/>
    </row>
    <row r="5606" spans="7:7">
      <c r="G5606"/>
    </row>
    <row r="5607" spans="7:7">
      <c r="G5607"/>
    </row>
    <row r="5608" spans="7:7">
      <c r="G5608"/>
    </row>
    <row r="5609" spans="7:7">
      <c r="G5609"/>
    </row>
    <row r="5610" spans="7:7">
      <c r="G5610"/>
    </row>
    <row r="5611" spans="7:7">
      <c r="G5611"/>
    </row>
    <row r="5612" spans="7:7">
      <c r="G5612"/>
    </row>
    <row r="5613" spans="7:7">
      <c r="G5613"/>
    </row>
    <row r="5614" spans="7:7">
      <c r="G5614"/>
    </row>
    <row r="5615" spans="7:7">
      <c r="G5615"/>
    </row>
    <row r="5616" spans="7:7">
      <c r="G5616"/>
    </row>
    <row r="5617" spans="7:7">
      <c r="G5617"/>
    </row>
    <row r="5618" spans="7:7">
      <c r="G5618"/>
    </row>
    <row r="5619" spans="7:7">
      <c r="G5619"/>
    </row>
    <row r="5620" spans="7:7">
      <c r="G5620"/>
    </row>
    <row r="5621" spans="7:7">
      <c r="G5621"/>
    </row>
    <row r="5622" spans="7:7">
      <c r="G5622"/>
    </row>
    <row r="5623" spans="7:7">
      <c r="G5623"/>
    </row>
    <row r="5624" spans="7:7">
      <c r="G5624"/>
    </row>
    <row r="5625" spans="7:7">
      <c r="G5625"/>
    </row>
    <row r="5626" spans="7:7">
      <c r="G5626"/>
    </row>
    <row r="5627" spans="7:7">
      <c r="G5627"/>
    </row>
    <row r="5628" spans="7:7">
      <c r="G5628"/>
    </row>
    <row r="5629" spans="7:7">
      <c r="G5629"/>
    </row>
    <row r="5630" spans="7:7">
      <c r="G5630"/>
    </row>
    <row r="5631" spans="7:7">
      <c r="G5631"/>
    </row>
    <row r="5632" spans="7:7">
      <c r="G5632"/>
    </row>
    <row r="5633" spans="7:7">
      <c r="G5633"/>
    </row>
    <row r="5634" spans="7:7">
      <c r="G5634"/>
    </row>
    <row r="5635" spans="7:7">
      <c r="G5635"/>
    </row>
    <row r="5636" spans="7:7">
      <c r="G5636"/>
    </row>
    <row r="5637" spans="7:7">
      <c r="G5637"/>
    </row>
    <row r="5638" spans="7:7">
      <c r="G5638"/>
    </row>
    <row r="5639" spans="7:7">
      <c r="G5639"/>
    </row>
    <row r="5640" spans="7:7">
      <c r="G5640"/>
    </row>
    <row r="5641" spans="7:7">
      <c r="G5641"/>
    </row>
    <row r="5642" spans="7:7">
      <c r="G5642"/>
    </row>
    <row r="5643" spans="7:7">
      <c r="G5643"/>
    </row>
    <row r="5644" spans="7:7">
      <c r="G5644"/>
    </row>
    <row r="5645" spans="7:7">
      <c r="G5645"/>
    </row>
    <row r="5646" spans="7:7">
      <c r="G5646"/>
    </row>
    <row r="5647" spans="7:7">
      <c r="G5647"/>
    </row>
    <row r="5648" spans="7:7">
      <c r="G5648"/>
    </row>
    <row r="5649" spans="7:7">
      <c r="G5649"/>
    </row>
    <row r="5650" spans="7:7">
      <c r="G5650"/>
    </row>
    <row r="5651" spans="7:7">
      <c r="G5651"/>
    </row>
    <row r="5652" spans="7:7">
      <c r="G5652"/>
    </row>
    <row r="5653" spans="7:7">
      <c r="G5653"/>
    </row>
    <row r="5654" spans="7:7">
      <c r="G5654"/>
    </row>
    <row r="5655" spans="7:7">
      <c r="G5655"/>
    </row>
    <row r="5656" spans="7:7">
      <c r="G5656"/>
    </row>
    <row r="5657" spans="7:7">
      <c r="G5657"/>
    </row>
    <row r="5658" spans="7:7">
      <c r="G5658"/>
    </row>
    <row r="5659" spans="7:7">
      <c r="G5659"/>
    </row>
    <row r="5660" spans="7:7">
      <c r="G5660"/>
    </row>
    <row r="5661" spans="7:7">
      <c r="G5661"/>
    </row>
    <row r="5662" spans="7:7">
      <c r="G5662"/>
    </row>
    <row r="5663" spans="7:7">
      <c r="G5663"/>
    </row>
    <row r="5664" spans="7:7">
      <c r="G5664"/>
    </row>
    <row r="5665" spans="7:7">
      <c r="G5665"/>
    </row>
    <row r="5666" spans="7:7">
      <c r="G5666"/>
    </row>
    <row r="5667" spans="7:7">
      <c r="G5667"/>
    </row>
    <row r="5668" spans="7:7">
      <c r="G5668"/>
    </row>
    <row r="5669" spans="7:7">
      <c r="G5669"/>
    </row>
    <row r="5670" spans="7:7">
      <c r="G5670"/>
    </row>
    <row r="5671" spans="7:7">
      <c r="G5671"/>
    </row>
    <row r="5672" spans="7:7">
      <c r="G5672"/>
    </row>
    <row r="5673" spans="7:7">
      <c r="G5673"/>
    </row>
    <row r="5674" spans="7:7">
      <c r="G5674"/>
    </row>
    <row r="5675" spans="7:7">
      <c r="G5675"/>
    </row>
    <row r="5676" spans="7:7">
      <c r="G5676"/>
    </row>
    <row r="5677" spans="7:7">
      <c r="G5677"/>
    </row>
    <row r="5678" spans="7:7">
      <c r="G5678"/>
    </row>
    <row r="5679" spans="7:7">
      <c r="G5679"/>
    </row>
    <row r="5680" spans="7:7">
      <c r="G5680"/>
    </row>
    <row r="5681" spans="7:7">
      <c r="G5681"/>
    </row>
    <row r="5682" spans="7:7">
      <c r="G5682"/>
    </row>
    <row r="5683" spans="7:7">
      <c r="G5683"/>
    </row>
    <row r="5684" spans="7:7">
      <c r="G5684"/>
    </row>
    <row r="5685" spans="7:7">
      <c r="G5685"/>
    </row>
    <row r="5686" spans="7:7">
      <c r="G5686"/>
    </row>
    <row r="5687" spans="7:7">
      <c r="G5687"/>
    </row>
    <row r="5688" spans="7:7">
      <c r="G5688"/>
    </row>
    <row r="5689" spans="7:7">
      <c r="G5689"/>
    </row>
    <row r="5690" spans="7:7">
      <c r="G5690"/>
    </row>
    <row r="5691" spans="7:7">
      <c r="G5691"/>
    </row>
    <row r="5692" spans="7:7">
      <c r="G5692"/>
    </row>
    <row r="5693" spans="7:7">
      <c r="G5693"/>
    </row>
    <row r="5694" spans="7:7">
      <c r="G5694"/>
    </row>
    <row r="5695" spans="7:7">
      <c r="G5695"/>
    </row>
    <row r="5696" spans="7:7">
      <c r="G5696"/>
    </row>
    <row r="5697" spans="7:7">
      <c r="G5697"/>
    </row>
    <row r="5698" spans="7:7">
      <c r="G5698"/>
    </row>
    <row r="5699" spans="7:7">
      <c r="G5699"/>
    </row>
    <row r="5700" spans="7:7">
      <c r="G5700"/>
    </row>
    <row r="5701" spans="7:7">
      <c r="G5701"/>
    </row>
    <row r="5702" spans="7:7">
      <c r="G5702"/>
    </row>
    <row r="5703" spans="7:7">
      <c r="G5703"/>
    </row>
    <row r="5704" spans="7:7">
      <c r="G5704"/>
    </row>
    <row r="5705" spans="7:7">
      <c r="G5705"/>
    </row>
    <row r="5706" spans="7:7">
      <c r="G5706"/>
    </row>
    <row r="5707" spans="7:7">
      <c r="G5707"/>
    </row>
    <row r="5708" spans="7:7">
      <c r="G5708"/>
    </row>
    <row r="5709" spans="7:7">
      <c r="G5709"/>
    </row>
    <row r="5710" spans="7:7">
      <c r="G5710"/>
    </row>
    <row r="5711" spans="7:7">
      <c r="G5711"/>
    </row>
    <row r="5712" spans="7:7">
      <c r="G5712"/>
    </row>
    <row r="5713" spans="7:7">
      <c r="G5713"/>
    </row>
    <row r="5714" spans="7:7">
      <c r="G5714"/>
    </row>
    <row r="5715" spans="7:7">
      <c r="G5715"/>
    </row>
    <row r="5716" spans="7:7">
      <c r="G5716"/>
    </row>
    <row r="5717" spans="7:7">
      <c r="G5717"/>
    </row>
    <row r="5718" spans="7:7">
      <c r="G5718"/>
    </row>
    <row r="5719" spans="7:7">
      <c r="G5719"/>
    </row>
    <row r="5720" spans="7:7">
      <c r="G5720"/>
    </row>
    <row r="5721" spans="7:7">
      <c r="G5721"/>
    </row>
    <row r="5722" spans="7:7">
      <c r="G5722"/>
    </row>
    <row r="5723" spans="7:7">
      <c r="G5723"/>
    </row>
    <row r="5724" spans="7:7">
      <c r="G5724"/>
    </row>
    <row r="5725" spans="7:7">
      <c r="G5725"/>
    </row>
    <row r="5726" spans="7:7">
      <c r="G5726"/>
    </row>
    <row r="5727" spans="7:7">
      <c r="G5727"/>
    </row>
    <row r="5728" spans="7:7">
      <c r="G5728"/>
    </row>
    <row r="5729" spans="7:7">
      <c r="G5729"/>
    </row>
    <row r="5730" spans="7:7">
      <c r="G5730"/>
    </row>
    <row r="5731" spans="7:7">
      <c r="G5731"/>
    </row>
    <row r="5732" spans="7:7">
      <c r="G5732"/>
    </row>
    <row r="5733" spans="7:7">
      <c r="G5733"/>
    </row>
    <row r="5734" spans="7:7">
      <c r="G5734"/>
    </row>
    <row r="5735" spans="7:7">
      <c r="G5735"/>
    </row>
    <row r="5736" spans="7:7">
      <c r="G5736"/>
    </row>
    <row r="5737" spans="7:7">
      <c r="G5737"/>
    </row>
    <row r="5738" spans="7:7">
      <c r="G5738"/>
    </row>
    <row r="5739" spans="7:7">
      <c r="G5739"/>
    </row>
    <row r="5740" spans="7:7">
      <c r="G5740"/>
    </row>
    <row r="5741" spans="7:7">
      <c r="G5741"/>
    </row>
    <row r="5742" spans="7:7">
      <c r="G5742"/>
    </row>
    <row r="5743" spans="7:7">
      <c r="G5743"/>
    </row>
    <row r="5744" spans="7:7">
      <c r="G5744"/>
    </row>
    <row r="5745" spans="7:7">
      <c r="G5745"/>
    </row>
    <row r="5746" spans="7:7">
      <c r="G5746"/>
    </row>
    <row r="5747" spans="7:7">
      <c r="G5747"/>
    </row>
    <row r="5748" spans="7:7">
      <c r="G5748"/>
    </row>
    <row r="5749" spans="7:7">
      <c r="G5749"/>
    </row>
    <row r="5750" spans="7:7">
      <c r="G5750"/>
    </row>
    <row r="5751" spans="7:7">
      <c r="G5751"/>
    </row>
    <row r="5752" spans="7:7">
      <c r="G5752"/>
    </row>
    <row r="5753" spans="7:7">
      <c r="G5753"/>
    </row>
    <row r="5754" spans="7:7">
      <c r="G5754"/>
    </row>
    <row r="5755" spans="7:7">
      <c r="G5755"/>
    </row>
    <row r="5756" spans="7:7">
      <c r="G5756"/>
    </row>
    <row r="5757" spans="7:7">
      <c r="G5757"/>
    </row>
    <row r="5758" spans="7:7">
      <c r="G5758"/>
    </row>
    <row r="5759" spans="7:7">
      <c r="G5759"/>
    </row>
    <row r="5760" spans="7:7">
      <c r="G5760"/>
    </row>
    <row r="5761" spans="7:7">
      <c r="G5761"/>
    </row>
    <row r="5762" spans="7:7">
      <c r="G5762"/>
    </row>
    <row r="5763" spans="7:7">
      <c r="G5763"/>
    </row>
    <row r="5764" spans="7:7">
      <c r="G5764"/>
    </row>
    <row r="5765" spans="7:7">
      <c r="G5765"/>
    </row>
    <row r="5766" spans="7:7">
      <c r="G5766"/>
    </row>
    <row r="5767" spans="7:7">
      <c r="G5767"/>
    </row>
    <row r="5768" spans="7:7">
      <c r="G5768"/>
    </row>
    <row r="5769" spans="7:7">
      <c r="G5769"/>
    </row>
    <row r="5770" spans="7:7">
      <c r="G5770"/>
    </row>
    <row r="5771" spans="7:7">
      <c r="G5771"/>
    </row>
    <row r="5772" spans="7:7">
      <c r="G5772"/>
    </row>
    <row r="5773" spans="7:7">
      <c r="G5773"/>
    </row>
    <row r="5774" spans="7:7">
      <c r="G5774"/>
    </row>
    <row r="5775" spans="7:7">
      <c r="G5775"/>
    </row>
    <row r="5776" spans="7:7">
      <c r="G5776"/>
    </row>
    <row r="5777" spans="7:7">
      <c r="G5777"/>
    </row>
    <row r="5778" spans="7:7">
      <c r="G5778"/>
    </row>
    <row r="5779" spans="7:7">
      <c r="G5779"/>
    </row>
    <row r="5780" spans="7:7">
      <c r="G5780"/>
    </row>
    <row r="5781" spans="7:7">
      <c r="G5781"/>
    </row>
    <row r="5782" spans="7:7">
      <c r="G5782"/>
    </row>
    <row r="5783" spans="7:7">
      <c r="G5783"/>
    </row>
    <row r="5784" spans="7:7">
      <c r="G5784"/>
    </row>
    <row r="5785" spans="7:7">
      <c r="G5785"/>
    </row>
    <row r="5786" spans="7:7">
      <c r="G5786"/>
    </row>
    <row r="5787" spans="7:7">
      <c r="G5787"/>
    </row>
    <row r="5788" spans="7:7">
      <c r="G5788"/>
    </row>
    <row r="5789" spans="7:7">
      <c r="G5789"/>
    </row>
    <row r="5790" spans="7:7">
      <c r="G5790"/>
    </row>
    <row r="5791" spans="7:7">
      <c r="G5791"/>
    </row>
    <row r="5792" spans="7:7">
      <c r="G5792"/>
    </row>
    <row r="5793" spans="7:7">
      <c r="G5793"/>
    </row>
    <row r="5794" spans="7:7">
      <c r="G5794"/>
    </row>
    <row r="5795" spans="7:7">
      <c r="G5795"/>
    </row>
    <row r="5796" spans="7:7">
      <c r="G5796"/>
    </row>
    <row r="5797" spans="7:7">
      <c r="G5797"/>
    </row>
    <row r="5798" spans="7:7">
      <c r="G5798"/>
    </row>
    <row r="5799" spans="7:7">
      <c r="G5799"/>
    </row>
    <row r="5800" spans="7:7">
      <c r="G5800"/>
    </row>
    <row r="5801" spans="7:7">
      <c r="G5801"/>
    </row>
    <row r="5802" spans="7:7">
      <c r="G5802"/>
    </row>
    <row r="5803" spans="7:7">
      <c r="G5803"/>
    </row>
    <row r="5804" spans="7:7">
      <c r="G5804"/>
    </row>
    <row r="5805" spans="7:7">
      <c r="G5805"/>
    </row>
    <row r="5806" spans="7:7">
      <c r="G5806"/>
    </row>
    <row r="5807" spans="7:7">
      <c r="G5807"/>
    </row>
    <row r="5808" spans="7:7">
      <c r="G5808"/>
    </row>
    <row r="5809" spans="7:7">
      <c r="G5809"/>
    </row>
    <row r="5810" spans="7:7">
      <c r="G5810"/>
    </row>
    <row r="5811" spans="7:7">
      <c r="G5811"/>
    </row>
    <row r="5812" spans="7:7">
      <c r="G5812"/>
    </row>
    <row r="5813" spans="7:7">
      <c r="G5813"/>
    </row>
    <row r="5814" spans="7:7">
      <c r="G5814"/>
    </row>
    <row r="5815" spans="7:7">
      <c r="G5815"/>
    </row>
    <row r="5816" spans="7:7">
      <c r="G5816"/>
    </row>
    <row r="5817" spans="7:7">
      <c r="G5817"/>
    </row>
    <row r="5818" spans="7:7">
      <c r="G5818"/>
    </row>
    <row r="5819" spans="7:7">
      <c r="G5819"/>
    </row>
    <row r="5820" spans="7:7">
      <c r="G5820"/>
    </row>
    <row r="5821" spans="7:7">
      <c r="G5821"/>
    </row>
    <row r="5822" spans="7:7">
      <c r="G5822"/>
    </row>
    <row r="5823" spans="7:7">
      <c r="G5823"/>
    </row>
    <row r="5824" spans="7:7">
      <c r="G5824"/>
    </row>
    <row r="5825" spans="7:7">
      <c r="G5825"/>
    </row>
    <row r="5826" spans="7:7">
      <c r="G5826"/>
    </row>
    <row r="5827" spans="7:7">
      <c r="G5827"/>
    </row>
    <row r="5828" spans="7:7">
      <c r="G5828"/>
    </row>
    <row r="5829" spans="7:7">
      <c r="G5829"/>
    </row>
    <row r="5830" spans="7:7">
      <c r="G5830"/>
    </row>
    <row r="5831" spans="7:7">
      <c r="G5831"/>
    </row>
    <row r="5832" spans="7:7">
      <c r="G5832"/>
    </row>
    <row r="5833" spans="7:7">
      <c r="G5833"/>
    </row>
    <row r="5834" spans="7:7">
      <c r="G5834"/>
    </row>
    <row r="5835" spans="7:7">
      <c r="G5835"/>
    </row>
    <row r="5836" spans="7:7">
      <c r="G5836"/>
    </row>
    <row r="5837" spans="7:7">
      <c r="G5837"/>
    </row>
    <row r="5838" spans="7:7">
      <c r="G5838"/>
    </row>
    <row r="5839" spans="7:7">
      <c r="G5839"/>
    </row>
    <row r="5840" spans="7:7">
      <c r="G5840"/>
    </row>
    <row r="5841" spans="7:7">
      <c r="G5841"/>
    </row>
    <row r="5842" spans="7:7">
      <c r="G5842"/>
    </row>
    <row r="5843" spans="7:7">
      <c r="G5843"/>
    </row>
    <row r="5844" spans="7:7">
      <c r="G5844"/>
    </row>
    <row r="5845" spans="7:7">
      <c r="G5845"/>
    </row>
    <row r="5846" spans="7:7">
      <c r="G5846"/>
    </row>
    <row r="5847" spans="7:7">
      <c r="G5847"/>
    </row>
    <row r="5848" spans="7:7">
      <c r="G5848"/>
    </row>
    <row r="5849" spans="7:7">
      <c r="G5849"/>
    </row>
    <row r="5850" spans="7:7">
      <c r="G5850"/>
    </row>
    <row r="5851" spans="7:7">
      <c r="G5851"/>
    </row>
    <row r="5852" spans="7:7">
      <c r="G5852"/>
    </row>
    <row r="5853" spans="7:7">
      <c r="G5853"/>
    </row>
    <row r="5854" spans="7:7">
      <c r="G5854"/>
    </row>
    <row r="5855" spans="7:7">
      <c r="G5855"/>
    </row>
    <row r="5856" spans="7:7">
      <c r="G5856"/>
    </row>
    <row r="5857" spans="7:7">
      <c r="G5857"/>
    </row>
    <row r="5858" spans="7:7">
      <c r="G5858"/>
    </row>
    <row r="5859" spans="7:7">
      <c r="G5859"/>
    </row>
    <row r="5860" spans="7:7">
      <c r="G5860"/>
    </row>
    <row r="5861" spans="7:7">
      <c r="G5861"/>
    </row>
    <row r="5862" spans="7:7">
      <c r="G5862"/>
    </row>
    <row r="5863" spans="7:7">
      <c r="G5863"/>
    </row>
    <row r="5864" spans="7:7">
      <c r="G5864"/>
    </row>
    <row r="5865" spans="7:7">
      <c r="G5865"/>
    </row>
    <row r="5866" spans="7:7">
      <c r="G5866"/>
    </row>
    <row r="5867" spans="7:7">
      <c r="G5867"/>
    </row>
    <row r="5868" spans="7:7">
      <c r="G5868"/>
    </row>
    <row r="5869" spans="7:7">
      <c r="G5869"/>
    </row>
    <row r="5870" spans="7:7">
      <c r="G5870"/>
    </row>
    <row r="5871" spans="7:7">
      <c r="G5871"/>
    </row>
    <row r="5872" spans="7:7">
      <c r="G5872"/>
    </row>
    <row r="5873" spans="7:7">
      <c r="G5873"/>
    </row>
    <row r="5874" spans="7:7">
      <c r="G5874"/>
    </row>
    <row r="5875" spans="7:7">
      <c r="G5875"/>
    </row>
    <row r="5876" spans="7:7">
      <c r="G5876"/>
    </row>
    <row r="5877" spans="7:7">
      <c r="G5877"/>
    </row>
    <row r="5878" spans="7:7">
      <c r="G5878"/>
    </row>
    <row r="5879" spans="7:7">
      <c r="G5879"/>
    </row>
    <row r="5880" spans="7:7">
      <c r="G5880"/>
    </row>
    <row r="5881" spans="7:7">
      <c r="G5881"/>
    </row>
    <row r="5882" spans="7:7">
      <c r="G5882"/>
    </row>
    <row r="5883" spans="7:7">
      <c r="G5883"/>
    </row>
    <row r="5884" spans="7:7">
      <c r="G5884"/>
    </row>
    <row r="5885" spans="7:7">
      <c r="G5885"/>
    </row>
    <row r="5886" spans="7:7">
      <c r="G5886"/>
    </row>
    <row r="5887" spans="7:7">
      <c r="G5887"/>
    </row>
    <row r="5888" spans="7:7">
      <c r="G5888"/>
    </row>
    <row r="5889" spans="7:7">
      <c r="G5889"/>
    </row>
    <row r="5890" spans="7:7">
      <c r="G5890"/>
    </row>
    <row r="5891" spans="7:7">
      <c r="G5891"/>
    </row>
    <row r="5892" spans="7:7">
      <c r="G5892"/>
    </row>
    <row r="5893" spans="7:7">
      <c r="G5893"/>
    </row>
    <row r="5894" spans="7:7">
      <c r="G5894"/>
    </row>
    <row r="5895" spans="7:7">
      <c r="G5895"/>
    </row>
    <row r="5896" spans="7:7">
      <c r="G5896"/>
    </row>
    <row r="5897" spans="7:7">
      <c r="G5897"/>
    </row>
    <row r="5898" spans="7:7">
      <c r="G5898"/>
    </row>
    <row r="5899" spans="7:7">
      <c r="G5899"/>
    </row>
    <row r="5900" spans="7:7">
      <c r="G5900"/>
    </row>
    <row r="5901" spans="7:7">
      <c r="G5901"/>
    </row>
    <row r="5902" spans="7:7">
      <c r="G5902"/>
    </row>
    <row r="5903" spans="7:7">
      <c r="G5903"/>
    </row>
    <row r="5904" spans="7:7">
      <c r="G5904"/>
    </row>
    <row r="5905" spans="7:7">
      <c r="G5905"/>
    </row>
    <row r="5906" spans="7:7">
      <c r="G5906"/>
    </row>
    <row r="5907" spans="7:7">
      <c r="G5907"/>
    </row>
    <row r="5908" spans="7:7">
      <c r="G5908"/>
    </row>
    <row r="5909" spans="7:7">
      <c r="G5909"/>
    </row>
    <row r="5910" spans="7:7">
      <c r="G5910"/>
    </row>
    <row r="5911" spans="7:7">
      <c r="G5911"/>
    </row>
    <row r="5912" spans="7:7">
      <c r="G5912"/>
    </row>
    <row r="5913" spans="7:7">
      <c r="G5913"/>
    </row>
    <row r="5914" spans="7:7">
      <c r="G5914"/>
    </row>
    <row r="5915" spans="7:7">
      <c r="G5915"/>
    </row>
    <row r="5916" spans="7:7">
      <c r="G5916"/>
    </row>
    <row r="5917" spans="7:7">
      <c r="G5917"/>
    </row>
    <row r="5918" spans="7:7">
      <c r="G5918"/>
    </row>
    <row r="5919" spans="7:7">
      <c r="G5919"/>
    </row>
    <row r="5920" spans="7:7">
      <c r="G5920"/>
    </row>
    <row r="5921" spans="7:7">
      <c r="G5921"/>
    </row>
    <row r="5922" spans="7:7">
      <c r="G5922"/>
    </row>
    <row r="5923" spans="7:7">
      <c r="G5923"/>
    </row>
    <row r="5924" spans="7:7">
      <c r="G5924"/>
    </row>
    <row r="5925" spans="7:7">
      <c r="G5925"/>
    </row>
    <row r="5926" spans="7:7">
      <c r="G5926"/>
    </row>
    <row r="5927" spans="7:7">
      <c r="G5927"/>
    </row>
    <row r="5928" spans="7:7">
      <c r="G5928"/>
    </row>
    <row r="5929" spans="7:7">
      <c r="G5929"/>
    </row>
    <row r="5930" spans="7:7">
      <c r="G5930"/>
    </row>
    <row r="5931" spans="7:7">
      <c r="G5931"/>
    </row>
    <row r="5932" spans="7:7">
      <c r="G5932"/>
    </row>
    <row r="5933" spans="7:7">
      <c r="G5933"/>
    </row>
    <row r="5934" spans="7:7">
      <c r="G5934"/>
    </row>
    <row r="5935" spans="7:7">
      <c r="G5935"/>
    </row>
    <row r="5936" spans="7:7">
      <c r="G5936"/>
    </row>
    <row r="5937" spans="7:7">
      <c r="G5937"/>
    </row>
    <row r="5938" spans="7:7">
      <c r="G5938"/>
    </row>
    <row r="5939" spans="7:7">
      <c r="G5939"/>
    </row>
    <row r="5940" spans="7:7">
      <c r="G5940"/>
    </row>
    <row r="5941" spans="7:7">
      <c r="G5941"/>
    </row>
    <row r="5942" spans="7:7">
      <c r="G5942"/>
    </row>
    <row r="5943" spans="7:7">
      <c r="G5943"/>
    </row>
    <row r="5944" spans="7:7">
      <c r="G5944"/>
    </row>
    <row r="5945" spans="7:7">
      <c r="G5945"/>
    </row>
    <row r="5946" spans="7:7">
      <c r="G5946"/>
    </row>
    <row r="5947" spans="7:7">
      <c r="G5947"/>
    </row>
    <row r="5948" spans="7:7">
      <c r="G5948"/>
    </row>
    <row r="5949" spans="7:7">
      <c r="G5949"/>
    </row>
    <row r="5950" spans="7:7">
      <c r="G5950"/>
    </row>
    <row r="5951" spans="7:7">
      <c r="G5951"/>
    </row>
    <row r="5952" spans="7:7">
      <c r="G5952"/>
    </row>
    <row r="5953" spans="7:7">
      <c r="G5953"/>
    </row>
    <row r="5954" spans="7:7">
      <c r="G5954"/>
    </row>
    <row r="5955" spans="7:7">
      <c r="G5955"/>
    </row>
    <row r="5956" spans="7:7">
      <c r="G5956"/>
    </row>
    <row r="5957" spans="7:7">
      <c r="G5957"/>
    </row>
    <row r="5958" spans="7:7">
      <c r="G5958"/>
    </row>
    <row r="5959" spans="7:7">
      <c r="G5959"/>
    </row>
    <row r="5960" spans="7:7">
      <c r="G5960"/>
    </row>
    <row r="5961" spans="7:7">
      <c r="G5961"/>
    </row>
    <row r="5962" spans="7:7">
      <c r="G5962"/>
    </row>
    <row r="5963" spans="7:7">
      <c r="G5963"/>
    </row>
    <row r="5964" spans="7:7">
      <c r="G5964"/>
    </row>
    <row r="5965" spans="7:7">
      <c r="G5965"/>
    </row>
    <row r="5966" spans="7:7">
      <c r="G5966"/>
    </row>
    <row r="5967" spans="7:7">
      <c r="G5967"/>
    </row>
    <row r="5968" spans="7:7">
      <c r="G5968"/>
    </row>
    <row r="5969" spans="7:7">
      <c r="G5969"/>
    </row>
    <row r="5970" spans="7:7">
      <c r="G5970"/>
    </row>
    <row r="5971" spans="7:7">
      <c r="G5971"/>
    </row>
    <row r="5972" spans="7:7">
      <c r="G5972"/>
    </row>
    <row r="5973" spans="7:7">
      <c r="G5973"/>
    </row>
    <row r="5974" spans="7:7">
      <c r="G5974"/>
    </row>
    <row r="5975" spans="7:7">
      <c r="G5975"/>
    </row>
    <row r="5976" spans="7:7">
      <c r="G5976"/>
    </row>
    <row r="5977" spans="7:7">
      <c r="G5977"/>
    </row>
    <row r="5978" spans="7:7">
      <c r="G5978"/>
    </row>
    <row r="5979" spans="7:7">
      <c r="G5979"/>
    </row>
    <row r="5980" spans="7:7">
      <c r="G5980"/>
    </row>
    <row r="5981" spans="7:7">
      <c r="G5981"/>
    </row>
    <row r="5982" spans="7:7">
      <c r="G5982"/>
    </row>
    <row r="5983" spans="7:7">
      <c r="G5983"/>
    </row>
    <row r="5984" spans="7:7">
      <c r="G5984"/>
    </row>
    <row r="5985" spans="7:7">
      <c r="G5985"/>
    </row>
    <row r="5986" spans="7:7">
      <c r="G5986"/>
    </row>
    <row r="5987" spans="7:7">
      <c r="G5987"/>
    </row>
    <row r="5988" spans="7:7">
      <c r="G5988"/>
    </row>
    <row r="5989" spans="7:7">
      <c r="G5989"/>
    </row>
    <row r="5990" spans="7:7">
      <c r="G5990"/>
    </row>
    <row r="5991" spans="7:7">
      <c r="G5991"/>
    </row>
    <row r="5992" spans="7:7">
      <c r="G5992"/>
    </row>
    <row r="5993" spans="7:7">
      <c r="G5993"/>
    </row>
    <row r="5994" spans="7:7">
      <c r="G5994"/>
    </row>
    <row r="5995" spans="7:7">
      <c r="G5995"/>
    </row>
    <row r="5996" spans="7:7">
      <c r="G5996"/>
    </row>
    <row r="5997" spans="7:7">
      <c r="G5997"/>
    </row>
    <row r="5998" spans="7:7">
      <c r="G5998"/>
    </row>
    <row r="5999" spans="7:7">
      <c r="G5999"/>
    </row>
    <row r="6000" spans="7:7">
      <c r="G6000"/>
    </row>
    <row r="6001" spans="7:7">
      <c r="G6001"/>
    </row>
    <row r="6002" spans="7:7">
      <c r="G6002"/>
    </row>
    <row r="6003" spans="7:7">
      <c r="G6003"/>
    </row>
    <row r="6004" spans="7:7">
      <c r="G6004"/>
    </row>
    <row r="6005" spans="7:7">
      <c r="G6005"/>
    </row>
    <row r="6006" spans="7:7">
      <c r="G6006"/>
    </row>
    <row r="6007" spans="7:7">
      <c r="G6007"/>
    </row>
    <row r="6008" spans="7:7">
      <c r="G6008"/>
    </row>
    <row r="6009" spans="7:7">
      <c r="G6009"/>
    </row>
    <row r="6010" spans="7:7">
      <c r="G6010"/>
    </row>
    <row r="6011" spans="7:7">
      <c r="G6011"/>
    </row>
    <row r="6012" spans="7:7">
      <c r="G6012"/>
    </row>
    <row r="6013" spans="7:7">
      <c r="G6013"/>
    </row>
    <row r="6014" spans="7:7">
      <c r="G6014"/>
    </row>
    <row r="6015" spans="7:7">
      <c r="G6015"/>
    </row>
    <row r="6016" spans="7:7">
      <c r="G6016"/>
    </row>
    <row r="6017" spans="7:7">
      <c r="G6017"/>
    </row>
    <row r="6018" spans="7:7">
      <c r="G6018"/>
    </row>
    <row r="6019" spans="7:7">
      <c r="G6019"/>
    </row>
    <row r="6020" spans="7:7">
      <c r="G6020"/>
    </row>
    <row r="6021" spans="7:7">
      <c r="G6021"/>
    </row>
    <row r="6022" spans="7:7">
      <c r="G6022"/>
    </row>
    <row r="6023" spans="7:7">
      <c r="G6023"/>
    </row>
    <row r="6024" spans="7:7">
      <c r="G6024"/>
    </row>
    <row r="6025" spans="7:7">
      <c r="G6025"/>
    </row>
    <row r="6026" spans="7:7">
      <c r="G6026"/>
    </row>
    <row r="6027" spans="7:7">
      <c r="G6027"/>
    </row>
    <row r="6028" spans="7:7">
      <c r="G6028"/>
    </row>
    <row r="6029" spans="7:7">
      <c r="G6029"/>
    </row>
    <row r="6030" spans="7:7">
      <c r="G6030"/>
    </row>
    <row r="6031" spans="7:7">
      <c r="G6031"/>
    </row>
    <row r="6032" spans="7:7">
      <c r="G6032"/>
    </row>
    <row r="6033" spans="7:7">
      <c r="G6033"/>
    </row>
    <row r="6034" spans="7:7">
      <c r="G6034"/>
    </row>
    <row r="6035" spans="7:7">
      <c r="G6035"/>
    </row>
    <row r="6036" spans="7:7">
      <c r="G6036"/>
    </row>
    <row r="6037" spans="7:7">
      <c r="G6037"/>
    </row>
    <row r="6038" spans="7:7">
      <c r="G6038"/>
    </row>
    <row r="6039" spans="7:7">
      <c r="G6039"/>
    </row>
    <row r="6040" spans="7:7">
      <c r="G6040"/>
    </row>
    <row r="6041" spans="7:7">
      <c r="G6041"/>
    </row>
    <row r="6042" spans="7:7">
      <c r="G6042"/>
    </row>
    <row r="6043" spans="7:7">
      <c r="G6043"/>
    </row>
    <row r="6044" spans="7:7">
      <c r="G6044"/>
    </row>
    <row r="6045" spans="7:7">
      <c r="G6045"/>
    </row>
    <row r="6046" spans="7:7">
      <c r="G6046"/>
    </row>
    <row r="6047" spans="7:7">
      <c r="G6047"/>
    </row>
    <row r="6048" spans="7:7">
      <c r="G6048"/>
    </row>
    <row r="6049" spans="7:7">
      <c r="G6049"/>
    </row>
    <row r="6050" spans="7:7">
      <c r="G6050"/>
    </row>
    <row r="6051" spans="7:7">
      <c r="G6051"/>
    </row>
    <row r="6052" spans="7:7">
      <c r="G6052"/>
    </row>
    <row r="6053" spans="7:7">
      <c r="G6053"/>
    </row>
    <row r="6054" spans="7:7">
      <c r="G6054"/>
    </row>
    <row r="6055" spans="7:7">
      <c r="G6055"/>
    </row>
    <row r="6056" spans="7:7">
      <c r="G6056"/>
    </row>
    <row r="6057" spans="7:7">
      <c r="G6057"/>
    </row>
    <row r="6058" spans="7:7">
      <c r="G6058"/>
    </row>
    <row r="6059" spans="7:7">
      <c r="G6059"/>
    </row>
    <row r="6060" spans="7:7">
      <c r="G6060"/>
    </row>
    <row r="6061" spans="7:7">
      <c r="G6061"/>
    </row>
    <row r="6062" spans="7:7">
      <c r="G6062"/>
    </row>
    <row r="6063" spans="7:7">
      <c r="G6063"/>
    </row>
    <row r="6064" spans="7:7">
      <c r="G6064"/>
    </row>
    <row r="6065" spans="7:7">
      <c r="G6065"/>
    </row>
    <row r="6066" spans="7:7">
      <c r="G6066"/>
    </row>
    <row r="6067" spans="7:7">
      <c r="G6067"/>
    </row>
    <row r="6068" spans="7:7">
      <c r="G6068"/>
    </row>
    <row r="6069" spans="7:7">
      <c r="G6069"/>
    </row>
    <row r="6070" spans="7:7">
      <c r="G6070"/>
    </row>
    <row r="6071" spans="7:7">
      <c r="G6071"/>
    </row>
    <row r="6072" spans="7:7">
      <c r="G6072"/>
    </row>
    <row r="6073" spans="7:7">
      <c r="G6073"/>
    </row>
    <row r="6074" spans="7:7">
      <c r="G6074"/>
    </row>
    <row r="6075" spans="7:7">
      <c r="G6075"/>
    </row>
    <row r="6076" spans="7:7">
      <c r="G6076"/>
    </row>
    <row r="6077" spans="7:7">
      <c r="G6077"/>
    </row>
    <row r="6078" spans="7:7">
      <c r="G6078"/>
    </row>
    <row r="6079" spans="7:7">
      <c r="G6079"/>
    </row>
    <row r="6080" spans="7:7">
      <c r="G6080"/>
    </row>
    <row r="6081" spans="7:7">
      <c r="G6081"/>
    </row>
    <row r="6082" spans="7:7">
      <c r="G6082"/>
    </row>
    <row r="6083" spans="7:7">
      <c r="G6083"/>
    </row>
    <row r="6084" spans="7:7">
      <c r="G6084"/>
    </row>
    <row r="6085" spans="7:7">
      <c r="G6085"/>
    </row>
    <row r="6086" spans="7:7">
      <c r="G6086"/>
    </row>
    <row r="6087" spans="7:7">
      <c r="G6087"/>
    </row>
    <row r="6088" spans="7:7">
      <c r="G6088"/>
    </row>
    <row r="6089" spans="7:7">
      <c r="G6089"/>
    </row>
    <row r="6090" spans="7:7">
      <c r="G6090"/>
    </row>
    <row r="6091" spans="7:7">
      <c r="G6091"/>
    </row>
    <row r="6092" spans="7:7">
      <c r="G6092"/>
    </row>
    <row r="6093" spans="7:7">
      <c r="G6093"/>
    </row>
    <row r="6094" spans="7:7">
      <c r="G6094"/>
    </row>
    <row r="6095" spans="7:7">
      <c r="G6095"/>
    </row>
    <row r="6096" spans="7:7">
      <c r="G6096"/>
    </row>
    <row r="6097" spans="7:7">
      <c r="G6097"/>
    </row>
    <row r="6098" spans="7:7">
      <c r="G6098"/>
    </row>
    <row r="6099" spans="7:7">
      <c r="G6099"/>
    </row>
    <row r="6100" spans="7:7">
      <c r="G6100"/>
    </row>
    <row r="6101" spans="7:7">
      <c r="G6101"/>
    </row>
    <row r="6102" spans="7:7">
      <c r="G6102"/>
    </row>
    <row r="6103" spans="7:7">
      <c r="G6103"/>
    </row>
    <row r="6104" spans="7:7">
      <c r="G6104"/>
    </row>
    <row r="6105" spans="7:7">
      <c r="G6105"/>
    </row>
    <row r="6106" spans="7:7">
      <c r="G6106"/>
    </row>
    <row r="6107" spans="7:7">
      <c r="G6107"/>
    </row>
    <row r="6108" spans="7:7">
      <c r="G6108"/>
    </row>
    <row r="6109" spans="7:7">
      <c r="G6109"/>
    </row>
    <row r="6110" spans="7:7">
      <c r="G6110"/>
    </row>
    <row r="6111" spans="7:7">
      <c r="G6111"/>
    </row>
    <row r="6112" spans="7:7">
      <c r="G6112"/>
    </row>
    <row r="6113" spans="7:7">
      <c r="G6113"/>
    </row>
    <row r="6114" spans="7:7">
      <c r="G6114"/>
    </row>
    <row r="6115" spans="7:7">
      <c r="G6115"/>
    </row>
    <row r="6116" spans="7:7">
      <c r="G6116"/>
    </row>
    <row r="6117" spans="7:7">
      <c r="G6117"/>
    </row>
    <row r="6118" spans="7:7">
      <c r="G6118"/>
    </row>
    <row r="6119" spans="7:7">
      <c r="G6119"/>
    </row>
    <row r="6120" spans="7:7">
      <c r="G6120"/>
    </row>
    <row r="6121" spans="7:7">
      <c r="G6121"/>
    </row>
    <row r="6122" spans="7:7">
      <c r="G6122"/>
    </row>
    <row r="6123" spans="7:7">
      <c r="G6123"/>
    </row>
    <row r="6124" spans="7:7">
      <c r="G6124"/>
    </row>
    <row r="6125" spans="7:7">
      <c r="G6125"/>
    </row>
    <row r="6126" spans="7:7">
      <c r="G6126"/>
    </row>
    <row r="6127" spans="7:7">
      <c r="G6127"/>
    </row>
    <row r="6128" spans="7:7">
      <c r="G6128"/>
    </row>
    <row r="6129" spans="7:7">
      <c r="G6129"/>
    </row>
    <row r="6130" spans="7:7">
      <c r="G6130"/>
    </row>
    <row r="6131" spans="7:7">
      <c r="G6131"/>
    </row>
    <row r="6132" spans="7:7">
      <c r="G6132"/>
    </row>
    <row r="6133" spans="7:7">
      <c r="G6133"/>
    </row>
    <row r="6134" spans="7:7">
      <c r="G6134"/>
    </row>
    <row r="6135" spans="7:7">
      <c r="G6135"/>
    </row>
    <row r="6136" spans="7:7">
      <c r="G6136"/>
    </row>
    <row r="6137" spans="7:7">
      <c r="G6137"/>
    </row>
    <row r="6138" spans="7:7">
      <c r="G6138"/>
    </row>
    <row r="6139" spans="7:7">
      <c r="G6139"/>
    </row>
    <row r="6140" spans="7:7">
      <c r="G6140"/>
    </row>
    <row r="6141" spans="7:7">
      <c r="G6141"/>
    </row>
    <row r="6142" spans="7:7">
      <c r="G6142"/>
    </row>
    <row r="6143" spans="7:7">
      <c r="G6143"/>
    </row>
    <row r="6144" spans="7:7">
      <c r="G6144"/>
    </row>
    <row r="6145" spans="7:7">
      <c r="G6145"/>
    </row>
    <row r="6146" spans="7:7">
      <c r="G6146"/>
    </row>
    <row r="6147" spans="7:7">
      <c r="G6147"/>
    </row>
    <row r="6148" spans="7:7">
      <c r="G6148"/>
    </row>
    <row r="6149" spans="7:7">
      <c r="G6149"/>
    </row>
    <row r="6150" spans="7:7">
      <c r="G6150"/>
    </row>
    <row r="6151" spans="7:7">
      <c r="G6151"/>
    </row>
    <row r="6152" spans="7:7">
      <c r="G6152"/>
    </row>
    <row r="6153" spans="7:7">
      <c r="G6153"/>
    </row>
    <row r="6154" spans="7:7">
      <c r="G6154"/>
    </row>
    <row r="6155" spans="7:7">
      <c r="G6155"/>
    </row>
    <row r="6156" spans="7:7">
      <c r="G6156"/>
    </row>
    <row r="6157" spans="7:7">
      <c r="G6157"/>
    </row>
    <row r="6158" spans="7:7">
      <c r="G6158"/>
    </row>
    <row r="6159" spans="7:7">
      <c r="G6159"/>
    </row>
    <row r="6160" spans="7:7">
      <c r="G6160"/>
    </row>
    <row r="6161" spans="7:7">
      <c r="G6161"/>
    </row>
    <row r="6162" spans="7:7">
      <c r="G6162"/>
    </row>
    <row r="6163" spans="7:7">
      <c r="G6163"/>
    </row>
    <row r="6164" spans="7:7">
      <c r="G6164"/>
    </row>
    <row r="6165" spans="7:7">
      <c r="G6165"/>
    </row>
    <row r="6166" spans="7:7">
      <c r="G6166"/>
    </row>
    <row r="6167" spans="7:7">
      <c r="G6167"/>
    </row>
    <row r="6168" spans="7:7">
      <c r="G6168"/>
    </row>
    <row r="6169" spans="7:7">
      <c r="G6169"/>
    </row>
    <row r="6170" spans="7:7">
      <c r="G6170"/>
    </row>
    <row r="6171" spans="7:7">
      <c r="G6171"/>
    </row>
    <row r="6172" spans="7:7">
      <c r="G6172"/>
    </row>
    <row r="6173" spans="7:7">
      <c r="G6173"/>
    </row>
    <row r="6174" spans="7:7">
      <c r="G6174"/>
    </row>
    <row r="6175" spans="7:7">
      <c r="G6175"/>
    </row>
    <row r="6176" spans="7:7">
      <c r="G6176"/>
    </row>
    <row r="6177" spans="7:7">
      <c r="G6177"/>
    </row>
    <row r="6178" spans="7:7">
      <c r="G6178"/>
    </row>
    <row r="6179" spans="7:7">
      <c r="G6179"/>
    </row>
    <row r="6180" spans="7:7">
      <c r="G6180"/>
    </row>
    <row r="6181" spans="7:7">
      <c r="G6181"/>
    </row>
    <row r="6182" spans="7:7">
      <c r="G6182"/>
    </row>
    <row r="6183" spans="7:7">
      <c r="G6183"/>
    </row>
    <row r="6184" spans="7:7">
      <c r="G6184"/>
    </row>
    <row r="6185" spans="7:7">
      <c r="G6185"/>
    </row>
    <row r="6186" spans="7:7">
      <c r="G6186"/>
    </row>
    <row r="6187" spans="7:7">
      <c r="G6187"/>
    </row>
    <row r="6188" spans="7:7">
      <c r="G6188"/>
    </row>
    <row r="6189" spans="7:7">
      <c r="G6189"/>
    </row>
    <row r="6190" spans="7:7">
      <c r="G6190"/>
    </row>
    <row r="6191" spans="7:7">
      <c r="G6191"/>
    </row>
    <row r="6192" spans="7:7">
      <c r="G6192"/>
    </row>
    <row r="6193" spans="7:7">
      <c r="G6193"/>
    </row>
    <row r="6194" spans="7:7">
      <c r="G6194"/>
    </row>
    <row r="6195" spans="7:7">
      <c r="G6195"/>
    </row>
    <row r="6196" spans="7:7">
      <c r="G6196"/>
    </row>
    <row r="6197" spans="7:7">
      <c r="G6197"/>
    </row>
    <row r="6198" spans="7:7">
      <c r="G6198"/>
    </row>
    <row r="6199" spans="7:7">
      <c r="G6199"/>
    </row>
    <row r="6200" spans="7:7">
      <c r="G6200"/>
    </row>
    <row r="6201" spans="7:7">
      <c r="G6201"/>
    </row>
    <row r="6202" spans="7:7">
      <c r="G6202"/>
    </row>
    <row r="6203" spans="7:7">
      <c r="G6203"/>
    </row>
    <row r="6204" spans="7:7">
      <c r="G6204"/>
    </row>
    <row r="6205" spans="7:7">
      <c r="G6205"/>
    </row>
    <row r="6206" spans="7:7">
      <c r="G6206"/>
    </row>
    <row r="6207" spans="7:7">
      <c r="G6207"/>
    </row>
    <row r="6208" spans="7:7">
      <c r="G6208"/>
    </row>
    <row r="6209" spans="7:7">
      <c r="G6209"/>
    </row>
    <row r="6210" spans="7:7">
      <c r="G6210"/>
    </row>
    <row r="6211" spans="7:7">
      <c r="G6211"/>
    </row>
    <row r="6212" spans="7:7">
      <c r="G6212"/>
    </row>
    <row r="6213" spans="7:7">
      <c r="G6213"/>
    </row>
    <row r="6214" spans="7:7">
      <c r="G6214"/>
    </row>
    <row r="6215" spans="7:7">
      <c r="G6215"/>
    </row>
    <row r="6216" spans="7:7">
      <c r="G6216"/>
    </row>
    <row r="6217" spans="7:7">
      <c r="G6217"/>
    </row>
    <row r="6218" spans="7:7">
      <c r="G6218"/>
    </row>
    <row r="6219" spans="7:7">
      <c r="G6219"/>
    </row>
    <row r="6220" spans="7:7">
      <c r="G6220"/>
    </row>
    <row r="6221" spans="7:7">
      <c r="G6221"/>
    </row>
    <row r="6222" spans="7:7">
      <c r="G6222"/>
    </row>
    <row r="6223" spans="7:7">
      <c r="G6223"/>
    </row>
    <row r="6224" spans="7:7">
      <c r="G6224"/>
    </row>
    <row r="6225" spans="7:7">
      <c r="G6225"/>
    </row>
    <row r="6226" spans="7:7">
      <c r="G6226"/>
    </row>
    <row r="6227" spans="7:7">
      <c r="G6227"/>
    </row>
    <row r="6228" spans="7:7">
      <c r="G6228"/>
    </row>
    <row r="6229" spans="7:7">
      <c r="G6229"/>
    </row>
    <row r="6230" spans="7:7">
      <c r="G6230"/>
    </row>
    <row r="6231" spans="7:7">
      <c r="G6231"/>
    </row>
    <row r="6232" spans="7:7">
      <c r="G6232"/>
    </row>
    <row r="6233" spans="7:7">
      <c r="G6233"/>
    </row>
    <row r="6234" spans="7:7">
      <c r="G6234"/>
    </row>
    <row r="6235" spans="7:7">
      <c r="G6235"/>
    </row>
    <row r="6236" spans="7:7">
      <c r="G6236"/>
    </row>
    <row r="6237" spans="7:7">
      <c r="G6237"/>
    </row>
    <row r="6238" spans="7:7">
      <c r="G6238"/>
    </row>
    <row r="6239" spans="7:7">
      <c r="G6239"/>
    </row>
    <row r="6240" spans="7:7">
      <c r="G6240"/>
    </row>
    <row r="6241" spans="7:7">
      <c r="G6241"/>
    </row>
    <row r="6242" spans="7:7">
      <c r="G6242"/>
    </row>
    <row r="6243" spans="7:7">
      <c r="G6243"/>
    </row>
    <row r="6244" spans="7:7">
      <c r="G6244"/>
    </row>
    <row r="6245" spans="7:7">
      <c r="G6245"/>
    </row>
    <row r="6246" spans="7:7">
      <c r="G6246"/>
    </row>
    <row r="6247" spans="7:7">
      <c r="G6247"/>
    </row>
    <row r="6248" spans="7:7">
      <c r="G6248"/>
    </row>
    <row r="6249" spans="7:7">
      <c r="G6249"/>
    </row>
    <row r="6250" spans="7:7">
      <c r="G6250"/>
    </row>
    <row r="6251" spans="7:7">
      <c r="G6251"/>
    </row>
    <row r="6252" spans="7:7">
      <c r="G6252"/>
    </row>
    <row r="6253" spans="7:7">
      <c r="G6253"/>
    </row>
    <row r="6254" spans="7:7">
      <c r="G6254"/>
    </row>
    <row r="6255" spans="7:7">
      <c r="G6255"/>
    </row>
    <row r="6256" spans="7:7">
      <c r="G6256"/>
    </row>
    <row r="6257" spans="7:7">
      <c r="G6257"/>
    </row>
    <row r="6258" spans="7:7">
      <c r="G6258"/>
    </row>
    <row r="6259" spans="7:7">
      <c r="G6259"/>
    </row>
    <row r="6260" spans="7:7">
      <c r="G6260"/>
    </row>
    <row r="6261" spans="7:7">
      <c r="G6261"/>
    </row>
    <row r="6262" spans="7:7">
      <c r="G6262"/>
    </row>
    <row r="6263" spans="7:7">
      <c r="G6263"/>
    </row>
    <row r="6264" spans="7:7">
      <c r="G6264"/>
    </row>
    <row r="6265" spans="7:7">
      <c r="G6265"/>
    </row>
    <row r="6266" spans="7:7">
      <c r="G6266"/>
    </row>
    <row r="6267" spans="7:7">
      <c r="G6267"/>
    </row>
    <row r="6268" spans="7:7">
      <c r="G6268"/>
    </row>
    <row r="6269" spans="7:7">
      <c r="G6269"/>
    </row>
    <row r="6270" spans="7:7">
      <c r="G6270"/>
    </row>
    <row r="6271" spans="7:7">
      <c r="G6271"/>
    </row>
    <row r="6272" spans="7:7">
      <c r="G6272"/>
    </row>
    <row r="6273" spans="7:7">
      <c r="G6273"/>
    </row>
    <row r="6274" spans="7:7">
      <c r="G6274"/>
    </row>
    <row r="6275" spans="7:7">
      <c r="G6275"/>
    </row>
    <row r="6276" spans="7:7">
      <c r="G6276"/>
    </row>
    <row r="6277" spans="7:7">
      <c r="G6277"/>
    </row>
    <row r="6278" spans="7:7">
      <c r="G6278"/>
    </row>
    <row r="6279" spans="7:7">
      <c r="G6279"/>
    </row>
    <row r="6280" spans="7:7">
      <c r="G6280"/>
    </row>
    <row r="6281" spans="7:7">
      <c r="G6281"/>
    </row>
    <row r="6282" spans="7:7">
      <c r="G6282"/>
    </row>
    <row r="6283" spans="7:7">
      <c r="G6283"/>
    </row>
    <row r="6284" spans="7:7">
      <c r="G6284"/>
    </row>
    <row r="6285" spans="7:7">
      <c r="G6285"/>
    </row>
    <row r="6286" spans="7:7">
      <c r="G6286"/>
    </row>
    <row r="6287" spans="7:7">
      <c r="G6287"/>
    </row>
    <row r="6288" spans="7:7">
      <c r="G6288"/>
    </row>
    <row r="6289" spans="7:7">
      <c r="G6289"/>
    </row>
    <row r="6290" spans="7:7">
      <c r="G6290"/>
    </row>
    <row r="6291" spans="7:7">
      <c r="G6291"/>
    </row>
    <row r="6292" spans="7:7">
      <c r="G6292"/>
    </row>
    <row r="6293" spans="7:7">
      <c r="G6293"/>
    </row>
    <row r="6294" spans="7:7">
      <c r="G6294"/>
    </row>
    <row r="6295" spans="7:7">
      <c r="G6295"/>
    </row>
    <row r="6296" spans="7:7">
      <c r="G6296"/>
    </row>
    <row r="6297" spans="7:7">
      <c r="G6297"/>
    </row>
    <row r="6298" spans="7:7">
      <c r="G6298"/>
    </row>
    <row r="6299" spans="7:7">
      <c r="G6299"/>
    </row>
    <row r="6300" spans="7:7">
      <c r="G6300"/>
    </row>
    <row r="6301" spans="7:7">
      <c r="G6301"/>
    </row>
    <row r="6302" spans="7:7">
      <c r="G6302"/>
    </row>
    <row r="6303" spans="7:7">
      <c r="G6303"/>
    </row>
    <row r="6304" spans="7:7">
      <c r="G6304"/>
    </row>
    <row r="6305" spans="7:7">
      <c r="G6305"/>
    </row>
    <row r="6306" spans="7:7">
      <c r="G6306"/>
    </row>
    <row r="6307" spans="7:7">
      <c r="G6307"/>
    </row>
    <row r="6308" spans="7:7">
      <c r="G6308"/>
    </row>
    <row r="6309" spans="7:7">
      <c r="G6309"/>
    </row>
    <row r="6310" spans="7:7">
      <c r="G6310"/>
    </row>
    <row r="6311" spans="7:7">
      <c r="G6311"/>
    </row>
    <row r="6312" spans="7:7">
      <c r="G6312"/>
    </row>
    <row r="6313" spans="7:7">
      <c r="G6313"/>
    </row>
    <row r="6314" spans="7:7">
      <c r="G6314"/>
    </row>
    <row r="6315" spans="7:7">
      <c r="G6315"/>
    </row>
    <row r="6316" spans="7:7">
      <c r="G6316"/>
    </row>
    <row r="6317" spans="7:7">
      <c r="G6317"/>
    </row>
    <row r="6318" spans="7:7">
      <c r="G6318"/>
    </row>
    <row r="6319" spans="7:7">
      <c r="G6319"/>
    </row>
    <row r="6320" spans="7:7">
      <c r="G6320"/>
    </row>
    <row r="6321" spans="7:7">
      <c r="G6321"/>
    </row>
    <row r="6322" spans="7:7">
      <c r="G6322"/>
    </row>
    <row r="6323" spans="7:7">
      <c r="G6323"/>
    </row>
    <row r="6324" spans="7:7">
      <c r="G6324"/>
    </row>
    <row r="6325" spans="7:7">
      <c r="G6325"/>
    </row>
    <row r="6326" spans="7:7">
      <c r="G6326"/>
    </row>
    <row r="6327" spans="7:7">
      <c r="G6327"/>
    </row>
    <row r="6328" spans="7:7">
      <c r="G6328"/>
    </row>
    <row r="6329" spans="7:7">
      <c r="G6329"/>
    </row>
    <row r="6330" spans="7:7">
      <c r="G6330"/>
    </row>
    <row r="6331" spans="7:7">
      <c r="G6331"/>
    </row>
    <row r="6332" spans="7:7">
      <c r="G6332"/>
    </row>
    <row r="6333" spans="7:7">
      <c r="G6333"/>
    </row>
    <row r="6334" spans="7:7">
      <c r="G6334"/>
    </row>
    <row r="6335" spans="7:7">
      <c r="G6335"/>
    </row>
    <row r="6336" spans="7:7">
      <c r="G6336"/>
    </row>
    <row r="6337" spans="7:7">
      <c r="G6337"/>
    </row>
    <row r="6338" spans="7:7">
      <c r="G6338"/>
    </row>
    <row r="6339" spans="7:7">
      <c r="G6339"/>
    </row>
    <row r="6340" spans="7:7">
      <c r="G6340"/>
    </row>
    <row r="6341" spans="7:7">
      <c r="G6341"/>
    </row>
    <row r="6342" spans="7:7">
      <c r="G6342"/>
    </row>
    <row r="6343" spans="7:7">
      <c r="G6343"/>
    </row>
    <row r="6344" spans="7:7">
      <c r="G6344"/>
    </row>
    <row r="6345" spans="7:7">
      <c r="G6345"/>
    </row>
    <row r="6346" spans="7:7">
      <c r="G6346"/>
    </row>
    <row r="6347" spans="7:7">
      <c r="G6347"/>
    </row>
    <row r="6348" spans="7:7">
      <c r="G6348"/>
    </row>
    <row r="6349" spans="7:7">
      <c r="G6349"/>
    </row>
    <row r="6350" spans="7:7">
      <c r="G6350"/>
    </row>
    <row r="6351" spans="7:7">
      <c r="G6351"/>
    </row>
    <row r="6352" spans="7:7">
      <c r="G6352"/>
    </row>
    <row r="6353" spans="7:7">
      <c r="G6353"/>
    </row>
    <row r="6354" spans="7:7">
      <c r="G6354"/>
    </row>
    <row r="6355" spans="7:7">
      <c r="G6355"/>
    </row>
    <row r="6356" spans="7:7">
      <c r="G6356"/>
    </row>
    <row r="6357" spans="7:7">
      <c r="G6357"/>
    </row>
    <row r="6358" spans="7:7">
      <c r="G6358"/>
    </row>
    <row r="6359" spans="7:7">
      <c r="G6359"/>
    </row>
    <row r="6360" spans="7:7">
      <c r="G6360"/>
    </row>
    <row r="6361" spans="7:7">
      <c r="G6361"/>
    </row>
    <row r="6362" spans="7:7">
      <c r="G6362"/>
    </row>
    <row r="6363" spans="7:7">
      <c r="G6363"/>
    </row>
    <row r="6364" spans="7:7">
      <c r="G6364"/>
    </row>
    <row r="6365" spans="7:7">
      <c r="G6365"/>
    </row>
    <row r="6366" spans="7:7">
      <c r="G6366"/>
    </row>
    <row r="6367" spans="7:7">
      <c r="G6367"/>
    </row>
    <row r="6368" spans="7:7">
      <c r="G6368"/>
    </row>
    <row r="6369" spans="7:7">
      <c r="G6369"/>
    </row>
    <row r="6370" spans="7:7">
      <c r="G6370"/>
    </row>
    <row r="6371" spans="7:7">
      <c r="G6371"/>
    </row>
    <row r="6372" spans="7:7">
      <c r="G6372"/>
    </row>
    <row r="6373" spans="7:7">
      <c r="G6373"/>
    </row>
    <row r="6374" spans="7:7">
      <c r="G6374"/>
    </row>
    <row r="6375" spans="7:7">
      <c r="G6375"/>
    </row>
    <row r="6376" spans="7:7">
      <c r="G6376"/>
    </row>
    <row r="6377" spans="7:7">
      <c r="G6377"/>
    </row>
    <row r="6378" spans="7:7">
      <c r="G6378"/>
    </row>
    <row r="6379" spans="7:7">
      <c r="G6379"/>
    </row>
    <row r="6380" spans="7:7">
      <c r="G6380"/>
    </row>
    <row r="6381" spans="7:7">
      <c r="G6381"/>
    </row>
    <row r="6382" spans="7:7">
      <c r="G6382"/>
    </row>
    <row r="6383" spans="7:7">
      <c r="G6383"/>
    </row>
    <row r="6384" spans="7:7">
      <c r="G6384"/>
    </row>
    <row r="6385" spans="7:7">
      <c r="G6385"/>
    </row>
    <row r="6386" spans="7:7">
      <c r="G6386"/>
    </row>
    <row r="6387" spans="7:7">
      <c r="G6387"/>
    </row>
    <row r="6388" spans="7:7">
      <c r="G6388"/>
    </row>
    <row r="6389" spans="7:7">
      <c r="G6389"/>
    </row>
    <row r="6390" spans="7:7">
      <c r="G6390"/>
    </row>
    <row r="6391" spans="7:7">
      <c r="G6391"/>
    </row>
    <row r="6392" spans="7:7">
      <c r="G6392"/>
    </row>
    <row r="6393" spans="7:7">
      <c r="G6393"/>
    </row>
    <row r="6394" spans="7:7">
      <c r="G6394"/>
    </row>
    <row r="6395" spans="7:7">
      <c r="G6395"/>
    </row>
    <row r="6396" spans="7:7">
      <c r="G6396"/>
    </row>
    <row r="6397" spans="7:7">
      <c r="G6397"/>
    </row>
    <row r="6398" spans="7:7">
      <c r="G6398"/>
    </row>
    <row r="6399" spans="7:7">
      <c r="G6399"/>
    </row>
    <row r="6400" spans="7:7">
      <c r="G6400"/>
    </row>
    <row r="6401" spans="7:7">
      <c r="G6401"/>
    </row>
    <row r="6402" spans="7:7">
      <c r="G6402"/>
    </row>
    <row r="6403" spans="7:7">
      <c r="G6403"/>
    </row>
    <row r="6404" spans="7:7">
      <c r="G6404"/>
    </row>
    <row r="6405" spans="7:7">
      <c r="G6405"/>
    </row>
    <row r="6406" spans="7:7">
      <c r="G6406"/>
    </row>
    <row r="6407" spans="7:7">
      <c r="G6407"/>
    </row>
    <row r="6408" spans="7:7">
      <c r="G6408"/>
    </row>
    <row r="6409" spans="7:7">
      <c r="G6409"/>
    </row>
    <row r="6410" spans="7:7">
      <c r="G6410"/>
    </row>
    <row r="6411" spans="7:7">
      <c r="G6411"/>
    </row>
    <row r="6412" spans="7:7">
      <c r="G6412"/>
    </row>
    <row r="6413" spans="7:7">
      <c r="G6413"/>
    </row>
    <row r="6414" spans="7:7">
      <c r="G6414"/>
    </row>
    <row r="6415" spans="7:7">
      <c r="G6415"/>
    </row>
    <row r="6416" spans="7:7">
      <c r="G6416"/>
    </row>
    <row r="6417" spans="7:7">
      <c r="G6417"/>
    </row>
    <row r="6418" spans="7:7">
      <c r="G6418"/>
    </row>
    <row r="6419" spans="7:7">
      <c r="G6419"/>
    </row>
    <row r="6420" spans="7:7">
      <c r="G6420"/>
    </row>
    <row r="6421" spans="7:7">
      <c r="G6421"/>
    </row>
    <row r="6422" spans="7:7">
      <c r="G6422"/>
    </row>
    <row r="6423" spans="7:7">
      <c r="G6423"/>
    </row>
    <row r="6424" spans="7:7">
      <c r="G6424"/>
    </row>
    <row r="6425" spans="7:7">
      <c r="G6425"/>
    </row>
    <row r="6426" spans="7:7">
      <c r="G6426"/>
    </row>
    <row r="6427" spans="7:7">
      <c r="G6427"/>
    </row>
    <row r="6428" spans="7:7">
      <c r="G6428"/>
    </row>
    <row r="6429" spans="7:7">
      <c r="G6429"/>
    </row>
    <row r="6430" spans="7:7">
      <c r="G6430"/>
    </row>
    <row r="6431" spans="7:7">
      <c r="G6431"/>
    </row>
    <row r="6432" spans="7:7">
      <c r="G6432"/>
    </row>
    <row r="6433" spans="7:7">
      <c r="G6433"/>
    </row>
    <row r="6434" spans="7:7">
      <c r="G6434"/>
    </row>
    <row r="6435" spans="7:7">
      <c r="G6435"/>
    </row>
    <row r="6436" spans="7:7">
      <c r="G6436"/>
    </row>
    <row r="6437" spans="7:7">
      <c r="G6437"/>
    </row>
    <row r="6438" spans="7:7">
      <c r="G6438"/>
    </row>
    <row r="6439" spans="7:7">
      <c r="G6439"/>
    </row>
    <row r="6440" spans="7:7">
      <c r="G6440"/>
    </row>
    <row r="6441" spans="7:7">
      <c r="G6441"/>
    </row>
    <row r="6442" spans="7:7">
      <c r="G6442"/>
    </row>
    <row r="6443" spans="7:7">
      <c r="G6443"/>
    </row>
    <row r="6444" spans="7:7">
      <c r="G6444"/>
    </row>
    <row r="6445" spans="7:7">
      <c r="G6445"/>
    </row>
    <row r="6446" spans="7:7">
      <c r="G6446"/>
    </row>
    <row r="6447" spans="7:7">
      <c r="G6447"/>
    </row>
    <row r="6448" spans="7:7">
      <c r="G6448"/>
    </row>
    <row r="6449" spans="7:7">
      <c r="G6449"/>
    </row>
    <row r="6450" spans="7:7">
      <c r="G6450"/>
    </row>
    <row r="6451" spans="7:7">
      <c r="G6451"/>
    </row>
    <row r="6452" spans="7:7">
      <c r="G6452"/>
    </row>
    <row r="6453" spans="7:7">
      <c r="G6453"/>
    </row>
    <row r="6454" spans="7:7">
      <c r="G6454"/>
    </row>
    <row r="6455" spans="7:7">
      <c r="G6455"/>
    </row>
    <row r="6456" spans="7:7">
      <c r="G6456"/>
    </row>
    <row r="6457" spans="7:7">
      <c r="G6457"/>
    </row>
    <row r="6458" spans="7:7">
      <c r="G6458"/>
    </row>
    <row r="6459" spans="7:7">
      <c r="G6459"/>
    </row>
    <row r="6460" spans="7:7">
      <c r="G6460"/>
    </row>
    <row r="6461" spans="7:7">
      <c r="G6461"/>
    </row>
    <row r="6462" spans="7:7">
      <c r="G6462"/>
    </row>
    <row r="6463" spans="7:7">
      <c r="G6463"/>
    </row>
    <row r="6464" spans="7:7">
      <c r="G6464"/>
    </row>
    <row r="6465" spans="7:7">
      <c r="G6465"/>
    </row>
    <row r="6466" spans="7:7">
      <c r="G6466"/>
    </row>
    <row r="6467" spans="7:7">
      <c r="G6467"/>
    </row>
    <row r="6468" spans="7:7">
      <c r="G6468"/>
    </row>
    <row r="6469" spans="7:7">
      <c r="G6469"/>
    </row>
    <row r="6470" spans="7:7">
      <c r="G6470"/>
    </row>
    <row r="6471" spans="7:7">
      <c r="G6471"/>
    </row>
    <row r="6472" spans="7:7">
      <c r="G6472"/>
    </row>
    <row r="6473" spans="7:7">
      <c r="G6473"/>
    </row>
    <row r="6474" spans="7:7">
      <c r="G6474"/>
    </row>
    <row r="6475" spans="7:7">
      <c r="G6475"/>
    </row>
    <row r="6476" spans="7:7">
      <c r="G6476"/>
    </row>
    <row r="6477" spans="7:7">
      <c r="G6477"/>
    </row>
    <row r="6478" spans="7:7">
      <c r="G6478"/>
    </row>
    <row r="6479" spans="7:7">
      <c r="G6479"/>
    </row>
    <row r="6480" spans="7:7">
      <c r="G6480"/>
    </row>
    <row r="6481" spans="7:7">
      <c r="G6481"/>
    </row>
    <row r="6482" spans="7:7">
      <c r="G6482"/>
    </row>
    <row r="6483" spans="7:7">
      <c r="G6483"/>
    </row>
    <row r="6484" spans="7:7">
      <c r="G6484"/>
    </row>
    <row r="6485" spans="7:7">
      <c r="G6485"/>
    </row>
    <row r="6486" spans="7:7">
      <c r="G6486"/>
    </row>
    <row r="6487" spans="7:7">
      <c r="G6487"/>
    </row>
    <row r="6488" spans="7:7">
      <c r="G6488"/>
    </row>
    <row r="6489" spans="7:7">
      <c r="G6489"/>
    </row>
    <row r="6490" spans="7:7">
      <c r="G6490"/>
    </row>
    <row r="6491" spans="7:7">
      <c r="G6491"/>
    </row>
    <row r="6492" spans="7:7">
      <c r="G6492"/>
    </row>
    <row r="6493" spans="7:7">
      <c r="G6493"/>
    </row>
    <row r="6494" spans="7:7">
      <c r="G6494"/>
    </row>
    <row r="6495" spans="7:7">
      <c r="G6495"/>
    </row>
    <row r="6496" spans="7:7">
      <c r="G6496"/>
    </row>
    <row r="6497" spans="7:7">
      <c r="G6497"/>
    </row>
    <row r="6498" spans="7:7">
      <c r="G6498"/>
    </row>
    <row r="6499" spans="7:7">
      <c r="G6499"/>
    </row>
    <row r="6500" spans="7:7">
      <c r="G6500"/>
    </row>
    <row r="6501" spans="7:7">
      <c r="G6501"/>
    </row>
    <row r="6502" spans="7:7">
      <c r="G6502"/>
    </row>
    <row r="6503" spans="7:7">
      <c r="G6503"/>
    </row>
    <row r="6504" spans="7:7">
      <c r="G6504"/>
    </row>
    <row r="6505" spans="7:7">
      <c r="G6505"/>
    </row>
    <row r="6506" spans="7:7">
      <c r="G6506"/>
    </row>
    <row r="6507" spans="7:7">
      <c r="G6507"/>
    </row>
    <row r="6508" spans="7:7">
      <c r="G6508"/>
    </row>
    <row r="6509" spans="7:7">
      <c r="G6509"/>
    </row>
    <row r="6510" spans="7:7">
      <c r="G6510"/>
    </row>
    <row r="6511" spans="7:7">
      <c r="G6511"/>
    </row>
    <row r="6512" spans="7:7">
      <c r="G6512"/>
    </row>
    <row r="6513" spans="7:7">
      <c r="G6513"/>
    </row>
    <row r="6514" spans="7:7">
      <c r="G6514"/>
    </row>
    <row r="6515" spans="7:7">
      <c r="G6515"/>
    </row>
    <row r="6516" spans="7:7">
      <c r="G6516"/>
    </row>
    <row r="6517" spans="7:7">
      <c r="G6517"/>
    </row>
    <row r="6518" spans="7:7">
      <c r="G6518"/>
    </row>
    <row r="6519" spans="7:7">
      <c r="G6519"/>
    </row>
    <row r="6520" spans="7:7">
      <c r="G6520"/>
    </row>
    <row r="6521" spans="7:7">
      <c r="G6521"/>
    </row>
    <row r="6522" spans="7:7">
      <c r="G6522"/>
    </row>
    <row r="6523" spans="7:7">
      <c r="G6523"/>
    </row>
    <row r="6524" spans="7:7">
      <c r="G6524"/>
    </row>
    <row r="6525" spans="7:7">
      <c r="G6525"/>
    </row>
    <row r="6526" spans="7:7">
      <c r="G6526"/>
    </row>
    <row r="6527" spans="7:7">
      <c r="G6527"/>
    </row>
    <row r="6528" spans="7:7">
      <c r="G6528"/>
    </row>
    <row r="6529" spans="7:7">
      <c r="G6529"/>
    </row>
    <row r="6530" spans="7:7">
      <c r="G6530"/>
    </row>
    <row r="6531" spans="7:7">
      <c r="G6531"/>
    </row>
    <row r="6532" spans="7:7">
      <c r="G6532"/>
    </row>
    <row r="6533" spans="7:7">
      <c r="G6533"/>
    </row>
    <row r="6534" spans="7:7">
      <c r="G6534"/>
    </row>
    <row r="6535" spans="7:7">
      <c r="G6535"/>
    </row>
    <row r="6536" spans="7:7">
      <c r="G6536"/>
    </row>
    <row r="6537" spans="7:7">
      <c r="G6537"/>
    </row>
    <row r="6538" spans="7:7">
      <c r="G6538"/>
    </row>
    <row r="6539" spans="7:7">
      <c r="G6539"/>
    </row>
    <row r="6540" spans="7:7">
      <c r="G6540"/>
    </row>
    <row r="6541" spans="7:7">
      <c r="G6541"/>
    </row>
    <row r="6542" spans="7:7">
      <c r="G6542"/>
    </row>
    <row r="6543" spans="7:7">
      <c r="G6543"/>
    </row>
    <row r="6544" spans="7:7">
      <c r="G6544"/>
    </row>
    <row r="6545" spans="7:7">
      <c r="G6545"/>
    </row>
    <row r="6546" spans="7:7">
      <c r="G6546"/>
    </row>
    <row r="6547" spans="7:7">
      <c r="G6547"/>
    </row>
    <row r="6548" spans="7:7">
      <c r="G6548"/>
    </row>
    <row r="6549" spans="7:7">
      <c r="G6549"/>
    </row>
    <row r="6550" spans="7:7">
      <c r="G6550"/>
    </row>
    <row r="6551" spans="7:7">
      <c r="G6551"/>
    </row>
    <row r="6552" spans="7:7">
      <c r="G6552"/>
    </row>
    <row r="6553" spans="7:7">
      <c r="G6553"/>
    </row>
    <row r="6554" spans="7:7">
      <c r="G6554"/>
    </row>
    <row r="6555" spans="7:7">
      <c r="G6555"/>
    </row>
    <row r="6556" spans="7:7">
      <c r="G6556"/>
    </row>
    <row r="6557" spans="7:7">
      <c r="G6557"/>
    </row>
    <row r="6558" spans="7:7">
      <c r="G6558"/>
    </row>
    <row r="6559" spans="7:7">
      <c r="G6559"/>
    </row>
    <row r="6560" spans="7:7">
      <c r="G6560"/>
    </row>
    <row r="6561" spans="7:7">
      <c r="G6561"/>
    </row>
    <row r="6562" spans="7:7">
      <c r="G6562"/>
    </row>
    <row r="6563" spans="7:7">
      <c r="G6563"/>
    </row>
    <row r="6564" spans="7:7">
      <c r="G6564"/>
    </row>
    <row r="6565" spans="7:7">
      <c r="G6565"/>
    </row>
    <row r="6566" spans="7:7">
      <c r="G6566"/>
    </row>
    <row r="6567" spans="7:7">
      <c r="G6567"/>
    </row>
    <row r="6568" spans="7:7">
      <c r="G6568"/>
    </row>
    <row r="6569" spans="7:7">
      <c r="G6569"/>
    </row>
    <row r="6570" spans="7:7">
      <c r="G6570"/>
    </row>
    <row r="6571" spans="7:7">
      <c r="G6571"/>
    </row>
    <row r="6572" spans="7:7">
      <c r="G6572"/>
    </row>
    <row r="6573" spans="7:7">
      <c r="G6573"/>
    </row>
    <row r="6574" spans="7:7">
      <c r="G6574"/>
    </row>
    <row r="6575" spans="7:7">
      <c r="G6575"/>
    </row>
    <row r="6576" spans="7:7">
      <c r="G6576"/>
    </row>
    <row r="6577" spans="7:7">
      <c r="G6577"/>
    </row>
    <row r="6578" spans="7:7">
      <c r="G6578"/>
    </row>
    <row r="6579" spans="7:7">
      <c r="G6579"/>
    </row>
    <row r="6580" spans="7:7">
      <c r="G6580"/>
    </row>
    <row r="6581" spans="7:7">
      <c r="G6581"/>
    </row>
    <row r="6582" spans="7:7">
      <c r="G6582"/>
    </row>
    <row r="6583" spans="7:7">
      <c r="G6583"/>
    </row>
    <row r="6584" spans="7:7">
      <c r="G6584"/>
    </row>
    <row r="6585" spans="7:7">
      <c r="G6585"/>
    </row>
    <row r="6586" spans="7:7">
      <c r="G6586"/>
    </row>
    <row r="6587" spans="7:7">
      <c r="G6587"/>
    </row>
    <row r="6588" spans="7:7">
      <c r="G6588"/>
    </row>
    <row r="6589" spans="7:7">
      <c r="G6589"/>
    </row>
    <row r="6590" spans="7:7">
      <c r="G6590"/>
    </row>
    <row r="6591" spans="7:7">
      <c r="G6591"/>
    </row>
    <row r="6592" spans="7:7">
      <c r="G6592"/>
    </row>
    <row r="6593" spans="7:7">
      <c r="G6593"/>
    </row>
    <row r="6594" spans="7:7">
      <c r="G6594"/>
    </row>
    <row r="6595" spans="7:7">
      <c r="G6595"/>
    </row>
    <row r="6596" spans="7:7">
      <c r="G6596"/>
    </row>
    <row r="6597" spans="7:7">
      <c r="G6597"/>
    </row>
    <row r="6598" spans="7:7">
      <c r="G6598"/>
    </row>
    <row r="6599" spans="7:7">
      <c r="G6599"/>
    </row>
    <row r="6600" spans="7:7">
      <c r="G6600"/>
    </row>
    <row r="6601" spans="7:7">
      <c r="G6601"/>
    </row>
    <row r="6602" spans="7:7">
      <c r="G6602"/>
    </row>
    <row r="6603" spans="7:7">
      <c r="G6603"/>
    </row>
    <row r="6604" spans="7:7">
      <c r="G6604"/>
    </row>
    <row r="6605" spans="7:7">
      <c r="G6605"/>
    </row>
    <row r="6606" spans="7:7">
      <c r="G6606"/>
    </row>
    <row r="6607" spans="7:7">
      <c r="G6607"/>
    </row>
    <row r="6608" spans="7:7">
      <c r="G6608"/>
    </row>
    <row r="6609" spans="7:7">
      <c r="G6609"/>
    </row>
    <row r="6610" spans="7:7">
      <c r="G6610"/>
    </row>
    <row r="6611" spans="7:7">
      <c r="G6611"/>
    </row>
    <row r="6612" spans="7:7">
      <c r="G6612"/>
    </row>
    <row r="6613" spans="7:7">
      <c r="G6613"/>
    </row>
    <row r="6614" spans="7:7">
      <c r="G6614"/>
    </row>
    <row r="6615" spans="7:7">
      <c r="G6615"/>
    </row>
    <row r="6616" spans="7:7">
      <c r="G6616"/>
    </row>
    <row r="6617" spans="7:7">
      <c r="G6617"/>
    </row>
    <row r="6618" spans="7:7">
      <c r="G6618"/>
    </row>
    <row r="6619" spans="7:7">
      <c r="G6619"/>
    </row>
    <row r="6620" spans="7:7">
      <c r="G6620"/>
    </row>
    <row r="6621" spans="7:7">
      <c r="G6621"/>
    </row>
    <row r="6622" spans="7:7">
      <c r="G6622"/>
    </row>
    <row r="6623" spans="7:7">
      <c r="G6623"/>
    </row>
    <row r="6624" spans="7:7">
      <c r="G6624"/>
    </row>
    <row r="6625" spans="7:7">
      <c r="G6625"/>
    </row>
    <row r="6626" spans="7:7">
      <c r="G6626"/>
    </row>
    <row r="6627" spans="7:7">
      <c r="G6627"/>
    </row>
    <row r="6628" spans="7:7">
      <c r="G6628"/>
    </row>
    <row r="6629" spans="7:7">
      <c r="G6629"/>
    </row>
    <row r="6630" spans="7:7">
      <c r="G6630"/>
    </row>
    <row r="6631" spans="7:7">
      <c r="G6631"/>
    </row>
    <row r="6632" spans="7:7">
      <c r="G6632"/>
    </row>
    <row r="6633" spans="7:7">
      <c r="G6633"/>
    </row>
    <row r="6634" spans="7:7">
      <c r="G6634"/>
    </row>
    <row r="6635" spans="7:7">
      <c r="G6635"/>
    </row>
    <row r="6636" spans="7:7">
      <c r="G6636"/>
    </row>
    <row r="6637" spans="7:7">
      <c r="G6637"/>
    </row>
    <row r="6638" spans="7:7">
      <c r="G6638"/>
    </row>
    <row r="6639" spans="7:7">
      <c r="G6639"/>
    </row>
    <row r="6640" spans="7:7">
      <c r="G6640"/>
    </row>
    <row r="6641" spans="7:7">
      <c r="G6641"/>
    </row>
    <row r="6642" spans="7:7">
      <c r="G6642"/>
    </row>
    <row r="6643" spans="7:7">
      <c r="G6643"/>
    </row>
    <row r="6644" spans="7:7">
      <c r="G6644"/>
    </row>
    <row r="6645" spans="7:7">
      <c r="G6645"/>
    </row>
    <row r="6646" spans="7:7">
      <c r="G6646"/>
    </row>
    <row r="6647" spans="7:7">
      <c r="G6647"/>
    </row>
    <row r="6648" spans="7:7">
      <c r="G6648"/>
    </row>
    <row r="6649" spans="7:7">
      <c r="G6649"/>
    </row>
    <row r="6650" spans="7:7">
      <c r="G6650"/>
    </row>
    <row r="6651" spans="7:7">
      <c r="G6651"/>
    </row>
    <row r="6652" spans="7:7">
      <c r="G6652"/>
    </row>
    <row r="6653" spans="7:7">
      <c r="G6653"/>
    </row>
    <row r="6654" spans="7:7">
      <c r="G6654"/>
    </row>
    <row r="6655" spans="7:7">
      <c r="G6655"/>
    </row>
    <row r="6656" spans="7:7">
      <c r="G6656"/>
    </row>
    <row r="6657" spans="7:7">
      <c r="G6657"/>
    </row>
    <row r="6658" spans="7:7">
      <c r="G6658"/>
    </row>
    <row r="6659" spans="7:7">
      <c r="G6659"/>
    </row>
    <row r="6660" spans="7:7">
      <c r="G6660"/>
    </row>
    <row r="6661" spans="7:7">
      <c r="G6661"/>
    </row>
    <row r="6662" spans="7:7">
      <c r="G6662"/>
    </row>
    <row r="6663" spans="7:7">
      <c r="G6663"/>
    </row>
    <row r="6664" spans="7:7">
      <c r="G6664"/>
    </row>
    <row r="6665" spans="7:7">
      <c r="G6665"/>
    </row>
    <row r="6666" spans="7:7">
      <c r="G6666"/>
    </row>
    <row r="6667" spans="7:7">
      <c r="G6667"/>
    </row>
    <row r="6668" spans="7:7">
      <c r="G6668"/>
    </row>
    <row r="6669" spans="7:7">
      <c r="G6669"/>
    </row>
    <row r="6670" spans="7:7">
      <c r="G6670"/>
    </row>
    <row r="6671" spans="7:7">
      <c r="G6671"/>
    </row>
    <row r="6672" spans="7:7">
      <c r="G6672"/>
    </row>
    <row r="6673" spans="7:7">
      <c r="G6673"/>
    </row>
    <row r="6674" spans="7:7">
      <c r="G6674"/>
    </row>
    <row r="6675" spans="7:7">
      <c r="G6675"/>
    </row>
    <row r="6676" spans="7:7">
      <c r="G6676"/>
    </row>
    <row r="6677" spans="7:7">
      <c r="G6677"/>
    </row>
    <row r="6678" spans="7:7">
      <c r="G6678"/>
    </row>
    <row r="6679" spans="7:7">
      <c r="G6679"/>
    </row>
    <row r="6680" spans="7:7">
      <c r="G6680"/>
    </row>
    <row r="6681" spans="7:7">
      <c r="G6681"/>
    </row>
    <row r="6682" spans="7:7">
      <c r="G6682"/>
    </row>
    <row r="6683" spans="7:7">
      <c r="G6683"/>
    </row>
    <row r="6684" spans="7:7">
      <c r="G6684"/>
    </row>
    <row r="6685" spans="7:7">
      <c r="G6685"/>
    </row>
    <row r="6686" spans="7:7">
      <c r="G6686"/>
    </row>
    <row r="6687" spans="7:7">
      <c r="G6687"/>
    </row>
    <row r="6688" spans="7:7">
      <c r="G6688"/>
    </row>
    <row r="6689" spans="7:7">
      <c r="G6689"/>
    </row>
    <row r="6690" spans="7:7">
      <c r="G6690"/>
    </row>
    <row r="6691" spans="7:7">
      <c r="G6691"/>
    </row>
    <row r="6692" spans="7:7">
      <c r="G6692"/>
    </row>
    <row r="6693" spans="7:7">
      <c r="G6693"/>
    </row>
    <row r="6694" spans="7:7">
      <c r="G6694"/>
    </row>
    <row r="6695" spans="7:7">
      <c r="G6695"/>
    </row>
    <row r="6696" spans="7:7">
      <c r="G6696"/>
    </row>
    <row r="6697" spans="7:7">
      <c r="G6697"/>
    </row>
    <row r="6698" spans="7:7">
      <c r="G6698"/>
    </row>
    <row r="6699" spans="7:7">
      <c r="G6699"/>
    </row>
    <row r="6700" spans="7:7">
      <c r="G6700"/>
    </row>
    <row r="6701" spans="7:7">
      <c r="G6701"/>
    </row>
    <row r="6702" spans="7:7">
      <c r="G6702"/>
    </row>
    <row r="6703" spans="7:7">
      <c r="G6703"/>
    </row>
    <row r="6704" spans="7:7">
      <c r="G6704"/>
    </row>
    <row r="6705" spans="7:7">
      <c r="G6705"/>
    </row>
    <row r="6706" spans="7:7">
      <c r="G6706"/>
    </row>
    <row r="6707" spans="7:7">
      <c r="G6707"/>
    </row>
    <row r="6708" spans="7:7">
      <c r="G6708"/>
    </row>
    <row r="6709" spans="7:7">
      <c r="G6709"/>
    </row>
    <row r="6710" spans="7:7">
      <c r="G6710"/>
    </row>
    <row r="6711" spans="7:7">
      <c r="G6711"/>
    </row>
    <row r="6712" spans="7:7">
      <c r="G6712"/>
    </row>
    <row r="6713" spans="7:7">
      <c r="G6713"/>
    </row>
    <row r="6714" spans="7:7">
      <c r="G6714"/>
    </row>
    <row r="6715" spans="7:7">
      <c r="G6715"/>
    </row>
    <row r="6716" spans="7:7">
      <c r="G6716"/>
    </row>
    <row r="6717" spans="7:7">
      <c r="G6717"/>
    </row>
    <row r="6718" spans="7:7">
      <c r="G6718"/>
    </row>
    <row r="6719" spans="7:7">
      <c r="G6719"/>
    </row>
    <row r="6720" spans="7:7">
      <c r="G6720"/>
    </row>
    <row r="6721" spans="7:7">
      <c r="G6721"/>
    </row>
    <row r="6722" spans="7:7">
      <c r="G6722"/>
    </row>
    <row r="6723" spans="7:7">
      <c r="G6723"/>
    </row>
    <row r="6724" spans="7:7">
      <c r="G6724"/>
    </row>
    <row r="6725" spans="7:7">
      <c r="G6725"/>
    </row>
    <row r="6726" spans="7:7">
      <c r="G6726"/>
    </row>
    <row r="6727" spans="7:7">
      <c r="G6727"/>
    </row>
    <row r="6728" spans="7:7">
      <c r="G6728"/>
    </row>
    <row r="6729" spans="7:7">
      <c r="G6729"/>
    </row>
    <row r="6730" spans="7:7">
      <c r="G6730"/>
    </row>
    <row r="6731" spans="7:7">
      <c r="G6731"/>
    </row>
    <row r="6732" spans="7:7">
      <c r="G6732"/>
    </row>
    <row r="6733" spans="7:7">
      <c r="G6733"/>
    </row>
    <row r="6734" spans="7:7">
      <c r="G6734"/>
    </row>
    <row r="6735" spans="7:7">
      <c r="G6735"/>
    </row>
    <row r="6736" spans="7:7">
      <c r="G6736"/>
    </row>
    <row r="6737" spans="7:7">
      <c r="G6737"/>
    </row>
    <row r="6738" spans="7:7">
      <c r="G6738"/>
    </row>
    <row r="6739" spans="7:7">
      <c r="G6739"/>
    </row>
    <row r="6740" spans="7:7">
      <c r="G6740"/>
    </row>
    <row r="6741" spans="7:7">
      <c r="G6741"/>
    </row>
    <row r="6742" spans="7:7">
      <c r="G6742"/>
    </row>
    <row r="6743" spans="7:7">
      <c r="G6743"/>
    </row>
    <row r="6744" spans="7:7">
      <c r="G6744"/>
    </row>
    <row r="6745" spans="7:7">
      <c r="G6745"/>
    </row>
    <row r="6746" spans="7:7">
      <c r="G6746"/>
    </row>
    <row r="6747" spans="7:7">
      <c r="G6747"/>
    </row>
    <row r="6748" spans="7:7">
      <c r="G6748"/>
    </row>
    <row r="6749" spans="7:7">
      <c r="G6749"/>
    </row>
    <row r="6750" spans="7:7">
      <c r="G6750"/>
    </row>
    <row r="6751" spans="7:7">
      <c r="G6751"/>
    </row>
    <row r="6752" spans="7:7">
      <c r="G6752"/>
    </row>
    <row r="6753" spans="7:7">
      <c r="G6753"/>
    </row>
    <row r="6754" spans="7:7">
      <c r="G6754"/>
    </row>
    <row r="6755" spans="7:7">
      <c r="G6755"/>
    </row>
    <row r="6756" spans="7:7">
      <c r="G6756"/>
    </row>
    <row r="6757" spans="7:7">
      <c r="G6757"/>
    </row>
    <row r="6758" spans="7:7">
      <c r="G6758"/>
    </row>
    <row r="6759" spans="7:7">
      <c r="G6759"/>
    </row>
    <row r="6760" spans="7:7">
      <c r="G6760"/>
    </row>
    <row r="6761" spans="7:7">
      <c r="G6761"/>
    </row>
    <row r="6762" spans="7:7">
      <c r="G6762"/>
    </row>
    <row r="6763" spans="7:7">
      <c r="G6763"/>
    </row>
    <row r="6764" spans="7:7">
      <c r="G6764"/>
    </row>
    <row r="6765" spans="7:7">
      <c r="G6765"/>
    </row>
    <row r="6766" spans="7:7">
      <c r="G6766"/>
    </row>
    <row r="6767" spans="7:7">
      <c r="G6767"/>
    </row>
    <row r="6768" spans="7:7">
      <c r="G6768"/>
    </row>
    <row r="6769" spans="7:7">
      <c r="G6769"/>
    </row>
    <row r="6770" spans="7:7">
      <c r="G6770"/>
    </row>
    <row r="6771" spans="7:7">
      <c r="G6771"/>
    </row>
    <row r="6772" spans="7:7">
      <c r="G6772"/>
    </row>
    <row r="6773" spans="7:7">
      <c r="G6773"/>
    </row>
    <row r="6774" spans="7:7">
      <c r="G6774"/>
    </row>
    <row r="6775" spans="7:7">
      <c r="G6775"/>
    </row>
    <row r="6776" spans="7:7">
      <c r="G6776"/>
    </row>
    <row r="6777" spans="7:7">
      <c r="G6777"/>
    </row>
    <row r="6778" spans="7:7">
      <c r="G6778"/>
    </row>
    <row r="6779" spans="7:7">
      <c r="G6779"/>
    </row>
    <row r="6780" spans="7:7">
      <c r="G6780"/>
    </row>
    <row r="6781" spans="7:7">
      <c r="G6781"/>
    </row>
    <row r="6782" spans="7:7">
      <c r="G6782"/>
    </row>
    <row r="6783" spans="7:7">
      <c r="G6783"/>
    </row>
    <row r="6784" spans="7:7">
      <c r="G6784"/>
    </row>
    <row r="6785" spans="7:7">
      <c r="G6785"/>
    </row>
    <row r="6786" spans="7:7">
      <c r="G6786"/>
    </row>
    <row r="6787" spans="7:7">
      <c r="G6787"/>
    </row>
    <row r="6788" spans="7:7">
      <c r="G6788"/>
    </row>
    <row r="6789" spans="7:7">
      <c r="G6789"/>
    </row>
    <row r="6790" spans="7:7">
      <c r="G6790"/>
    </row>
    <row r="6791" spans="7:7">
      <c r="G6791"/>
    </row>
    <row r="6792" spans="7:7">
      <c r="G6792"/>
    </row>
    <row r="6793" spans="7:7">
      <c r="G6793"/>
    </row>
    <row r="6794" spans="7:7">
      <c r="G6794"/>
    </row>
    <row r="6795" spans="7:7">
      <c r="G6795"/>
    </row>
    <row r="6796" spans="7:7">
      <c r="G6796"/>
    </row>
    <row r="6797" spans="7:7">
      <c r="G6797"/>
    </row>
    <row r="6798" spans="7:7">
      <c r="G6798"/>
    </row>
    <row r="6799" spans="7:7">
      <c r="G6799"/>
    </row>
    <row r="6800" spans="7:7">
      <c r="G6800"/>
    </row>
    <row r="6801" spans="7:7">
      <c r="G6801"/>
    </row>
    <row r="6802" spans="7:7">
      <c r="G6802"/>
    </row>
    <row r="6803" spans="7:7">
      <c r="G6803"/>
    </row>
    <row r="6804" spans="7:7">
      <c r="G6804"/>
    </row>
    <row r="6805" spans="7:7">
      <c r="G6805"/>
    </row>
    <row r="6806" spans="7:7">
      <c r="G6806"/>
    </row>
    <row r="6807" spans="7:7">
      <c r="G6807"/>
    </row>
    <row r="6808" spans="7:7">
      <c r="G6808"/>
    </row>
    <row r="6809" spans="7:7">
      <c r="G6809"/>
    </row>
    <row r="6810" spans="7:7">
      <c r="G6810"/>
    </row>
    <row r="6811" spans="7:7">
      <c r="G6811"/>
    </row>
    <row r="6812" spans="7:7">
      <c r="G6812"/>
    </row>
    <row r="6813" spans="7:7">
      <c r="G6813"/>
    </row>
    <row r="6814" spans="7:7">
      <c r="G6814"/>
    </row>
    <row r="6815" spans="7:7">
      <c r="G6815"/>
    </row>
    <row r="6816" spans="7:7">
      <c r="G6816"/>
    </row>
    <row r="6817" spans="7:7">
      <c r="G6817"/>
    </row>
    <row r="6818" spans="7:7">
      <c r="G6818"/>
    </row>
    <row r="6819" spans="7:7">
      <c r="G6819"/>
    </row>
    <row r="6820" spans="7:7">
      <c r="G6820"/>
    </row>
    <row r="6821" spans="7:7">
      <c r="G6821"/>
    </row>
    <row r="6822" spans="7:7">
      <c r="G6822"/>
    </row>
    <row r="6823" spans="7:7">
      <c r="G6823"/>
    </row>
    <row r="6824" spans="7:7">
      <c r="G6824"/>
    </row>
    <row r="6825" spans="7:7">
      <c r="G6825"/>
    </row>
    <row r="6826" spans="7:7">
      <c r="G6826"/>
    </row>
    <row r="6827" spans="7:7">
      <c r="G6827"/>
    </row>
    <row r="6828" spans="7:7">
      <c r="G6828"/>
    </row>
    <row r="6829" spans="7:7">
      <c r="G6829"/>
    </row>
    <row r="6830" spans="7:7">
      <c r="G6830"/>
    </row>
    <row r="6831" spans="7:7">
      <c r="G6831"/>
    </row>
    <row r="6832" spans="7:7">
      <c r="G6832"/>
    </row>
    <row r="6833" spans="7:7">
      <c r="G6833"/>
    </row>
    <row r="6834" spans="7:7">
      <c r="G6834"/>
    </row>
    <row r="6835" spans="7:7">
      <c r="G6835"/>
    </row>
    <row r="6836" spans="7:7">
      <c r="G6836"/>
    </row>
    <row r="6837" spans="7:7">
      <c r="G6837"/>
    </row>
    <row r="6838" spans="7:7">
      <c r="G6838"/>
    </row>
    <row r="6839" spans="7:7">
      <c r="G6839"/>
    </row>
    <row r="6840" spans="7:7">
      <c r="G6840"/>
    </row>
    <row r="6841" spans="7:7">
      <c r="G6841"/>
    </row>
    <row r="6842" spans="7:7">
      <c r="G6842"/>
    </row>
    <row r="6843" spans="7:7">
      <c r="G6843"/>
    </row>
    <row r="6844" spans="7:7">
      <c r="G6844"/>
    </row>
    <row r="6845" spans="7:7">
      <c r="G6845"/>
    </row>
    <row r="6846" spans="7:7">
      <c r="G6846"/>
    </row>
    <row r="6847" spans="7:7">
      <c r="G6847"/>
    </row>
    <row r="6848" spans="7:7">
      <c r="G6848"/>
    </row>
    <row r="6849" spans="7:7">
      <c r="G6849"/>
    </row>
    <row r="6850" spans="7:7">
      <c r="G6850"/>
    </row>
    <row r="6851" spans="7:7">
      <c r="G6851"/>
    </row>
    <row r="6852" spans="7:7">
      <c r="G6852"/>
    </row>
    <row r="6853" spans="7:7">
      <c r="G6853"/>
    </row>
    <row r="6854" spans="7:7">
      <c r="G6854"/>
    </row>
    <row r="6855" spans="7:7">
      <c r="G6855"/>
    </row>
    <row r="6856" spans="7:7">
      <c r="G6856"/>
    </row>
    <row r="6857" spans="7:7">
      <c r="G6857"/>
    </row>
    <row r="6858" spans="7:7">
      <c r="G6858"/>
    </row>
    <row r="6859" spans="7:7">
      <c r="G6859"/>
    </row>
    <row r="6860" spans="7:7">
      <c r="G6860"/>
    </row>
    <row r="6861" spans="7:7">
      <c r="G6861"/>
    </row>
    <row r="6862" spans="7:7">
      <c r="G6862"/>
    </row>
    <row r="6863" spans="7:7">
      <c r="G6863"/>
    </row>
    <row r="6864" spans="7:7">
      <c r="G6864"/>
    </row>
    <row r="6865" spans="7:7">
      <c r="G6865"/>
    </row>
    <row r="6866" spans="7:7">
      <c r="G6866"/>
    </row>
    <row r="6867" spans="7:7">
      <c r="G6867"/>
    </row>
    <row r="6868" spans="7:7">
      <c r="G6868"/>
    </row>
    <row r="6869" spans="7:7">
      <c r="G6869"/>
    </row>
    <row r="6870" spans="7:7">
      <c r="G6870"/>
    </row>
    <row r="6871" spans="7:7">
      <c r="G6871"/>
    </row>
    <row r="6872" spans="7:7">
      <c r="G6872"/>
    </row>
    <row r="6873" spans="7:7">
      <c r="G6873"/>
    </row>
    <row r="6874" spans="7:7">
      <c r="G6874"/>
    </row>
    <row r="6875" spans="7:7">
      <c r="G6875"/>
    </row>
    <row r="6876" spans="7:7">
      <c r="G6876"/>
    </row>
    <row r="6877" spans="7:7">
      <c r="G6877"/>
    </row>
    <row r="6878" spans="7:7">
      <c r="G6878"/>
    </row>
    <row r="6879" spans="7:7">
      <c r="G6879"/>
    </row>
    <row r="6880" spans="7:7">
      <c r="G6880"/>
    </row>
    <row r="6881" spans="7:7">
      <c r="G6881"/>
    </row>
    <row r="6882" spans="7:7">
      <c r="G6882"/>
    </row>
    <row r="6883" spans="7:7">
      <c r="G6883"/>
    </row>
    <row r="6884" spans="7:7">
      <c r="G6884"/>
    </row>
    <row r="6885" spans="7:7">
      <c r="G6885"/>
    </row>
    <row r="6886" spans="7:7">
      <c r="G6886"/>
    </row>
    <row r="6887" spans="7:7">
      <c r="G6887"/>
    </row>
    <row r="6888" spans="7:7">
      <c r="G6888"/>
    </row>
    <row r="6889" spans="7:7">
      <c r="G6889"/>
    </row>
    <row r="6890" spans="7:7">
      <c r="G6890"/>
    </row>
    <row r="6891" spans="7:7">
      <c r="G6891"/>
    </row>
    <row r="6892" spans="7:7">
      <c r="G6892"/>
    </row>
    <row r="6893" spans="7:7">
      <c r="G6893"/>
    </row>
    <row r="6894" spans="7:7">
      <c r="G6894"/>
    </row>
    <row r="6895" spans="7:7">
      <c r="G6895"/>
    </row>
    <row r="6896" spans="7:7">
      <c r="G6896"/>
    </row>
    <row r="6897" spans="7:7">
      <c r="G6897"/>
    </row>
    <row r="6898" spans="7:7">
      <c r="G6898"/>
    </row>
    <row r="6899" spans="7:7">
      <c r="G6899"/>
    </row>
    <row r="6900" spans="7:7">
      <c r="G6900"/>
    </row>
    <row r="6901" spans="7:7">
      <c r="G6901"/>
    </row>
    <row r="6902" spans="7:7">
      <c r="G6902"/>
    </row>
    <row r="6903" spans="7:7">
      <c r="G6903"/>
    </row>
    <row r="6904" spans="7:7">
      <c r="G6904"/>
    </row>
    <row r="6905" spans="7:7">
      <c r="G6905"/>
    </row>
    <row r="6906" spans="7:7">
      <c r="G6906"/>
    </row>
    <row r="6907" spans="7:7">
      <c r="G6907"/>
    </row>
    <row r="6908" spans="7:7">
      <c r="G6908"/>
    </row>
    <row r="6909" spans="7:7">
      <c r="G6909"/>
    </row>
    <row r="6910" spans="7:7">
      <c r="G6910"/>
    </row>
    <row r="6911" spans="7:7">
      <c r="G6911"/>
    </row>
    <row r="6912" spans="7:7">
      <c r="G6912"/>
    </row>
    <row r="6913" spans="7:7">
      <c r="G6913"/>
    </row>
    <row r="6914" spans="7:7">
      <c r="G6914"/>
    </row>
    <row r="6915" spans="7:7">
      <c r="G6915"/>
    </row>
    <row r="6916" spans="7:7">
      <c r="G6916"/>
    </row>
    <row r="6917" spans="7:7">
      <c r="G6917"/>
    </row>
    <row r="6918" spans="7:7">
      <c r="G6918"/>
    </row>
    <row r="6919" spans="7:7">
      <c r="G6919"/>
    </row>
    <row r="6920" spans="7:7">
      <c r="G6920"/>
    </row>
    <row r="6921" spans="7:7">
      <c r="G6921"/>
    </row>
    <row r="6922" spans="7:7">
      <c r="G6922"/>
    </row>
    <row r="6923" spans="7:7">
      <c r="G6923"/>
    </row>
    <row r="6924" spans="7:7">
      <c r="G6924"/>
    </row>
    <row r="6925" spans="7:7">
      <c r="G6925"/>
    </row>
    <row r="6926" spans="7:7">
      <c r="G6926"/>
    </row>
    <row r="6927" spans="7:7">
      <c r="G6927"/>
    </row>
    <row r="6928" spans="7:7">
      <c r="G6928"/>
    </row>
    <row r="6929" spans="7:7">
      <c r="G6929"/>
    </row>
    <row r="6930" spans="7:7">
      <c r="G6930"/>
    </row>
    <row r="6931" spans="7:7">
      <c r="G6931"/>
    </row>
    <row r="6932" spans="7:7">
      <c r="G6932"/>
    </row>
    <row r="6933" spans="7:7">
      <c r="G6933"/>
    </row>
    <row r="6934" spans="7:7">
      <c r="G6934"/>
    </row>
    <row r="6935" spans="7:7">
      <c r="G6935"/>
    </row>
    <row r="6936" spans="7:7">
      <c r="G6936"/>
    </row>
    <row r="6937" spans="7:7">
      <c r="G6937"/>
    </row>
    <row r="6938" spans="7:7">
      <c r="G6938"/>
    </row>
    <row r="6939" spans="7:7">
      <c r="G6939"/>
    </row>
    <row r="6940" spans="7:7">
      <c r="G6940"/>
    </row>
    <row r="6941" spans="7:7">
      <c r="G6941"/>
    </row>
    <row r="6942" spans="7:7">
      <c r="G6942"/>
    </row>
    <row r="6943" spans="7:7">
      <c r="G6943"/>
    </row>
    <row r="6944" spans="7:7">
      <c r="G6944"/>
    </row>
    <row r="6945" spans="7:7">
      <c r="G6945"/>
    </row>
    <row r="6946" spans="7:7">
      <c r="G6946"/>
    </row>
    <row r="6947" spans="7:7">
      <c r="G6947"/>
    </row>
    <row r="6948" spans="7:7">
      <c r="G6948"/>
    </row>
    <row r="6949" spans="7:7">
      <c r="G6949"/>
    </row>
    <row r="6950" spans="7:7">
      <c r="G6950"/>
    </row>
    <row r="6951" spans="7:7">
      <c r="G6951"/>
    </row>
    <row r="6952" spans="7:7">
      <c r="G6952"/>
    </row>
    <row r="6953" spans="7:7">
      <c r="G6953"/>
    </row>
    <row r="6954" spans="7:7">
      <c r="G6954"/>
    </row>
    <row r="6955" spans="7:7">
      <c r="G6955"/>
    </row>
    <row r="6956" spans="7:7">
      <c r="G6956"/>
    </row>
    <row r="6957" spans="7:7">
      <c r="G6957"/>
    </row>
    <row r="6958" spans="7:7">
      <c r="G6958"/>
    </row>
    <row r="6959" spans="7:7">
      <c r="G6959"/>
    </row>
    <row r="6960" spans="7:7">
      <c r="G6960"/>
    </row>
    <row r="6961" spans="7:7">
      <c r="G6961"/>
    </row>
    <row r="6962" spans="7:7">
      <c r="G6962"/>
    </row>
    <row r="6963" spans="7:7">
      <c r="G6963"/>
    </row>
    <row r="6964" spans="7:7">
      <c r="G6964"/>
    </row>
    <row r="6965" spans="7:7">
      <c r="G6965"/>
    </row>
    <row r="6966" spans="7:7">
      <c r="G6966"/>
    </row>
    <row r="6967" spans="7:7">
      <c r="G6967"/>
    </row>
    <row r="6968" spans="7:7">
      <c r="G6968"/>
    </row>
    <row r="6969" spans="7:7">
      <c r="G6969"/>
    </row>
    <row r="6970" spans="7:7">
      <c r="G6970"/>
    </row>
    <row r="6971" spans="7:7">
      <c r="G6971"/>
    </row>
    <row r="6972" spans="7:7">
      <c r="G6972"/>
    </row>
    <row r="6973" spans="7:7">
      <c r="G6973"/>
    </row>
    <row r="6974" spans="7:7">
      <c r="G6974"/>
    </row>
    <row r="6975" spans="7:7">
      <c r="G6975"/>
    </row>
    <row r="6976" spans="7:7">
      <c r="G6976"/>
    </row>
    <row r="6977" spans="7:7">
      <c r="G6977"/>
    </row>
    <row r="6978" spans="7:7">
      <c r="G6978"/>
    </row>
    <row r="6979" spans="7:7">
      <c r="G6979"/>
    </row>
    <row r="6980" spans="7:7">
      <c r="G6980"/>
    </row>
    <row r="6981" spans="7:7">
      <c r="G6981"/>
    </row>
    <row r="6982" spans="7:7">
      <c r="G6982"/>
    </row>
    <row r="6983" spans="7:7">
      <c r="G6983"/>
    </row>
    <row r="6984" spans="7:7">
      <c r="G6984"/>
    </row>
    <row r="6985" spans="7:7">
      <c r="G6985"/>
    </row>
    <row r="6986" spans="7:7">
      <c r="G6986"/>
    </row>
    <row r="6987" spans="7:7">
      <c r="G6987"/>
    </row>
    <row r="6988" spans="7:7">
      <c r="G6988"/>
    </row>
    <row r="6989" spans="7:7">
      <c r="G6989"/>
    </row>
    <row r="6990" spans="7:7">
      <c r="G6990"/>
    </row>
    <row r="6991" spans="7:7">
      <c r="G6991"/>
    </row>
    <row r="6992" spans="7:7">
      <c r="G6992"/>
    </row>
    <row r="6993" spans="7:7">
      <c r="G6993"/>
    </row>
    <row r="6994" spans="7:7">
      <c r="G6994"/>
    </row>
    <row r="6995" spans="7:7">
      <c r="G6995"/>
    </row>
    <row r="6996" spans="7:7">
      <c r="G6996"/>
    </row>
    <row r="6997" spans="7:7">
      <c r="G6997"/>
    </row>
    <row r="6998" spans="7:7">
      <c r="G6998"/>
    </row>
    <row r="6999" spans="7:7">
      <c r="G6999"/>
    </row>
    <row r="7000" spans="7:7">
      <c r="G7000"/>
    </row>
    <row r="7001" spans="7:7">
      <c r="G7001"/>
    </row>
    <row r="7002" spans="7:7">
      <c r="G7002"/>
    </row>
    <row r="7003" spans="7:7">
      <c r="G7003"/>
    </row>
    <row r="7004" spans="7:7">
      <c r="G7004"/>
    </row>
    <row r="7005" spans="7:7">
      <c r="G7005"/>
    </row>
    <row r="7006" spans="7:7">
      <c r="G7006"/>
    </row>
    <row r="7007" spans="7:7">
      <c r="G7007"/>
    </row>
    <row r="7008" spans="7:7">
      <c r="G7008"/>
    </row>
    <row r="7009" spans="7:7">
      <c r="G7009"/>
    </row>
    <row r="7010" spans="7:7">
      <c r="G7010"/>
    </row>
    <row r="7011" spans="7:7">
      <c r="G7011"/>
    </row>
    <row r="7012" spans="7:7">
      <c r="G7012"/>
    </row>
    <row r="7013" spans="7:7">
      <c r="G7013"/>
    </row>
    <row r="7014" spans="7:7">
      <c r="G7014"/>
    </row>
    <row r="7015" spans="7:7">
      <c r="G7015"/>
    </row>
    <row r="7016" spans="7:7">
      <c r="G7016"/>
    </row>
    <row r="7017" spans="7:7">
      <c r="G7017"/>
    </row>
    <row r="7018" spans="7:7">
      <c r="G7018"/>
    </row>
    <row r="7019" spans="7:7">
      <c r="G7019"/>
    </row>
    <row r="7020" spans="7:7">
      <c r="G7020"/>
    </row>
    <row r="7021" spans="7:7">
      <c r="G7021"/>
    </row>
    <row r="7022" spans="7:7">
      <c r="G7022"/>
    </row>
    <row r="7023" spans="7:7">
      <c r="G7023"/>
    </row>
    <row r="7024" spans="7:7">
      <c r="G7024"/>
    </row>
    <row r="7025" spans="7:7">
      <c r="G7025"/>
    </row>
    <row r="7026" spans="7:7">
      <c r="G7026"/>
    </row>
    <row r="7027" spans="7:7">
      <c r="G7027"/>
    </row>
    <row r="7028" spans="7:7">
      <c r="G7028"/>
    </row>
    <row r="7029" spans="7:7">
      <c r="G7029"/>
    </row>
    <row r="7030" spans="7:7">
      <c r="G7030"/>
    </row>
    <row r="7031" spans="7:7">
      <c r="G7031"/>
    </row>
    <row r="7032" spans="7:7">
      <c r="G7032"/>
    </row>
    <row r="7033" spans="7:7">
      <c r="G7033"/>
    </row>
    <row r="7034" spans="7:7">
      <c r="G7034"/>
    </row>
    <row r="7035" spans="7:7">
      <c r="G7035"/>
    </row>
    <row r="7036" spans="7:7">
      <c r="G7036"/>
    </row>
    <row r="7037" spans="7:7">
      <c r="G7037"/>
    </row>
    <row r="7038" spans="7:7">
      <c r="G7038"/>
    </row>
    <row r="7039" spans="7:7">
      <c r="G7039"/>
    </row>
    <row r="7040" spans="7:7">
      <c r="G7040"/>
    </row>
    <row r="7041" spans="7:7">
      <c r="G7041"/>
    </row>
    <row r="7042" spans="7:7">
      <c r="G7042"/>
    </row>
    <row r="7043" spans="7:7">
      <c r="G7043"/>
    </row>
    <row r="7044" spans="7:7">
      <c r="G7044"/>
    </row>
    <row r="7045" spans="7:7">
      <c r="G7045"/>
    </row>
    <row r="7046" spans="7:7">
      <c r="G7046"/>
    </row>
    <row r="7047" spans="7:7">
      <c r="G7047"/>
    </row>
    <row r="7048" spans="7:7">
      <c r="G7048"/>
    </row>
    <row r="7049" spans="7:7">
      <c r="G7049"/>
    </row>
    <row r="7050" spans="7:7">
      <c r="G7050"/>
    </row>
    <row r="7051" spans="7:7">
      <c r="G7051"/>
    </row>
    <row r="7052" spans="7:7">
      <c r="G7052"/>
    </row>
    <row r="7053" spans="7:7">
      <c r="G7053"/>
    </row>
    <row r="7054" spans="7:7">
      <c r="G7054"/>
    </row>
    <row r="7055" spans="7:7">
      <c r="G7055"/>
    </row>
    <row r="7056" spans="7:7">
      <c r="G7056"/>
    </row>
    <row r="7057" spans="7:7">
      <c r="G7057"/>
    </row>
    <row r="7058" spans="7:7">
      <c r="G7058"/>
    </row>
    <row r="7059" spans="7:7">
      <c r="G7059"/>
    </row>
    <row r="7060" spans="7:7">
      <c r="G7060"/>
    </row>
    <row r="7061" spans="7:7">
      <c r="G7061"/>
    </row>
    <row r="7062" spans="7:7">
      <c r="G7062"/>
    </row>
    <row r="7063" spans="7:7">
      <c r="G7063"/>
    </row>
    <row r="7064" spans="7:7">
      <c r="G7064"/>
    </row>
    <row r="7065" spans="7:7">
      <c r="G7065"/>
    </row>
    <row r="7066" spans="7:7">
      <c r="G7066"/>
    </row>
    <row r="7067" spans="7:7">
      <c r="G7067"/>
    </row>
    <row r="7068" spans="7:7">
      <c r="G7068"/>
    </row>
    <row r="7069" spans="7:7">
      <c r="G7069"/>
    </row>
    <row r="7070" spans="7:7">
      <c r="G7070"/>
    </row>
    <row r="7071" spans="7:7">
      <c r="G7071"/>
    </row>
    <row r="7072" spans="7:7">
      <c r="G7072"/>
    </row>
    <row r="7073" spans="7:7">
      <c r="G7073"/>
    </row>
    <row r="7074" spans="7:7">
      <c r="G7074"/>
    </row>
    <row r="7075" spans="7:7">
      <c r="G7075"/>
    </row>
    <row r="7076" spans="7:7">
      <c r="G7076"/>
    </row>
    <row r="7077" spans="7:7">
      <c r="G7077"/>
    </row>
    <row r="7078" spans="7:7">
      <c r="G7078"/>
    </row>
    <row r="7079" spans="7:7">
      <c r="G7079"/>
    </row>
    <row r="7080" spans="7:7">
      <c r="G7080"/>
    </row>
    <row r="7081" spans="7:7">
      <c r="G7081"/>
    </row>
    <row r="7082" spans="7:7">
      <c r="G7082"/>
    </row>
    <row r="7083" spans="7:7">
      <c r="G7083"/>
    </row>
    <row r="7084" spans="7:7">
      <c r="G7084"/>
    </row>
    <row r="7085" spans="7:7">
      <c r="G7085"/>
    </row>
    <row r="7086" spans="7:7">
      <c r="G7086"/>
    </row>
    <row r="7087" spans="7:7">
      <c r="G7087"/>
    </row>
    <row r="7088" spans="7:7">
      <c r="G7088"/>
    </row>
    <row r="7089" spans="7:7">
      <c r="G7089"/>
    </row>
    <row r="7090" spans="7:7">
      <c r="G7090"/>
    </row>
    <row r="7091" spans="7:7">
      <c r="G7091"/>
    </row>
    <row r="7092" spans="7:7">
      <c r="G7092"/>
    </row>
    <row r="7093" spans="7:7">
      <c r="G7093"/>
    </row>
    <row r="7094" spans="7:7">
      <c r="G7094"/>
    </row>
    <row r="7095" spans="7:7">
      <c r="G7095"/>
    </row>
    <row r="7096" spans="7:7">
      <c r="G7096"/>
    </row>
    <row r="7097" spans="7:7">
      <c r="G7097"/>
    </row>
    <row r="7098" spans="7:7">
      <c r="G7098"/>
    </row>
    <row r="7099" spans="7:7">
      <c r="G7099"/>
    </row>
    <row r="7100" spans="7:7">
      <c r="G7100"/>
    </row>
    <row r="7101" spans="7:7">
      <c r="G7101"/>
    </row>
    <row r="7102" spans="7:7">
      <c r="G7102"/>
    </row>
    <row r="7103" spans="7:7">
      <c r="G7103"/>
    </row>
    <row r="7104" spans="7:7">
      <c r="G7104"/>
    </row>
    <row r="7105" spans="7:7">
      <c r="G7105"/>
    </row>
    <row r="7106" spans="7:7">
      <c r="G7106"/>
    </row>
    <row r="7107" spans="7:7">
      <c r="G7107"/>
    </row>
    <row r="7108" spans="7:7">
      <c r="G7108"/>
    </row>
    <row r="7109" spans="7:7">
      <c r="G7109"/>
    </row>
    <row r="7110" spans="7:7">
      <c r="G7110"/>
    </row>
    <row r="7111" spans="7:7">
      <c r="G7111"/>
    </row>
    <row r="7112" spans="7:7">
      <c r="G7112"/>
    </row>
    <row r="7113" spans="7:7">
      <c r="G7113"/>
    </row>
    <row r="7114" spans="7:7">
      <c r="G7114"/>
    </row>
    <row r="7115" spans="7:7">
      <c r="G7115"/>
    </row>
    <row r="7116" spans="7:7">
      <c r="G7116"/>
    </row>
    <row r="7117" spans="7:7">
      <c r="G7117"/>
    </row>
    <row r="7118" spans="7:7">
      <c r="G7118"/>
    </row>
    <row r="7119" spans="7:7">
      <c r="G7119"/>
    </row>
    <row r="7120" spans="7:7">
      <c r="G7120"/>
    </row>
    <row r="7121" spans="7:7">
      <c r="G7121"/>
    </row>
    <row r="7122" spans="7:7">
      <c r="G7122"/>
    </row>
    <row r="7123" spans="7:7">
      <c r="G7123"/>
    </row>
    <row r="7124" spans="7:7">
      <c r="G7124"/>
    </row>
    <row r="7125" spans="7:7">
      <c r="G7125"/>
    </row>
    <row r="7126" spans="7:7">
      <c r="G7126"/>
    </row>
    <row r="7127" spans="7:7">
      <c r="G7127"/>
    </row>
    <row r="7128" spans="7:7">
      <c r="G7128"/>
    </row>
    <row r="7129" spans="7:7">
      <c r="G7129"/>
    </row>
    <row r="7130" spans="7:7">
      <c r="G7130"/>
    </row>
    <row r="7131" spans="7:7">
      <c r="G7131"/>
    </row>
    <row r="7132" spans="7:7">
      <c r="G7132"/>
    </row>
    <row r="7133" spans="7:7">
      <c r="G7133"/>
    </row>
    <row r="7134" spans="7:7">
      <c r="G7134"/>
    </row>
    <row r="7135" spans="7:7">
      <c r="G7135"/>
    </row>
    <row r="7136" spans="7:7">
      <c r="G7136"/>
    </row>
    <row r="7137" spans="7:7">
      <c r="G7137"/>
    </row>
    <row r="7138" spans="7:7">
      <c r="G7138"/>
    </row>
    <row r="7139" spans="7:7">
      <c r="G7139"/>
    </row>
    <row r="7140" spans="7:7">
      <c r="G7140"/>
    </row>
    <row r="7141" spans="7:7">
      <c r="G7141"/>
    </row>
    <row r="7142" spans="7:7">
      <c r="G7142"/>
    </row>
    <row r="7143" spans="7:7">
      <c r="G7143"/>
    </row>
    <row r="7144" spans="7:7">
      <c r="G7144"/>
    </row>
    <row r="7145" spans="7:7">
      <c r="G7145"/>
    </row>
    <row r="7146" spans="7:7">
      <c r="G7146"/>
    </row>
    <row r="7147" spans="7:7">
      <c r="G7147"/>
    </row>
    <row r="7148" spans="7:7">
      <c r="G7148"/>
    </row>
    <row r="7149" spans="7:7">
      <c r="G7149"/>
    </row>
    <row r="7150" spans="7:7">
      <c r="G7150"/>
    </row>
    <row r="7151" spans="7:7">
      <c r="G7151"/>
    </row>
    <row r="7152" spans="7:7">
      <c r="G7152"/>
    </row>
    <row r="7153" spans="7:7">
      <c r="G7153"/>
    </row>
    <row r="7154" spans="7:7">
      <c r="G7154"/>
    </row>
    <row r="7155" spans="7:7">
      <c r="G7155"/>
    </row>
    <row r="7156" spans="7:7">
      <c r="G7156"/>
    </row>
    <row r="7157" spans="7:7">
      <c r="G7157"/>
    </row>
    <row r="7158" spans="7:7">
      <c r="G7158"/>
    </row>
    <row r="7159" spans="7:7">
      <c r="G7159"/>
    </row>
    <row r="7160" spans="7:7">
      <c r="G7160"/>
    </row>
    <row r="7161" spans="7:7">
      <c r="G7161"/>
    </row>
    <row r="7162" spans="7:7">
      <c r="G7162"/>
    </row>
    <row r="7163" spans="7:7">
      <c r="G7163"/>
    </row>
    <row r="7164" spans="7:7">
      <c r="G7164"/>
    </row>
    <row r="7165" spans="7:7">
      <c r="G7165"/>
    </row>
    <row r="7166" spans="7:7">
      <c r="G7166"/>
    </row>
    <row r="7167" spans="7:7">
      <c r="G7167"/>
    </row>
    <row r="7168" spans="7:7">
      <c r="G7168"/>
    </row>
    <row r="7169" spans="7:7">
      <c r="G7169"/>
    </row>
    <row r="7170" spans="7:7">
      <c r="G7170"/>
    </row>
    <row r="7171" spans="7:7">
      <c r="G7171"/>
    </row>
    <row r="7172" spans="7:7">
      <c r="G7172"/>
    </row>
    <row r="7173" spans="7:7">
      <c r="G7173"/>
    </row>
    <row r="7174" spans="7:7">
      <c r="G7174"/>
    </row>
    <row r="7175" spans="7:7">
      <c r="G7175"/>
    </row>
    <row r="7176" spans="7:7">
      <c r="G7176"/>
    </row>
    <row r="7177" spans="7:7">
      <c r="G7177"/>
    </row>
    <row r="7178" spans="7:7">
      <c r="G7178"/>
    </row>
    <row r="7179" spans="7:7">
      <c r="G7179"/>
    </row>
    <row r="7180" spans="7:7">
      <c r="G7180"/>
    </row>
    <row r="7181" spans="7:7">
      <c r="G7181"/>
    </row>
    <row r="7182" spans="7:7">
      <c r="G7182"/>
    </row>
    <row r="7183" spans="7:7">
      <c r="G7183"/>
    </row>
    <row r="7184" spans="7:7">
      <c r="G7184"/>
    </row>
    <row r="7185" spans="7:7">
      <c r="G7185"/>
    </row>
    <row r="7186" spans="7:7">
      <c r="G7186"/>
    </row>
    <row r="7187" spans="7:7">
      <c r="G7187"/>
    </row>
    <row r="7188" spans="7:7">
      <c r="G7188"/>
    </row>
    <row r="7189" spans="7:7">
      <c r="G7189"/>
    </row>
    <row r="7190" spans="7:7">
      <c r="G7190"/>
    </row>
    <row r="7191" spans="7:7">
      <c r="G7191"/>
    </row>
    <row r="7192" spans="7:7">
      <c r="G7192"/>
    </row>
    <row r="7193" spans="7:7">
      <c r="G7193"/>
    </row>
    <row r="7194" spans="7:7">
      <c r="G7194"/>
    </row>
    <row r="7195" spans="7:7">
      <c r="G7195"/>
    </row>
    <row r="7196" spans="7:7">
      <c r="G7196"/>
    </row>
    <row r="7197" spans="7:7">
      <c r="G7197"/>
    </row>
    <row r="7198" spans="7:7">
      <c r="G7198"/>
    </row>
    <row r="7199" spans="7:7">
      <c r="G7199"/>
    </row>
    <row r="7200" spans="7:7">
      <c r="G7200"/>
    </row>
    <row r="7201" spans="7:7">
      <c r="G7201"/>
    </row>
    <row r="7202" spans="7:7">
      <c r="G7202"/>
    </row>
    <row r="7203" spans="7:7">
      <c r="G7203"/>
    </row>
    <row r="7204" spans="7:7">
      <c r="G7204"/>
    </row>
    <row r="7205" spans="7:7">
      <c r="G7205"/>
    </row>
    <row r="7206" spans="7:7">
      <c r="G7206"/>
    </row>
    <row r="7207" spans="7:7">
      <c r="G7207"/>
    </row>
    <row r="7208" spans="7:7">
      <c r="G7208"/>
    </row>
    <row r="7209" spans="7:7">
      <c r="G7209"/>
    </row>
    <row r="7210" spans="7:7">
      <c r="G7210"/>
    </row>
    <row r="7211" spans="7:7">
      <c r="G7211"/>
    </row>
    <row r="7212" spans="7:7">
      <c r="G7212"/>
    </row>
    <row r="7213" spans="7:7">
      <c r="G7213"/>
    </row>
    <row r="7214" spans="7:7">
      <c r="G7214"/>
    </row>
    <row r="7215" spans="7:7">
      <c r="G7215"/>
    </row>
    <row r="7216" spans="7:7">
      <c r="G7216"/>
    </row>
    <row r="7217" spans="7:7">
      <c r="G7217"/>
    </row>
    <row r="7218" spans="7:7">
      <c r="G7218"/>
    </row>
    <row r="7219" spans="7:7">
      <c r="G7219"/>
    </row>
    <row r="7220" spans="7:7">
      <c r="G7220"/>
    </row>
    <row r="7221" spans="7:7">
      <c r="G7221"/>
    </row>
    <row r="7222" spans="7:7">
      <c r="G7222"/>
    </row>
    <row r="7223" spans="7:7">
      <c r="G7223"/>
    </row>
    <row r="7224" spans="7:7">
      <c r="G7224"/>
    </row>
    <row r="7225" spans="7:7">
      <c r="G7225"/>
    </row>
    <row r="7226" spans="7:7">
      <c r="G7226"/>
    </row>
    <row r="7227" spans="7:7">
      <c r="G7227"/>
    </row>
    <row r="7228" spans="7:7">
      <c r="G7228"/>
    </row>
    <row r="7229" spans="7:7">
      <c r="G7229"/>
    </row>
    <row r="7230" spans="7:7">
      <c r="G7230"/>
    </row>
    <row r="7231" spans="7:7">
      <c r="G7231"/>
    </row>
    <row r="7232" spans="7:7">
      <c r="G7232"/>
    </row>
    <row r="7233" spans="7:7">
      <c r="G7233"/>
    </row>
    <row r="7234" spans="7:7">
      <c r="G7234"/>
    </row>
    <row r="7235" spans="7:7">
      <c r="G7235"/>
    </row>
    <row r="7236" spans="7:7">
      <c r="G7236"/>
    </row>
    <row r="7237" spans="7:7">
      <c r="G7237"/>
    </row>
    <row r="7238" spans="7:7">
      <c r="G7238"/>
    </row>
    <row r="7239" spans="7:7">
      <c r="G7239"/>
    </row>
    <row r="7240" spans="7:7">
      <c r="G7240"/>
    </row>
    <row r="7241" spans="7:7">
      <c r="G7241"/>
    </row>
    <row r="7242" spans="7:7">
      <c r="G7242"/>
    </row>
    <row r="7243" spans="7:7">
      <c r="G7243"/>
    </row>
    <row r="7244" spans="7:7">
      <c r="G7244"/>
    </row>
    <row r="7245" spans="7:7">
      <c r="G7245"/>
    </row>
    <row r="7246" spans="7:7">
      <c r="G7246"/>
    </row>
    <row r="7247" spans="7:7">
      <c r="G7247"/>
    </row>
    <row r="7248" spans="7:7">
      <c r="G7248"/>
    </row>
    <row r="7249" spans="7:7">
      <c r="G7249"/>
    </row>
    <row r="7250" spans="7:7">
      <c r="G7250"/>
    </row>
    <row r="7251" spans="7:7">
      <c r="G7251"/>
    </row>
    <row r="7252" spans="7:7">
      <c r="G7252"/>
    </row>
    <row r="7253" spans="7:7">
      <c r="G7253"/>
    </row>
    <row r="7254" spans="7:7">
      <c r="G7254"/>
    </row>
    <row r="7255" spans="7:7">
      <c r="G7255"/>
    </row>
    <row r="7256" spans="7:7">
      <c r="G7256"/>
    </row>
    <row r="7257" spans="7:7">
      <c r="G7257"/>
    </row>
    <row r="7258" spans="7:7">
      <c r="G7258"/>
    </row>
    <row r="7259" spans="7:7">
      <c r="G7259"/>
    </row>
    <row r="7260" spans="7:7">
      <c r="G7260"/>
    </row>
    <row r="7261" spans="7:7">
      <c r="G7261"/>
    </row>
    <row r="7262" spans="7:7">
      <c r="G7262"/>
    </row>
    <row r="7263" spans="7:7">
      <c r="G7263"/>
    </row>
    <row r="7264" spans="7:7">
      <c r="G7264"/>
    </row>
    <row r="7265" spans="7:7">
      <c r="G7265"/>
    </row>
    <row r="7266" spans="7:7">
      <c r="G7266"/>
    </row>
    <row r="7267" spans="7:7">
      <c r="G7267"/>
    </row>
    <row r="7268" spans="7:7">
      <c r="G7268"/>
    </row>
    <row r="7269" spans="7:7">
      <c r="G7269"/>
    </row>
    <row r="7270" spans="7:7">
      <c r="G7270"/>
    </row>
    <row r="7271" spans="7:7">
      <c r="G7271"/>
    </row>
    <row r="7272" spans="7:7">
      <c r="G7272"/>
    </row>
    <row r="7273" spans="7:7">
      <c r="G7273"/>
    </row>
    <row r="7274" spans="7:7">
      <c r="G7274"/>
    </row>
    <row r="7275" spans="7:7">
      <c r="G7275"/>
    </row>
    <row r="7276" spans="7:7">
      <c r="G7276"/>
    </row>
    <row r="7277" spans="7:7">
      <c r="G7277"/>
    </row>
    <row r="7278" spans="7:7">
      <c r="G7278"/>
    </row>
    <row r="7279" spans="7:7">
      <c r="G7279"/>
    </row>
    <row r="7280" spans="7:7">
      <c r="G7280"/>
    </row>
    <row r="7281" spans="7:7">
      <c r="G7281"/>
    </row>
    <row r="7282" spans="7:7">
      <c r="G7282"/>
    </row>
    <row r="7283" spans="7:7">
      <c r="G7283"/>
    </row>
    <row r="7284" spans="7:7">
      <c r="G7284"/>
    </row>
    <row r="7285" spans="7:7">
      <c r="G7285"/>
    </row>
    <row r="7286" spans="7:7">
      <c r="G7286"/>
    </row>
    <row r="7287" spans="7:7">
      <c r="G7287"/>
    </row>
    <row r="7288" spans="7:7">
      <c r="G7288"/>
    </row>
    <row r="7289" spans="7:7">
      <c r="G7289"/>
    </row>
    <row r="7290" spans="7:7">
      <c r="G7290"/>
    </row>
    <row r="7291" spans="7:7">
      <c r="G7291"/>
    </row>
    <row r="7292" spans="7:7">
      <c r="G7292"/>
    </row>
    <row r="7293" spans="7:7">
      <c r="G7293"/>
    </row>
    <row r="7294" spans="7:7">
      <c r="G7294"/>
    </row>
    <row r="7295" spans="7:7">
      <c r="G7295"/>
    </row>
    <row r="7296" spans="7:7">
      <c r="G7296"/>
    </row>
    <row r="7297" spans="7:7">
      <c r="G7297"/>
    </row>
    <row r="7298" spans="7:7">
      <c r="G7298"/>
    </row>
    <row r="7299" spans="7:7">
      <c r="G7299"/>
    </row>
    <row r="7300" spans="7:7">
      <c r="G7300"/>
    </row>
    <row r="7301" spans="7:7">
      <c r="G7301"/>
    </row>
    <row r="7302" spans="7:7">
      <c r="G7302"/>
    </row>
    <row r="7303" spans="7:7">
      <c r="G7303"/>
    </row>
    <row r="7304" spans="7:7">
      <c r="G7304"/>
    </row>
    <row r="7305" spans="7:7">
      <c r="G7305"/>
    </row>
    <row r="7306" spans="7:7">
      <c r="G7306"/>
    </row>
    <row r="7307" spans="7:7">
      <c r="G7307"/>
    </row>
    <row r="7308" spans="7:7">
      <c r="G7308"/>
    </row>
    <row r="7309" spans="7:7">
      <c r="G7309"/>
    </row>
    <row r="7310" spans="7:7">
      <c r="G7310"/>
    </row>
    <row r="7311" spans="7:7">
      <c r="G7311"/>
    </row>
    <row r="7312" spans="7:7">
      <c r="G7312"/>
    </row>
    <row r="7313" spans="7:7">
      <c r="G7313"/>
    </row>
    <row r="7314" spans="7:7">
      <c r="G7314"/>
    </row>
    <row r="7315" spans="7:7">
      <c r="G7315"/>
    </row>
    <row r="7316" spans="7:7">
      <c r="G7316"/>
    </row>
    <row r="7317" spans="7:7">
      <c r="G7317"/>
    </row>
    <row r="7318" spans="7:7">
      <c r="G7318"/>
    </row>
    <row r="7319" spans="7:7">
      <c r="G7319"/>
    </row>
    <row r="7320" spans="7:7">
      <c r="G7320"/>
    </row>
    <row r="7321" spans="7:7">
      <c r="G7321"/>
    </row>
    <row r="7322" spans="7:7">
      <c r="G7322"/>
    </row>
    <row r="7323" spans="7:7">
      <c r="G7323"/>
    </row>
    <row r="7324" spans="7:7">
      <c r="G7324"/>
    </row>
    <row r="7325" spans="7:7">
      <c r="G7325"/>
    </row>
    <row r="7326" spans="7:7">
      <c r="G7326"/>
    </row>
    <row r="7327" spans="7:7">
      <c r="G7327"/>
    </row>
    <row r="7328" spans="7:7">
      <c r="G7328"/>
    </row>
    <row r="7329" spans="7:7">
      <c r="G7329"/>
    </row>
    <row r="7330" spans="7:7">
      <c r="G7330"/>
    </row>
    <row r="7331" spans="7:7">
      <c r="G7331"/>
    </row>
    <row r="7332" spans="7:7">
      <c r="G7332"/>
    </row>
    <row r="7333" spans="7:7">
      <c r="G7333"/>
    </row>
    <row r="7334" spans="7:7">
      <c r="G7334"/>
    </row>
    <row r="7335" spans="7:7">
      <c r="G7335"/>
    </row>
    <row r="7336" spans="7:7">
      <c r="G7336"/>
    </row>
    <row r="7337" spans="7:7">
      <c r="G7337"/>
    </row>
    <row r="7338" spans="7:7">
      <c r="G7338"/>
    </row>
    <row r="7339" spans="7:7">
      <c r="G7339"/>
    </row>
    <row r="7340" spans="7:7">
      <c r="G7340"/>
    </row>
    <row r="7341" spans="7:7">
      <c r="G7341"/>
    </row>
    <row r="7342" spans="7:7">
      <c r="G7342"/>
    </row>
    <row r="7343" spans="7:7">
      <c r="G7343"/>
    </row>
    <row r="7344" spans="7:7">
      <c r="G7344"/>
    </row>
    <row r="7345" spans="7:7">
      <c r="G7345"/>
    </row>
    <row r="7346" spans="7:7">
      <c r="G7346"/>
    </row>
    <row r="7347" spans="7:7">
      <c r="G7347"/>
    </row>
    <row r="7348" spans="7:7">
      <c r="G7348"/>
    </row>
    <row r="7349" spans="7:7">
      <c r="G7349"/>
    </row>
    <row r="7350" spans="7:7">
      <c r="G7350"/>
    </row>
    <row r="7351" spans="7:7">
      <c r="G7351"/>
    </row>
    <row r="7352" spans="7:7">
      <c r="G7352"/>
    </row>
    <row r="7353" spans="7:7">
      <c r="G7353"/>
    </row>
    <row r="7354" spans="7:7">
      <c r="G7354"/>
    </row>
    <row r="7355" spans="7:7">
      <c r="G7355"/>
    </row>
    <row r="7356" spans="7:7">
      <c r="G7356"/>
    </row>
    <row r="7357" spans="7:7">
      <c r="G7357"/>
    </row>
    <row r="7358" spans="7:7">
      <c r="G7358"/>
    </row>
    <row r="7359" spans="7:7">
      <c r="G7359"/>
    </row>
    <row r="7360" spans="7:7">
      <c r="G7360"/>
    </row>
    <row r="7361" spans="7:7">
      <c r="G7361"/>
    </row>
    <row r="7362" spans="7:7">
      <c r="G7362"/>
    </row>
    <row r="7363" spans="7:7">
      <c r="G7363"/>
    </row>
    <row r="7364" spans="7:7">
      <c r="G7364"/>
    </row>
    <row r="7365" spans="7:7">
      <c r="G7365"/>
    </row>
    <row r="7366" spans="7:7">
      <c r="G7366"/>
    </row>
    <row r="7367" spans="7:7">
      <c r="G7367"/>
    </row>
    <row r="7368" spans="7:7">
      <c r="G7368"/>
    </row>
    <row r="7369" spans="7:7">
      <c r="G7369"/>
    </row>
    <row r="7370" spans="7:7">
      <c r="G7370"/>
    </row>
    <row r="7371" spans="7:7">
      <c r="G7371"/>
    </row>
    <row r="7372" spans="7:7">
      <c r="G7372"/>
    </row>
    <row r="7373" spans="7:7">
      <c r="G7373"/>
    </row>
    <row r="7374" spans="7:7">
      <c r="G7374"/>
    </row>
    <row r="7375" spans="7:7">
      <c r="G7375"/>
    </row>
    <row r="7376" spans="7:7">
      <c r="G7376"/>
    </row>
    <row r="7377" spans="7:7">
      <c r="G7377"/>
    </row>
    <row r="7378" spans="7:7">
      <c r="G7378"/>
    </row>
    <row r="7379" spans="7:7">
      <c r="G7379"/>
    </row>
    <row r="7380" spans="7:7">
      <c r="G7380"/>
    </row>
    <row r="7381" spans="7:7">
      <c r="G7381"/>
    </row>
    <row r="7382" spans="7:7">
      <c r="G7382"/>
    </row>
    <row r="7383" spans="7:7">
      <c r="G7383"/>
    </row>
    <row r="7384" spans="7:7">
      <c r="G7384"/>
    </row>
    <row r="7385" spans="7:7">
      <c r="G7385"/>
    </row>
    <row r="7386" spans="7:7">
      <c r="G7386"/>
    </row>
    <row r="7387" spans="7:7">
      <c r="G7387"/>
    </row>
    <row r="7388" spans="7:7">
      <c r="G7388"/>
    </row>
    <row r="7389" spans="7:7">
      <c r="G7389"/>
    </row>
    <row r="7390" spans="7:7">
      <c r="G7390"/>
    </row>
    <row r="7391" spans="7:7">
      <c r="G7391"/>
    </row>
    <row r="7392" spans="7:7">
      <c r="G7392"/>
    </row>
    <row r="7393" spans="7:7">
      <c r="G7393"/>
    </row>
    <row r="7394" spans="7:7">
      <c r="G7394"/>
    </row>
    <row r="7395" spans="7:7">
      <c r="G7395"/>
    </row>
    <row r="7396" spans="7:7">
      <c r="G7396"/>
    </row>
    <row r="7397" spans="7:7">
      <c r="G7397"/>
    </row>
    <row r="7398" spans="7:7">
      <c r="G7398"/>
    </row>
    <row r="7399" spans="7:7">
      <c r="G7399"/>
    </row>
    <row r="7400" spans="7:7">
      <c r="G7400"/>
    </row>
    <row r="7401" spans="7:7">
      <c r="G7401"/>
    </row>
    <row r="7402" spans="7:7">
      <c r="G7402"/>
    </row>
    <row r="7403" spans="7:7">
      <c r="G7403"/>
    </row>
    <row r="7404" spans="7:7">
      <c r="G7404"/>
    </row>
    <row r="7405" spans="7:7">
      <c r="G7405"/>
    </row>
    <row r="7406" spans="7:7">
      <c r="G7406"/>
    </row>
    <row r="7407" spans="7:7">
      <c r="G7407"/>
    </row>
    <row r="7408" spans="7:7">
      <c r="G7408"/>
    </row>
    <row r="7409" spans="7:7">
      <c r="G7409"/>
    </row>
    <row r="7410" spans="7:7">
      <c r="G7410"/>
    </row>
    <row r="7411" spans="7:7">
      <c r="G7411"/>
    </row>
    <row r="7412" spans="7:7">
      <c r="G7412"/>
    </row>
    <row r="7413" spans="7:7">
      <c r="G7413"/>
    </row>
    <row r="7414" spans="7:7">
      <c r="G7414"/>
    </row>
    <row r="7415" spans="7:7">
      <c r="G7415"/>
    </row>
    <row r="7416" spans="7:7">
      <c r="G7416"/>
    </row>
    <row r="7417" spans="7:7">
      <c r="G7417"/>
    </row>
    <row r="7418" spans="7:7">
      <c r="G7418"/>
    </row>
    <row r="7419" spans="7:7">
      <c r="G7419"/>
    </row>
    <row r="7420" spans="7:7">
      <c r="G7420"/>
    </row>
    <row r="7421" spans="7:7">
      <c r="G7421"/>
    </row>
    <row r="7422" spans="7:7">
      <c r="G7422"/>
    </row>
    <row r="7423" spans="7:7">
      <c r="G7423"/>
    </row>
    <row r="7424" spans="7:7">
      <c r="G7424"/>
    </row>
    <row r="7425" spans="7:7">
      <c r="G7425"/>
    </row>
    <row r="7426" spans="7:7">
      <c r="G7426"/>
    </row>
    <row r="7427" spans="7:7">
      <c r="G7427"/>
    </row>
    <row r="7428" spans="7:7">
      <c r="G7428"/>
    </row>
    <row r="7429" spans="7:7">
      <c r="G7429"/>
    </row>
    <row r="7430" spans="7:7">
      <c r="G7430"/>
    </row>
    <row r="7431" spans="7:7">
      <c r="G7431"/>
    </row>
    <row r="7432" spans="7:7">
      <c r="G7432"/>
    </row>
    <row r="7433" spans="7:7">
      <c r="G7433"/>
    </row>
    <row r="7434" spans="7:7">
      <c r="G7434"/>
    </row>
    <row r="7435" spans="7:7">
      <c r="G7435"/>
    </row>
    <row r="7436" spans="7:7">
      <c r="G7436"/>
    </row>
    <row r="7437" spans="7:7">
      <c r="G7437"/>
    </row>
    <row r="7438" spans="7:7">
      <c r="G7438"/>
    </row>
    <row r="7439" spans="7:7">
      <c r="G7439"/>
    </row>
    <row r="7440" spans="7:7">
      <c r="G7440"/>
    </row>
    <row r="7441" spans="7:7">
      <c r="G7441"/>
    </row>
    <row r="7442" spans="7:7">
      <c r="G7442"/>
    </row>
    <row r="7443" spans="7:7">
      <c r="G7443"/>
    </row>
    <row r="7444" spans="7:7">
      <c r="G7444"/>
    </row>
    <row r="7445" spans="7:7">
      <c r="G7445"/>
    </row>
    <row r="7446" spans="7:7">
      <c r="G7446"/>
    </row>
    <row r="7447" spans="7:7">
      <c r="G7447"/>
    </row>
    <row r="7448" spans="7:7">
      <c r="G7448"/>
    </row>
    <row r="7449" spans="7:7">
      <c r="G7449"/>
    </row>
    <row r="7450" spans="7:7">
      <c r="G7450"/>
    </row>
    <row r="7451" spans="7:7">
      <c r="G7451"/>
    </row>
    <row r="7452" spans="7:7">
      <c r="G7452"/>
    </row>
    <row r="7453" spans="7:7">
      <c r="G7453"/>
    </row>
    <row r="7454" spans="7:7">
      <c r="G7454"/>
    </row>
    <row r="7455" spans="7:7">
      <c r="G7455"/>
    </row>
    <row r="7456" spans="7:7">
      <c r="G7456"/>
    </row>
    <row r="7457" spans="7:7">
      <c r="G7457"/>
    </row>
    <row r="7458" spans="7:7">
      <c r="G7458"/>
    </row>
    <row r="7459" spans="7:7">
      <c r="G7459"/>
    </row>
    <row r="7460" spans="7:7">
      <c r="G7460"/>
    </row>
    <row r="7461" spans="7:7">
      <c r="G7461"/>
    </row>
    <row r="7462" spans="7:7">
      <c r="G7462"/>
    </row>
    <row r="7463" spans="7:7">
      <c r="G7463"/>
    </row>
    <row r="7464" spans="7:7">
      <c r="G7464"/>
    </row>
    <row r="7465" spans="7:7">
      <c r="G7465"/>
    </row>
    <row r="7466" spans="7:7">
      <c r="G7466"/>
    </row>
    <row r="7467" spans="7:7">
      <c r="G7467"/>
    </row>
    <row r="7468" spans="7:7">
      <c r="G7468"/>
    </row>
    <row r="7469" spans="7:7">
      <c r="G7469"/>
    </row>
    <row r="7470" spans="7:7">
      <c r="G7470"/>
    </row>
    <row r="7471" spans="7:7">
      <c r="G7471"/>
    </row>
    <row r="7472" spans="7:7">
      <c r="G7472"/>
    </row>
    <row r="7473" spans="7:7">
      <c r="G7473"/>
    </row>
    <row r="7474" spans="7:7">
      <c r="G7474"/>
    </row>
    <row r="7475" spans="7:7">
      <c r="G7475"/>
    </row>
    <row r="7476" spans="7:7">
      <c r="G7476"/>
    </row>
    <row r="7477" spans="7:7">
      <c r="G7477"/>
    </row>
    <row r="7478" spans="7:7">
      <c r="G7478"/>
    </row>
    <row r="7479" spans="7:7">
      <c r="G7479"/>
    </row>
    <row r="7480" spans="7:7">
      <c r="G7480"/>
    </row>
    <row r="7481" spans="7:7">
      <c r="G7481"/>
    </row>
    <row r="7482" spans="7:7">
      <c r="G7482"/>
    </row>
    <row r="7483" spans="7:7">
      <c r="G7483"/>
    </row>
    <row r="7484" spans="7:7">
      <c r="G7484"/>
    </row>
    <row r="7485" spans="7:7">
      <c r="G7485"/>
    </row>
    <row r="7486" spans="7:7">
      <c r="G7486"/>
    </row>
    <row r="7487" spans="7:7">
      <c r="G7487"/>
    </row>
    <row r="7488" spans="7:7">
      <c r="G7488"/>
    </row>
    <row r="7489" spans="7:7">
      <c r="G7489"/>
    </row>
    <row r="7490" spans="7:7">
      <c r="G7490"/>
    </row>
    <row r="7491" spans="7:7">
      <c r="G7491"/>
    </row>
    <row r="7492" spans="7:7">
      <c r="G7492"/>
    </row>
    <row r="7493" spans="7:7">
      <c r="G7493"/>
    </row>
    <row r="7494" spans="7:7">
      <c r="G7494"/>
    </row>
    <row r="7495" spans="7:7">
      <c r="G7495"/>
    </row>
    <row r="7496" spans="7:7">
      <c r="G7496"/>
    </row>
    <row r="7497" spans="7:7">
      <c r="G7497"/>
    </row>
    <row r="7498" spans="7:7">
      <c r="G7498"/>
    </row>
    <row r="7499" spans="7:7">
      <c r="G7499"/>
    </row>
    <row r="7500" spans="7:7">
      <c r="G7500"/>
    </row>
    <row r="7501" spans="7:7">
      <c r="G7501"/>
    </row>
    <row r="7502" spans="7:7">
      <c r="G7502"/>
    </row>
    <row r="7503" spans="7:7">
      <c r="G7503"/>
    </row>
    <row r="7504" spans="7:7">
      <c r="G7504"/>
    </row>
    <row r="7505" spans="7:7">
      <c r="G7505"/>
    </row>
    <row r="7506" spans="7:7">
      <c r="G7506"/>
    </row>
    <row r="7507" spans="7:7">
      <c r="G7507"/>
    </row>
    <row r="7508" spans="7:7">
      <c r="G7508"/>
    </row>
    <row r="7509" spans="7:7">
      <c r="G7509"/>
    </row>
    <row r="7510" spans="7:7">
      <c r="G7510"/>
    </row>
    <row r="7511" spans="7:7">
      <c r="G7511"/>
    </row>
    <row r="7512" spans="7:7">
      <c r="G7512"/>
    </row>
    <row r="7513" spans="7:7">
      <c r="G7513"/>
    </row>
    <row r="7514" spans="7:7">
      <c r="G7514"/>
    </row>
    <row r="7515" spans="7:7">
      <c r="G7515"/>
    </row>
    <row r="7516" spans="7:7">
      <c r="G7516"/>
    </row>
    <row r="7517" spans="7:7">
      <c r="G7517"/>
    </row>
    <row r="7518" spans="7:7">
      <c r="G7518"/>
    </row>
    <row r="7519" spans="7:7">
      <c r="G7519"/>
    </row>
    <row r="7520" spans="7:7">
      <c r="G7520"/>
    </row>
    <row r="7521" spans="7:7">
      <c r="G7521"/>
    </row>
    <row r="7522" spans="7:7">
      <c r="G7522"/>
    </row>
    <row r="7523" spans="7:7">
      <c r="G7523"/>
    </row>
    <row r="7524" spans="7:7">
      <c r="G7524"/>
    </row>
    <row r="7525" spans="7:7">
      <c r="G7525"/>
    </row>
    <row r="7526" spans="7:7">
      <c r="G7526"/>
    </row>
    <row r="7527" spans="7:7">
      <c r="G7527"/>
    </row>
    <row r="7528" spans="7:7">
      <c r="G7528"/>
    </row>
    <row r="7529" spans="7:7">
      <c r="G7529"/>
    </row>
    <row r="7530" spans="7:7">
      <c r="G7530"/>
    </row>
    <row r="7531" spans="7:7">
      <c r="G7531"/>
    </row>
    <row r="7532" spans="7:7">
      <c r="G7532"/>
    </row>
    <row r="7533" spans="7:7">
      <c r="G7533"/>
    </row>
    <row r="7534" spans="7:7">
      <c r="G7534"/>
    </row>
    <row r="7535" spans="7:7">
      <c r="G7535"/>
    </row>
    <row r="7536" spans="7:7">
      <c r="G7536"/>
    </row>
    <row r="7537" spans="7:7">
      <c r="G7537"/>
    </row>
    <row r="7538" spans="7:7">
      <c r="G7538"/>
    </row>
    <row r="7539" spans="7:7">
      <c r="G7539"/>
    </row>
    <row r="7540" spans="7:7">
      <c r="G7540"/>
    </row>
    <row r="7541" spans="7:7">
      <c r="G7541"/>
    </row>
    <row r="7542" spans="7:7">
      <c r="G7542"/>
    </row>
    <row r="7543" spans="7:7">
      <c r="G7543"/>
    </row>
    <row r="7544" spans="7:7">
      <c r="G7544"/>
    </row>
    <row r="7545" spans="7:7">
      <c r="G7545"/>
    </row>
    <row r="7546" spans="7:7">
      <c r="G7546"/>
    </row>
    <row r="7547" spans="7:7">
      <c r="G7547"/>
    </row>
    <row r="7548" spans="7:7">
      <c r="G7548"/>
    </row>
    <row r="7549" spans="7:7">
      <c r="G7549"/>
    </row>
    <row r="7550" spans="7:7">
      <c r="G7550"/>
    </row>
    <row r="7551" spans="7:7">
      <c r="G7551"/>
    </row>
    <row r="7552" spans="7:7">
      <c r="G7552"/>
    </row>
    <row r="7553" spans="7:7">
      <c r="G7553"/>
    </row>
    <row r="7554" spans="7:7">
      <c r="G7554"/>
    </row>
    <row r="7555" spans="7:7">
      <c r="G7555"/>
    </row>
    <row r="7556" spans="7:7">
      <c r="G7556"/>
    </row>
    <row r="7557" spans="7:7">
      <c r="G7557"/>
    </row>
    <row r="7558" spans="7:7">
      <c r="G7558"/>
    </row>
    <row r="7559" spans="7:7">
      <c r="G7559"/>
    </row>
    <row r="7560" spans="7:7">
      <c r="G7560"/>
    </row>
    <row r="7561" spans="7:7">
      <c r="G7561"/>
    </row>
    <row r="7562" spans="7:7">
      <c r="G7562"/>
    </row>
    <row r="7563" spans="7:7">
      <c r="G7563"/>
    </row>
    <row r="7564" spans="7:7">
      <c r="G7564"/>
    </row>
    <row r="7565" spans="7:7">
      <c r="G7565"/>
    </row>
    <row r="7566" spans="7:7">
      <c r="G7566"/>
    </row>
    <row r="7567" spans="7:7">
      <c r="G7567"/>
    </row>
    <row r="7568" spans="7:7">
      <c r="G7568"/>
    </row>
    <row r="7569" spans="7:7">
      <c r="G7569"/>
    </row>
    <row r="7570" spans="7:7">
      <c r="G7570"/>
    </row>
    <row r="7571" spans="7:7">
      <c r="G7571"/>
    </row>
    <row r="7572" spans="7:7">
      <c r="G7572"/>
    </row>
    <row r="7573" spans="7:7">
      <c r="G7573"/>
    </row>
    <row r="7574" spans="7:7">
      <c r="G7574"/>
    </row>
    <row r="7575" spans="7:7">
      <c r="G7575"/>
    </row>
    <row r="7576" spans="7:7">
      <c r="G7576"/>
    </row>
    <row r="7577" spans="7:7">
      <c r="G7577"/>
    </row>
    <row r="7578" spans="7:7">
      <c r="G7578"/>
    </row>
    <row r="7579" spans="7:7">
      <c r="G7579"/>
    </row>
    <row r="7580" spans="7:7">
      <c r="G7580"/>
    </row>
    <row r="7581" spans="7:7">
      <c r="G7581"/>
    </row>
    <row r="7582" spans="7:7">
      <c r="G7582"/>
    </row>
    <row r="7583" spans="7:7">
      <c r="G7583"/>
    </row>
    <row r="7584" spans="7:7">
      <c r="G7584"/>
    </row>
    <row r="7585" spans="7:7">
      <c r="G7585"/>
    </row>
    <row r="7586" spans="7:7">
      <c r="G7586"/>
    </row>
    <row r="7587" spans="7:7">
      <c r="G7587"/>
    </row>
    <row r="7588" spans="7:7">
      <c r="G7588"/>
    </row>
    <row r="7589" spans="7:7">
      <c r="G7589"/>
    </row>
    <row r="7590" spans="7:7">
      <c r="G7590"/>
    </row>
    <row r="7591" spans="7:7">
      <c r="G7591"/>
    </row>
    <row r="7592" spans="7:7">
      <c r="G7592"/>
    </row>
    <row r="7593" spans="7:7">
      <c r="G7593"/>
    </row>
    <row r="7594" spans="7:7">
      <c r="G7594"/>
    </row>
    <row r="7595" spans="7:7">
      <c r="G7595"/>
    </row>
    <row r="7596" spans="7:7">
      <c r="G7596"/>
    </row>
    <row r="7597" spans="7:7">
      <c r="G7597"/>
    </row>
    <row r="7598" spans="7:7">
      <c r="G7598"/>
    </row>
    <row r="7599" spans="7:7">
      <c r="G7599"/>
    </row>
    <row r="7600" spans="7:7">
      <c r="G7600"/>
    </row>
    <row r="7601" spans="7:7">
      <c r="G7601"/>
    </row>
    <row r="7602" spans="7:7">
      <c r="G7602"/>
    </row>
    <row r="7603" spans="7:7">
      <c r="G7603"/>
    </row>
    <row r="7604" spans="7:7">
      <c r="G7604"/>
    </row>
    <row r="7605" spans="7:7">
      <c r="G7605"/>
    </row>
    <row r="7606" spans="7:7">
      <c r="G7606"/>
    </row>
    <row r="7607" spans="7:7">
      <c r="G7607"/>
    </row>
    <row r="7608" spans="7:7">
      <c r="G7608"/>
    </row>
    <row r="7609" spans="7:7">
      <c r="G7609"/>
    </row>
    <row r="7610" spans="7:7">
      <c r="G7610"/>
    </row>
    <row r="7611" spans="7:7">
      <c r="G7611"/>
    </row>
    <row r="7612" spans="7:7">
      <c r="G7612"/>
    </row>
    <row r="7613" spans="7:7">
      <c r="G7613"/>
    </row>
    <row r="7614" spans="7:7">
      <c r="G7614"/>
    </row>
    <row r="7615" spans="7:7">
      <c r="G7615"/>
    </row>
    <row r="7616" spans="7:7">
      <c r="G7616"/>
    </row>
    <row r="7617" spans="7:7">
      <c r="G7617"/>
    </row>
    <row r="7618" spans="7:7">
      <c r="G7618"/>
    </row>
    <row r="7619" spans="7:7">
      <c r="G7619"/>
    </row>
    <row r="7620" spans="7:7">
      <c r="G7620"/>
    </row>
    <row r="7621" spans="7:7">
      <c r="G7621"/>
    </row>
    <row r="7622" spans="7:7">
      <c r="G7622"/>
    </row>
    <row r="7623" spans="7:7">
      <c r="G7623"/>
    </row>
    <row r="7624" spans="7:7">
      <c r="G7624"/>
    </row>
    <row r="7625" spans="7:7">
      <c r="G7625"/>
    </row>
    <row r="7626" spans="7:7">
      <c r="G7626"/>
    </row>
    <row r="7627" spans="7:7">
      <c r="G7627"/>
    </row>
    <row r="7628" spans="7:7">
      <c r="G7628"/>
    </row>
    <row r="7629" spans="7:7">
      <c r="G7629"/>
    </row>
    <row r="7630" spans="7:7">
      <c r="G7630"/>
    </row>
    <row r="7631" spans="7:7">
      <c r="G7631"/>
    </row>
    <row r="7632" spans="7:7">
      <c r="G7632"/>
    </row>
    <row r="7633" spans="7:7">
      <c r="G7633"/>
    </row>
    <row r="7634" spans="7:7">
      <c r="G7634"/>
    </row>
    <row r="7635" spans="7:7">
      <c r="G7635"/>
    </row>
    <row r="7636" spans="7:7">
      <c r="G7636"/>
    </row>
    <row r="7637" spans="7:7">
      <c r="G7637"/>
    </row>
    <row r="7638" spans="7:7">
      <c r="G7638"/>
    </row>
    <row r="7639" spans="7:7">
      <c r="G7639"/>
    </row>
    <row r="7640" spans="7:7">
      <c r="G7640"/>
    </row>
    <row r="7641" spans="7:7">
      <c r="G7641"/>
    </row>
    <row r="7642" spans="7:7">
      <c r="G7642"/>
    </row>
    <row r="7643" spans="7:7">
      <c r="G7643"/>
    </row>
    <row r="7644" spans="7:7">
      <c r="G7644"/>
    </row>
    <row r="7645" spans="7:7">
      <c r="G7645"/>
    </row>
    <row r="7646" spans="7:7">
      <c r="G7646"/>
    </row>
    <row r="7647" spans="7:7">
      <c r="G7647"/>
    </row>
    <row r="7648" spans="7:7">
      <c r="G7648"/>
    </row>
    <row r="7649" spans="7:7">
      <c r="G7649"/>
    </row>
    <row r="7650" spans="7:7">
      <c r="G7650"/>
    </row>
    <row r="7651" spans="7:7">
      <c r="G7651"/>
    </row>
    <row r="7652" spans="7:7">
      <c r="G7652"/>
    </row>
    <row r="7653" spans="7:7">
      <c r="G7653"/>
    </row>
    <row r="7654" spans="7:7">
      <c r="G7654"/>
    </row>
    <row r="7655" spans="7:7">
      <c r="G7655"/>
    </row>
    <row r="7656" spans="7:7">
      <c r="G7656"/>
    </row>
    <row r="7657" spans="7:7">
      <c r="G7657"/>
    </row>
    <row r="7658" spans="7:7">
      <c r="G7658"/>
    </row>
    <row r="7659" spans="7:7">
      <c r="G7659"/>
    </row>
    <row r="7660" spans="7:7">
      <c r="G7660"/>
    </row>
    <row r="7661" spans="7:7">
      <c r="G7661"/>
    </row>
    <row r="7662" spans="7:7">
      <c r="G7662"/>
    </row>
    <row r="7663" spans="7:7">
      <c r="G7663"/>
    </row>
    <row r="7664" spans="7:7">
      <c r="G7664"/>
    </row>
    <row r="7665" spans="7:7">
      <c r="G7665"/>
    </row>
    <row r="7666" spans="7:7">
      <c r="G7666"/>
    </row>
    <row r="7667" spans="7:7">
      <c r="G7667"/>
    </row>
    <row r="7668" spans="7:7">
      <c r="G7668"/>
    </row>
    <row r="7669" spans="7:7">
      <c r="G7669"/>
    </row>
    <row r="7670" spans="7:7">
      <c r="G7670"/>
    </row>
    <row r="7671" spans="7:7">
      <c r="G7671"/>
    </row>
    <row r="7672" spans="7:7">
      <c r="G7672"/>
    </row>
    <row r="7673" spans="7:7">
      <c r="G7673"/>
    </row>
    <row r="7674" spans="7:7">
      <c r="G7674"/>
    </row>
    <row r="7675" spans="7:7">
      <c r="G7675"/>
    </row>
    <row r="7676" spans="7:7">
      <c r="G7676"/>
    </row>
    <row r="7677" spans="7:7">
      <c r="G7677"/>
    </row>
    <row r="7678" spans="7:7">
      <c r="G7678"/>
    </row>
    <row r="7679" spans="7:7">
      <c r="G7679"/>
    </row>
    <row r="7680" spans="7:7">
      <c r="G7680"/>
    </row>
    <row r="7681" spans="7:7">
      <c r="G7681"/>
    </row>
    <row r="7682" spans="7:7">
      <c r="G7682"/>
    </row>
    <row r="7683" spans="7:7">
      <c r="G7683"/>
    </row>
    <row r="7684" spans="7:7">
      <c r="G7684"/>
    </row>
    <row r="7685" spans="7:7">
      <c r="G7685"/>
    </row>
    <row r="7686" spans="7:7">
      <c r="G7686"/>
    </row>
    <row r="7687" spans="7:7">
      <c r="G7687"/>
    </row>
    <row r="7688" spans="7:7">
      <c r="G7688"/>
    </row>
    <row r="7689" spans="7:7">
      <c r="G7689"/>
    </row>
    <row r="7690" spans="7:7">
      <c r="G7690"/>
    </row>
    <row r="7691" spans="7:7">
      <c r="G7691"/>
    </row>
    <row r="7692" spans="7:7">
      <c r="G7692"/>
    </row>
    <row r="7693" spans="7:7">
      <c r="G7693"/>
    </row>
    <row r="7694" spans="7:7">
      <c r="G7694"/>
    </row>
    <row r="7695" spans="7:7">
      <c r="G7695"/>
    </row>
    <row r="7696" spans="7:7">
      <c r="G7696"/>
    </row>
    <row r="7697" spans="7:7">
      <c r="G7697"/>
    </row>
    <row r="7698" spans="7:7">
      <c r="G7698"/>
    </row>
    <row r="7699" spans="7:7">
      <c r="G7699"/>
    </row>
    <row r="7700" spans="7:7">
      <c r="G7700"/>
    </row>
    <row r="7701" spans="7:7">
      <c r="G7701"/>
    </row>
    <row r="7702" spans="7:7">
      <c r="G7702"/>
    </row>
    <row r="7703" spans="7:7">
      <c r="G7703"/>
    </row>
    <row r="7704" spans="7:7">
      <c r="G7704"/>
    </row>
    <row r="7705" spans="7:7">
      <c r="G7705"/>
    </row>
    <row r="7706" spans="7:7">
      <c r="G7706"/>
    </row>
    <row r="7707" spans="7:7">
      <c r="G7707"/>
    </row>
    <row r="7708" spans="7:7">
      <c r="G7708"/>
    </row>
    <row r="7709" spans="7:7">
      <c r="G7709"/>
    </row>
    <row r="7710" spans="7:7">
      <c r="G7710"/>
    </row>
    <row r="7711" spans="7:7">
      <c r="G7711"/>
    </row>
    <row r="7712" spans="7:7">
      <c r="G7712"/>
    </row>
    <row r="7713" spans="7:7">
      <c r="G7713"/>
    </row>
    <row r="7714" spans="7:7">
      <c r="G7714"/>
    </row>
    <row r="7715" spans="7:7">
      <c r="G7715"/>
    </row>
    <row r="7716" spans="7:7">
      <c r="G7716"/>
    </row>
    <row r="7717" spans="7:7">
      <c r="G7717"/>
    </row>
    <row r="7718" spans="7:7">
      <c r="G7718"/>
    </row>
    <row r="7719" spans="7:7">
      <c r="G7719"/>
    </row>
    <row r="7720" spans="7:7">
      <c r="G7720"/>
    </row>
    <row r="7721" spans="7:7">
      <c r="G7721"/>
    </row>
    <row r="7722" spans="7:7">
      <c r="G7722"/>
    </row>
    <row r="7723" spans="7:7">
      <c r="G7723"/>
    </row>
    <row r="7724" spans="7:7">
      <c r="G7724"/>
    </row>
    <row r="7725" spans="7:7">
      <c r="G7725"/>
    </row>
    <row r="7726" spans="7:7">
      <c r="G7726"/>
    </row>
    <row r="7727" spans="7:7">
      <c r="G7727"/>
    </row>
    <row r="7728" spans="7:7">
      <c r="G7728"/>
    </row>
    <row r="7729" spans="7:7">
      <c r="G7729"/>
    </row>
    <row r="7730" spans="7:7">
      <c r="G7730"/>
    </row>
    <row r="7731" spans="7:7">
      <c r="G7731"/>
    </row>
    <row r="7732" spans="7:7">
      <c r="G7732"/>
    </row>
    <row r="7733" spans="7:7">
      <c r="G7733"/>
    </row>
    <row r="7734" spans="7:7">
      <c r="G7734"/>
    </row>
    <row r="7735" spans="7:7">
      <c r="G7735"/>
    </row>
    <row r="7736" spans="7:7">
      <c r="G7736"/>
    </row>
    <row r="7737" spans="7:7">
      <c r="G7737"/>
    </row>
    <row r="7738" spans="7:7">
      <c r="G7738"/>
    </row>
    <row r="7739" spans="7:7">
      <c r="G7739"/>
    </row>
    <row r="7740" spans="7:7">
      <c r="G7740"/>
    </row>
    <row r="7741" spans="7:7">
      <c r="G7741"/>
    </row>
    <row r="7742" spans="7:7">
      <c r="G7742"/>
    </row>
    <row r="7743" spans="7:7">
      <c r="G7743"/>
    </row>
    <row r="7744" spans="7:7">
      <c r="G7744"/>
    </row>
    <row r="7745" spans="7:7">
      <c r="G7745"/>
    </row>
    <row r="7746" spans="7:7">
      <c r="G7746"/>
    </row>
    <row r="7747" spans="7:7">
      <c r="G7747"/>
    </row>
    <row r="7748" spans="7:7">
      <c r="G7748"/>
    </row>
    <row r="7749" spans="7:7">
      <c r="G7749"/>
    </row>
    <row r="7750" spans="7:7">
      <c r="G7750"/>
    </row>
    <row r="7751" spans="7:7">
      <c r="G7751"/>
    </row>
    <row r="7752" spans="7:7">
      <c r="G7752"/>
    </row>
    <row r="7753" spans="7:7">
      <c r="G7753"/>
    </row>
    <row r="7754" spans="7:7">
      <c r="G7754"/>
    </row>
    <row r="7755" spans="7:7">
      <c r="G7755"/>
    </row>
    <row r="7756" spans="7:7">
      <c r="G7756"/>
    </row>
    <row r="7757" spans="7:7">
      <c r="G7757"/>
    </row>
    <row r="7758" spans="7:7">
      <c r="G7758"/>
    </row>
    <row r="7759" spans="7:7">
      <c r="G7759"/>
    </row>
    <row r="7760" spans="7:7">
      <c r="G7760"/>
    </row>
    <row r="7761" spans="7:7">
      <c r="G7761"/>
    </row>
    <row r="7762" spans="7:7">
      <c r="G7762"/>
    </row>
    <row r="7763" spans="7:7">
      <c r="G7763"/>
    </row>
    <row r="7764" spans="7:7">
      <c r="G7764"/>
    </row>
    <row r="7765" spans="7:7">
      <c r="G7765"/>
    </row>
    <row r="7766" spans="7:7">
      <c r="G7766"/>
    </row>
    <row r="7767" spans="7:7">
      <c r="G7767"/>
    </row>
    <row r="7768" spans="7:7">
      <c r="G7768"/>
    </row>
    <row r="7769" spans="7:7">
      <c r="G7769"/>
    </row>
    <row r="7770" spans="7:7">
      <c r="G7770"/>
    </row>
    <row r="7771" spans="7:7">
      <c r="G7771"/>
    </row>
    <row r="7772" spans="7:7">
      <c r="G7772"/>
    </row>
    <row r="7773" spans="7:7">
      <c r="G7773"/>
    </row>
    <row r="7774" spans="7:7">
      <c r="G7774"/>
    </row>
    <row r="7775" spans="7:7">
      <c r="G7775"/>
    </row>
    <row r="7776" spans="7:7">
      <c r="G7776"/>
    </row>
    <row r="7777" spans="7:7">
      <c r="G7777"/>
    </row>
    <row r="7778" spans="7:7">
      <c r="G7778"/>
    </row>
    <row r="7779" spans="7:7">
      <c r="G7779"/>
    </row>
    <row r="7780" spans="7:7">
      <c r="G7780"/>
    </row>
    <row r="7781" spans="7:7">
      <c r="G7781"/>
    </row>
    <row r="7782" spans="7:7">
      <c r="G7782"/>
    </row>
    <row r="7783" spans="7:7">
      <c r="G7783"/>
    </row>
    <row r="7784" spans="7:7">
      <c r="G7784"/>
    </row>
    <row r="7785" spans="7:7">
      <c r="G7785"/>
    </row>
    <row r="7786" spans="7:7">
      <c r="G7786"/>
    </row>
    <row r="7787" spans="7:7">
      <c r="G7787"/>
    </row>
    <row r="7788" spans="7:7">
      <c r="G7788"/>
    </row>
    <row r="7789" spans="7:7">
      <c r="G7789"/>
    </row>
    <row r="7790" spans="7:7">
      <c r="G7790"/>
    </row>
    <row r="7791" spans="7:7">
      <c r="G7791"/>
    </row>
    <row r="7792" spans="7:7">
      <c r="G7792"/>
    </row>
    <row r="7793" spans="7:7">
      <c r="G7793"/>
    </row>
    <row r="7794" spans="7:7">
      <c r="G7794"/>
    </row>
    <row r="7795" spans="7:7">
      <c r="G7795"/>
    </row>
    <row r="7796" spans="7:7">
      <c r="G7796"/>
    </row>
    <row r="7797" spans="7:7">
      <c r="G7797"/>
    </row>
    <row r="7798" spans="7:7">
      <c r="G7798"/>
    </row>
    <row r="7799" spans="7:7">
      <c r="G7799"/>
    </row>
    <row r="7800" spans="7:7">
      <c r="G7800"/>
    </row>
    <row r="7801" spans="7:7">
      <c r="G7801"/>
    </row>
    <row r="7802" spans="7:7">
      <c r="G7802"/>
    </row>
    <row r="7803" spans="7:7">
      <c r="G7803"/>
    </row>
    <row r="7804" spans="7:7">
      <c r="G7804"/>
    </row>
    <row r="7805" spans="7:7">
      <c r="G7805"/>
    </row>
    <row r="7806" spans="7:7">
      <c r="G7806"/>
    </row>
    <row r="7807" spans="7:7">
      <c r="G7807"/>
    </row>
    <row r="7808" spans="7:7">
      <c r="G7808"/>
    </row>
    <row r="7809" spans="7:7">
      <c r="G7809"/>
    </row>
    <row r="7810" spans="7:7">
      <c r="G7810"/>
    </row>
    <row r="7811" spans="7:7">
      <c r="G7811"/>
    </row>
    <row r="7812" spans="7:7">
      <c r="G7812"/>
    </row>
    <row r="7813" spans="7:7">
      <c r="G7813"/>
    </row>
    <row r="7814" spans="7:7">
      <c r="G7814"/>
    </row>
    <row r="7815" spans="7:7">
      <c r="G7815"/>
    </row>
    <row r="7816" spans="7:7">
      <c r="G7816"/>
    </row>
    <row r="7817" spans="7:7">
      <c r="G7817"/>
    </row>
    <row r="7818" spans="7:7">
      <c r="G7818"/>
    </row>
    <row r="7819" spans="7:7">
      <c r="G7819"/>
    </row>
    <row r="7820" spans="7:7">
      <c r="G7820"/>
    </row>
    <row r="7821" spans="7:7">
      <c r="G7821"/>
    </row>
    <row r="7822" spans="7:7">
      <c r="G7822"/>
    </row>
    <row r="7823" spans="7:7">
      <c r="G7823"/>
    </row>
    <row r="7824" spans="7:7">
      <c r="G7824"/>
    </row>
    <row r="7825" spans="7:7">
      <c r="G7825"/>
    </row>
    <row r="7826" spans="7:7">
      <c r="G7826"/>
    </row>
    <row r="7827" spans="7:7">
      <c r="G7827"/>
    </row>
    <row r="7828" spans="7:7">
      <c r="G7828"/>
    </row>
    <row r="7829" spans="7:7">
      <c r="G7829"/>
    </row>
    <row r="7830" spans="7:7">
      <c r="G7830"/>
    </row>
    <row r="7831" spans="7:7">
      <c r="G7831"/>
    </row>
    <row r="7832" spans="7:7">
      <c r="G7832"/>
    </row>
    <row r="7833" spans="7:7">
      <c r="G7833"/>
    </row>
    <row r="7834" spans="7:7">
      <c r="G7834"/>
    </row>
    <row r="7835" spans="7:7">
      <c r="G7835"/>
    </row>
    <row r="7836" spans="7:7">
      <c r="G7836"/>
    </row>
    <row r="7837" spans="7:7">
      <c r="G7837"/>
    </row>
    <row r="7838" spans="7:7">
      <c r="G7838"/>
    </row>
    <row r="7839" spans="7:7">
      <c r="G7839"/>
    </row>
    <row r="7840" spans="7:7">
      <c r="G7840"/>
    </row>
    <row r="7841" spans="7:7">
      <c r="G7841"/>
    </row>
    <row r="7842" spans="7:7">
      <c r="G7842"/>
    </row>
    <row r="7843" spans="7:7">
      <c r="G7843"/>
    </row>
    <row r="7844" spans="7:7">
      <c r="G7844"/>
    </row>
    <row r="7845" spans="7:7">
      <c r="G7845"/>
    </row>
    <row r="7846" spans="7:7">
      <c r="G7846"/>
    </row>
    <row r="7847" spans="7:7">
      <c r="G7847"/>
    </row>
    <row r="7848" spans="7:7">
      <c r="G7848"/>
    </row>
    <row r="7849" spans="7:7">
      <c r="G7849"/>
    </row>
    <row r="7850" spans="7:7">
      <c r="G7850"/>
    </row>
    <row r="7851" spans="7:7">
      <c r="G7851"/>
    </row>
    <row r="7852" spans="7:7">
      <c r="G7852"/>
    </row>
    <row r="7853" spans="7:7">
      <c r="G7853"/>
    </row>
    <row r="7854" spans="7:7">
      <c r="G7854"/>
    </row>
    <row r="7855" spans="7:7">
      <c r="G7855"/>
    </row>
    <row r="7856" spans="7:7">
      <c r="G7856"/>
    </row>
    <row r="7857" spans="7:7">
      <c r="G7857"/>
    </row>
    <row r="7858" spans="7:7">
      <c r="G7858"/>
    </row>
    <row r="7859" spans="7:7">
      <c r="G7859"/>
    </row>
    <row r="7860" spans="7:7">
      <c r="G7860"/>
    </row>
    <row r="7861" spans="7:7">
      <c r="G7861"/>
    </row>
    <row r="7862" spans="7:7">
      <c r="G7862"/>
    </row>
    <row r="7863" spans="7:7">
      <c r="G7863"/>
    </row>
    <row r="7864" spans="7:7">
      <c r="G7864"/>
    </row>
    <row r="7865" spans="7:7">
      <c r="G7865"/>
    </row>
    <row r="7866" spans="7:7">
      <c r="G7866"/>
    </row>
    <row r="7867" spans="7:7">
      <c r="G7867"/>
    </row>
    <row r="7868" spans="7:7">
      <c r="G7868"/>
    </row>
    <row r="7869" spans="7:7">
      <c r="G7869"/>
    </row>
    <row r="7870" spans="7:7">
      <c r="G7870"/>
    </row>
    <row r="7871" spans="7:7">
      <c r="G7871"/>
    </row>
    <row r="7872" spans="7:7">
      <c r="G7872"/>
    </row>
    <row r="7873" spans="7:7">
      <c r="G7873"/>
    </row>
    <row r="7874" spans="7:7">
      <c r="G7874"/>
    </row>
    <row r="7875" spans="7:7">
      <c r="G7875"/>
    </row>
    <row r="7876" spans="7:7">
      <c r="G7876"/>
    </row>
    <row r="7877" spans="7:7">
      <c r="G7877"/>
    </row>
    <row r="7878" spans="7:7">
      <c r="G7878"/>
    </row>
    <row r="7879" spans="7:7">
      <c r="G7879"/>
    </row>
    <row r="7880" spans="7:7">
      <c r="G7880"/>
    </row>
    <row r="7881" spans="7:7">
      <c r="G7881"/>
    </row>
    <row r="7882" spans="7:7">
      <c r="G7882"/>
    </row>
    <row r="7883" spans="7:7">
      <c r="G7883"/>
    </row>
    <row r="7884" spans="7:7">
      <c r="G7884"/>
    </row>
    <row r="7885" spans="7:7">
      <c r="G7885"/>
    </row>
    <row r="7886" spans="7:7">
      <c r="G7886"/>
    </row>
    <row r="7887" spans="7:7">
      <c r="G7887"/>
    </row>
    <row r="7888" spans="7:7">
      <c r="G7888"/>
    </row>
    <row r="7889" spans="7:7">
      <c r="G7889"/>
    </row>
    <row r="7890" spans="7:7">
      <c r="G7890"/>
    </row>
    <row r="7891" spans="7:7">
      <c r="G7891"/>
    </row>
    <row r="7892" spans="7:7">
      <c r="G7892"/>
    </row>
    <row r="7893" spans="7:7">
      <c r="G7893"/>
    </row>
    <row r="7894" spans="7:7">
      <c r="G7894"/>
    </row>
    <row r="7895" spans="7:7">
      <c r="G7895"/>
    </row>
    <row r="7896" spans="7:7">
      <c r="G7896"/>
    </row>
    <row r="7897" spans="7:7">
      <c r="G7897"/>
    </row>
    <row r="7898" spans="7:7">
      <c r="G7898"/>
    </row>
    <row r="7899" spans="7:7">
      <c r="G7899"/>
    </row>
    <row r="7900" spans="7:7">
      <c r="G7900"/>
    </row>
    <row r="7901" spans="7:7">
      <c r="G7901"/>
    </row>
    <row r="7902" spans="7:7">
      <c r="G7902"/>
    </row>
    <row r="7903" spans="7:7">
      <c r="G7903"/>
    </row>
    <row r="7904" spans="7:7">
      <c r="G7904"/>
    </row>
    <row r="7905" spans="7:7">
      <c r="G7905"/>
    </row>
    <row r="7906" spans="7:7">
      <c r="G7906"/>
    </row>
    <row r="7907" spans="7:7">
      <c r="G7907"/>
    </row>
    <row r="7908" spans="7:7">
      <c r="G7908"/>
    </row>
    <row r="7909" spans="7:7">
      <c r="G7909"/>
    </row>
    <row r="7910" spans="7:7">
      <c r="G7910"/>
    </row>
    <row r="7911" spans="7:7">
      <c r="G7911"/>
    </row>
    <row r="7912" spans="7:7">
      <c r="G7912"/>
    </row>
    <row r="7913" spans="7:7">
      <c r="G7913"/>
    </row>
    <row r="7914" spans="7:7">
      <c r="G7914"/>
    </row>
    <row r="7915" spans="7:7">
      <c r="G7915"/>
    </row>
    <row r="7916" spans="7:7">
      <c r="G7916"/>
    </row>
    <row r="7917" spans="7:7">
      <c r="G7917"/>
    </row>
    <row r="7918" spans="7:7">
      <c r="G7918"/>
    </row>
    <row r="7919" spans="7:7">
      <c r="G7919"/>
    </row>
    <row r="7920" spans="7:7">
      <c r="G7920"/>
    </row>
    <row r="7921" spans="7:7">
      <c r="G7921"/>
    </row>
    <row r="7922" spans="7:7">
      <c r="G7922"/>
    </row>
    <row r="7923" spans="7:7">
      <c r="G7923"/>
    </row>
    <row r="7924" spans="7:7">
      <c r="G7924"/>
    </row>
    <row r="7925" spans="7:7">
      <c r="G7925"/>
    </row>
    <row r="7926" spans="7:7">
      <c r="G7926"/>
    </row>
    <row r="7927" spans="7:7">
      <c r="G7927"/>
    </row>
    <row r="7928" spans="7:7">
      <c r="G7928"/>
    </row>
    <row r="7929" spans="7:7">
      <c r="G7929"/>
    </row>
    <row r="7930" spans="7:7">
      <c r="G7930"/>
    </row>
    <row r="7931" spans="7:7">
      <c r="G7931"/>
    </row>
    <row r="7932" spans="7:7">
      <c r="G7932"/>
    </row>
    <row r="7933" spans="7:7">
      <c r="G7933"/>
    </row>
    <row r="7934" spans="7:7">
      <c r="G7934"/>
    </row>
    <row r="7935" spans="7:7">
      <c r="G7935"/>
    </row>
    <row r="7936" spans="7:7">
      <c r="G7936"/>
    </row>
    <row r="7937" spans="7:7">
      <c r="G7937"/>
    </row>
    <row r="7938" spans="7:7">
      <c r="G7938"/>
    </row>
    <row r="7939" spans="7:7">
      <c r="G7939"/>
    </row>
    <row r="7940" spans="7:7">
      <c r="G7940"/>
    </row>
    <row r="7941" spans="7:7">
      <c r="G7941"/>
    </row>
    <row r="7942" spans="7:7">
      <c r="G7942"/>
    </row>
    <row r="7943" spans="7:7">
      <c r="G7943"/>
    </row>
    <row r="7944" spans="7:7">
      <c r="G7944"/>
    </row>
    <row r="7945" spans="7:7">
      <c r="G7945"/>
    </row>
    <row r="7946" spans="7:7">
      <c r="G7946"/>
    </row>
    <row r="7947" spans="7:7">
      <c r="G7947"/>
    </row>
    <row r="7948" spans="7:7">
      <c r="G7948"/>
    </row>
    <row r="7949" spans="7:7">
      <c r="G7949"/>
    </row>
    <row r="7950" spans="7:7">
      <c r="G7950"/>
    </row>
    <row r="7951" spans="7:7">
      <c r="G7951"/>
    </row>
    <row r="7952" spans="7:7">
      <c r="G7952"/>
    </row>
    <row r="7953" spans="7:7">
      <c r="G7953"/>
    </row>
    <row r="7954" spans="7:7">
      <c r="G7954"/>
    </row>
    <row r="7955" spans="7:7">
      <c r="G7955"/>
    </row>
    <row r="7956" spans="7:7">
      <c r="G7956"/>
    </row>
    <row r="7957" spans="7:7">
      <c r="G7957"/>
    </row>
    <row r="7958" spans="7:7">
      <c r="G7958"/>
    </row>
    <row r="7959" spans="7:7">
      <c r="G7959"/>
    </row>
    <row r="7960" spans="7:7">
      <c r="G7960"/>
    </row>
    <row r="7961" spans="7:7">
      <c r="G7961"/>
    </row>
    <row r="7962" spans="7:7">
      <c r="G7962"/>
    </row>
    <row r="7963" spans="7:7">
      <c r="G7963"/>
    </row>
    <row r="7964" spans="7:7">
      <c r="G7964"/>
    </row>
    <row r="7965" spans="7:7">
      <c r="G7965"/>
    </row>
    <row r="7966" spans="7:7">
      <c r="G7966"/>
    </row>
    <row r="7967" spans="7:7">
      <c r="G7967"/>
    </row>
    <row r="7968" spans="7:7">
      <c r="G7968"/>
    </row>
    <row r="7969" spans="7:7">
      <c r="G7969"/>
    </row>
    <row r="7970" spans="7:7">
      <c r="G7970"/>
    </row>
    <row r="7971" spans="7:7">
      <c r="G7971"/>
    </row>
    <row r="7972" spans="7:7">
      <c r="G7972"/>
    </row>
    <row r="7973" spans="7:7">
      <c r="G7973"/>
    </row>
    <row r="7974" spans="7:7">
      <c r="G7974"/>
    </row>
    <row r="7975" spans="7:7">
      <c r="G7975"/>
    </row>
    <row r="7976" spans="7:7">
      <c r="G7976"/>
    </row>
    <row r="7977" spans="7:7">
      <c r="G7977"/>
    </row>
    <row r="7978" spans="7:7">
      <c r="G7978"/>
    </row>
    <row r="7979" spans="7:7">
      <c r="G7979"/>
    </row>
    <row r="7980" spans="7:7">
      <c r="G7980"/>
    </row>
    <row r="7981" spans="7:7">
      <c r="G7981"/>
    </row>
    <row r="7982" spans="7:7">
      <c r="G7982"/>
    </row>
    <row r="7983" spans="7:7">
      <c r="G7983"/>
    </row>
    <row r="7984" spans="7:7">
      <c r="G7984"/>
    </row>
    <row r="7985" spans="7:7">
      <c r="G7985"/>
    </row>
    <row r="7986" spans="7:7">
      <c r="G7986"/>
    </row>
    <row r="7987" spans="7:7">
      <c r="G7987"/>
    </row>
    <row r="7988" spans="7:7">
      <c r="G7988"/>
    </row>
    <row r="7989" spans="7:7">
      <c r="G7989"/>
    </row>
    <row r="7990" spans="7:7">
      <c r="G7990"/>
    </row>
    <row r="7991" spans="7:7">
      <c r="G7991"/>
    </row>
    <row r="7992" spans="7:7">
      <c r="G7992"/>
    </row>
    <row r="7993" spans="7:7">
      <c r="G7993"/>
    </row>
    <row r="7994" spans="7:7">
      <c r="G7994"/>
    </row>
    <row r="7995" spans="7:7">
      <c r="G7995"/>
    </row>
    <row r="7996" spans="7:7">
      <c r="G7996"/>
    </row>
    <row r="7997" spans="7:7">
      <c r="G7997"/>
    </row>
    <row r="7998" spans="7:7">
      <c r="G7998"/>
    </row>
    <row r="7999" spans="7:7">
      <c r="G7999"/>
    </row>
    <row r="8000" spans="7:7">
      <c r="G8000"/>
    </row>
    <row r="8001" spans="7:7">
      <c r="G8001"/>
    </row>
    <row r="8002" spans="7:7">
      <c r="G8002"/>
    </row>
    <row r="8003" spans="7:7">
      <c r="G8003"/>
    </row>
    <row r="8004" spans="7:7">
      <c r="G8004"/>
    </row>
    <row r="8005" spans="7:7">
      <c r="G8005"/>
    </row>
    <row r="8006" spans="7:7">
      <c r="G8006"/>
    </row>
    <row r="8007" spans="7:7">
      <c r="G8007"/>
    </row>
    <row r="8008" spans="7:7">
      <c r="G8008"/>
    </row>
    <row r="8009" spans="7:7">
      <c r="G8009"/>
    </row>
    <row r="8010" spans="7:7">
      <c r="G8010"/>
    </row>
    <row r="8011" spans="7:7">
      <c r="G8011"/>
    </row>
    <row r="8012" spans="7:7">
      <c r="G8012"/>
    </row>
    <row r="8013" spans="7:7">
      <c r="G8013"/>
    </row>
    <row r="8014" spans="7:7">
      <c r="G8014"/>
    </row>
    <row r="8015" spans="7:7">
      <c r="G8015"/>
    </row>
    <row r="8016" spans="7:7">
      <c r="G8016"/>
    </row>
    <row r="8017" spans="7:7">
      <c r="G8017"/>
    </row>
    <row r="8018" spans="7:7">
      <c r="G8018"/>
    </row>
    <row r="8019" spans="7:7">
      <c r="G8019"/>
    </row>
    <row r="8020" spans="7:7">
      <c r="G8020"/>
    </row>
    <row r="8021" spans="7:7">
      <c r="G8021"/>
    </row>
    <row r="8022" spans="7:7">
      <c r="G8022"/>
    </row>
    <row r="8023" spans="7:7">
      <c r="G8023"/>
    </row>
    <row r="8024" spans="7:7">
      <c r="G8024"/>
    </row>
    <row r="8025" spans="7:7">
      <c r="G8025"/>
    </row>
    <row r="8026" spans="7:7">
      <c r="G8026"/>
    </row>
    <row r="8027" spans="7:7">
      <c r="G8027"/>
    </row>
    <row r="8028" spans="7:7">
      <c r="G8028"/>
    </row>
    <row r="8029" spans="7:7">
      <c r="G8029"/>
    </row>
    <row r="8030" spans="7:7">
      <c r="G8030"/>
    </row>
    <row r="8031" spans="7:7">
      <c r="G8031"/>
    </row>
    <row r="8032" spans="7:7">
      <c r="G8032"/>
    </row>
    <row r="8033" spans="7:7">
      <c r="G8033"/>
    </row>
    <row r="8034" spans="7:7">
      <c r="G8034"/>
    </row>
    <row r="8035" spans="7:7">
      <c r="G8035"/>
    </row>
    <row r="8036" spans="7:7">
      <c r="G8036"/>
    </row>
    <row r="8037" spans="7:7">
      <c r="G8037"/>
    </row>
    <row r="8038" spans="7:7">
      <c r="G8038"/>
    </row>
    <row r="8039" spans="7:7">
      <c r="G8039"/>
    </row>
    <row r="8040" spans="7:7">
      <c r="G8040"/>
    </row>
    <row r="8041" spans="7:7">
      <c r="G8041"/>
    </row>
    <row r="8042" spans="7:7">
      <c r="G8042"/>
    </row>
    <row r="8043" spans="7:7">
      <c r="G8043"/>
    </row>
    <row r="8044" spans="7:7">
      <c r="G8044"/>
    </row>
    <row r="8045" spans="7:7">
      <c r="G8045"/>
    </row>
    <row r="8046" spans="7:7">
      <c r="G8046"/>
    </row>
    <row r="8047" spans="7:7">
      <c r="G8047"/>
    </row>
    <row r="8048" spans="7:7">
      <c r="G8048"/>
    </row>
    <row r="8049" spans="7:7">
      <c r="G8049"/>
    </row>
    <row r="8050" spans="7:7">
      <c r="G8050"/>
    </row>
    <row r="8051" spans="7:7">
      <c r="G8051"/>
    </row>
    <row r="8052" spans="7:7">
      <c r="G8052"/>
    </row>
    <row r="8053" spans="7:7">
      <c r="G8053"/>
    </row>
    <row r="8054" spans="7:7">
      <c r="G8054"/>
    </row>
    <row r="8055" spans="7:7">
      <c r="G8055"/>
    </row>
    <row r="8056" spans="7:7">
      <c r="G8056"/>
    </row>
    <row r="8057" spans="7:7">
      <c r="G8057"/>
    </row>
    <row r="8058" spans="7:7">
      <c r="G8058"/>
    </row>
    <row r="8059" spans="7:7">
      <c r="G8059"/>
    </row>
    <row r="8060" spans="7:7">
      <c r="G8060"/>
    </row>
    <row r="8061" spans="7:7">
      <c r="G8061"/>
    </row>
    <row r="8062" spans="7:7">
      <c r="G8062"/>
    </row>
    <row r="8063" spans="7:7">
      <c r="G8063"/>
    </row>
    <row r="8064" spans="7:7">
      <c r="G8064"/>
    </row>
    <row r="8065" spans="7:7">
      <c r="G8065"/>
    </row>
    <row r="8066" spans="7:7">
      <c r="G8066"/>
    </row>
    <row r="8067" spans="7:7">
      <c r="G8067"/>
    </row>
    <row r="8068" spans="7:7">
      <c r="G8068"/>
    </row>
    <row r="8069" spans="7:7">
      <c r="G8069"/>
    </row>
    <row r="8070" spans="7:7">
      <c r="G8070"/>
    </row>
    <row r="8071" spans="7:7">
      <c r="G8071"/>
    </row>
    <row r="8072" spans="7:7">
      <c r="G8072"/>
    </row>
    <row r="8073" spans="7:7">
      <c r="G8073"/>
    </row>
    <row r="8074" spans="7:7">
      <c r="G8074"/>
    </row>
    <row r="8075" spans="7:7">
      <c r="G8075"/>
    </row>
    <row r="8076" spans="7:7">
      <c r="G8076"/>
    </row>
    <row r="8077" spans="7:7">
      <c r="G8077"/>
    </row>
    <row r="8078" spans="7:7">
      <c r="G8078"/>
    </row>
    <row r="8079" spans="7:7">
      <c r="G8079"/>
    </row>
    <row r="8080" spans="7:7">
      <c r="G8080"/>
    </row>
    <row r="8081" spans="7:7">
      <c r="G8081"/>
    </row>
    <row r="8082" spans="7:7">
      <c r="G8082"/>
    </row>
    <row r="8083" spans="7:7">
      <c r="G8083"/>
    </row>
    <row r="8084" spans="7:7">
      <c r="G8084"/>
    </row>
    <row r="8085" spans="7:7">
      <c r="G8085"/>
    </row>
    <row r="8086" spans="7:7">
      <c r="G8086"/>
    </row>
    <row r="8087" spans="7:7">
      <c r="G8087"/>
    </row>
    <row r="8088" spans="7:7">
      <c r="G8088"/>
    </row>
    <row r="8089" spans="7:7">
      <c r="G8089"/>
    </row>
    <row r="8090" spans="7:7">
      <c r="G8090"/>
    </row>
    <row r="8091" spans="7:7">
      <c r="G8091"/>
    </row>
    <row r="8092" spans="7:7">
      <c r="G8092"/>
    </row>
    <row r="8093" spans="7:7">
      <c r="G8093"/>
    </row>
    <row r="8094" spans="7:7">
      <c r="G8094"/>
    </row>
    <row r="8095" spans="7:7">
      <c r="G8095"/>
    </row>
    <row r="8096" spans="7:7">
      <c r="G8096"/>
    </row>
    <row r="8097" spans="7:7">
      <c r="G8097"/>
    </row>
    <row r="8098" spans="7:7">
      <c r="G8098"/>
    </row>
    <row r="8099" spans="7:7">
      <c r="G8099"/>
    </row>
    <row r="8100" spans="7:7">
      <c r="G8100"/>
    </row>
    <row r="8101" spans="7:7">
      <c r="G8101"/>
    </row>
    <row r="8102" spans="7:7">
      <c r="G8102"/>
    </row>
    <row r="8103" spans="7:7">
      <c r="G8103"/>
    </row>
    <row r="8104" spans="7:7">
      <c r="G8104"/>
    </row>
    <row r="8105" spans="7:7">
      <c r="G8105"/>
    </row>
    <row r="8106" spans="7:7">
      <c r="G8106"/>
    </row>
    <row r="8107" spans="7:7">
      <c r="G8107"/>
    </row>
    <row r="8108" spans="7:7">
      <c r="G8108"/>
    </row>
    <row r="8109" spans="7:7">
      <c r="G8109"/>
    </row>
    <row r="8110" spans="7:7">
      <c r="G8110"/>
    </row>
    <row r="8111" spans="7:7">
      <c r="G8111"/>
    </row>
    <row r="8112" spans="7:7">
      <c r="G8112"/>
    </row>
    <row r="8113" spans="7:7">
      <c r="G8113"/>
    </row>
    <row r="8114" spans="7:7">
      <c r="G8114"/>
    </row>
    <row r="8115" spans="7:7">
      <c r="G8115"/>
    </row>
    <row r="8116" spans="7:7">
      <c r="G8116"/>
    </row>
    <row r="8117" spans="7:7">
      <c r="G8117"/>
    </row>
    <row r="8118" spans="7:7">
      <c r="G8118"/>
    </row>
    <row r="8119" spans="7:7">
      <c r="G8119"/>
    </row>
    <row r="8120" spans="7:7">
      <c r="G8120"/>
    </row>
    <row r="8121" spans="7:7">
      <c r="G8121"/>
    </row>
    <row r="8122" spans="7:7">
      <c r="G8122"/>
    </row>
    <row r="8123" spans="7:7">
      <c r="G8123"/>
    </row>
    <row r="8124" spans="7:7">
      <c r="G8124"/>
    </row>
    <row r="8125" spans="7:7">
      <c r="G8125"/>
    </row>
    <row r="8126" spans="7:7">
      <c r="G8126"/>
    </row>
    <row r="8127" spans="7:7">
      <c r="G8127"/>
    </row>
    <row r="8128" spans="7:7">
      <c r="G8128"/>
    </row>
    <row r="8129" spans="7:7">
      <c r="G8129"/>
    </row>
    <row r="8130" spans="7:7">
      <c r="G8130"/>
    </row>
    <row r="8131" spans="7:7">
      <c r="G8131"/>
    </row>
    <row r="8132" spans="7:7">
      <c r="G8132"/>
    </row>
    <row r="8133" spans="7:7">
      <c r="G8133"/>
    </row>
    <row r="8134" spans="7:7">
      <c r="G8134"/>
    </row>
    <row r="8135" spans="7:7">
      <c r="G8135"/>
    </row>
    <row r="8136" spans="7:7">
      <c r="G8136"/>
    </row>
    <row r="8137" spans="7:7">
      <c r="G8137"/>
    </row>
    <row r="8138" spans="7:7">
      <c r="G8138"/>
    </row>
    <row r="8139" spans="7:7">
      <c r="G8139"/>
    </row>
    <row r="8140" spans="7:7">
      <c r="G8140"/>
    </row>
    <row r="8141" spans="7:7">
      <c r="G8141"/>
    </row>
    <row r="8142" spans="7:7">
      <c r="G8142"/>
    </row>
    <row r="8143" spans="7:7">
      <c r="G8143"/>
    </row>
    <row r="8144" spans="7:7">
      <c r="G8144"/>
    </row>
    <row r="8145" spans="7:7">
      <c r="G8145"/>
    </row>
    <row r="8146" spans="7:7">
      <c r="G8146"/>
    </row>
    <row r="8147" spans="7:7">
      <c r="G8147"/>
    </row>
    <row r="8148" spans="7:7">
      <c r="G8148"/>
    </row>
    <row r="8149" spans="7:7">
      <c r="G8149"/>
    </row>
    <row r="8150" spans="7:7">
      <c r="G8150"/>
    </row>
    <row r="8151" spans="7:7">
      <c r="G8151"/>
    </row>
    <row r="8152" spans="7:7">
      <c r="G8152"/>
    </row>
    <row r="8153" spans="7:7">
      <c r="G8153"/>
    </row>
    <row r="8154" spans="7:7">
      <c r="G8154"/>
    </row>
    <row r="8155" spans="7:7">
      <c r="G8155"/>
    </row>
    <row r="8156" spans="7:7">
      <c r="G8156"/>
    </row>
    <row r="8157" spans="7:7">
      <c r="G8157"/>
    </row>
    <row r="8158" spans="7:7">
      <c r="G8158"/>
    </row>
    <row r="8159" spans="7:7">
      <c r="G8159"/>
    </row>
    <row r="8160" spans="7:7">
      <c r="G8160"/>
    </row>
    <row r="8161" spans="7:7">
      <c r="G8161"/>
    </row>
    <row r="8162" spans="7:7">
      <c r="G8162"/>
    </row>
    <row r="8163" spans="7:7">
      <c r="G8163"/>
    </row>
    <row r="8164" spans="7:7">
      <c r="G8164"/>
    </row>
    <row r="8165" spans="7:7">
      <c r="G8165"/>
    </row>
    <row r="8166" spans="7:7">
      <c r="G8166"/>
    </row>
    <row r="8167" spans="7:7">
      <c r="G8167"/>
    </row>
    <row r="8168" spans="7:7">
      <c r="G8168"/>
    </row>
    <row r="8169" spans="7:7">
      <c r="G8169"/>
    </row>
    <row r="8170" spans="7:7">
      <c r="G8170"/>
    </row>
    <row r="8171" spans="7:7">
      <c r="G8171"/>
    </row>
    <row r="8172" spans="7:7">
      <c r="G8172"/>
    </row>
    <row r="8173" spans="7:7">
      <c r="G8173"/>
    </row>
    <row r="8174" spans="7:7">
      <c r="G8174"/>
    </row>
    <row r="8175" spans="7:7">
      <c r="G8175"/>
    </row>
    <row r="8176" spans="7:7">
      <c r="G8176"/>
    </row>
    <row r="8177" spans="7:7">
      <c r="G8177"/>
    </row>
    <row r="8178" spans="7:7">
      <c r="G8178"/>
    </row>
    <row r="8179" spans="7:7">
      <c r="G8179"/>
    </row>
    <row r="8180" spans="7:7">
      <c r="G8180"/>
    </row>
    <row r="8181" spans="7:7">
      <c r="G8181"/>
    </row>
    <row r="8182" spans="7:7">
      <c r="G8182"/>
    </row>
    <row r="8183" spans="7:7">
      <c r="G8183"/>
    </row>
    <row r="8184" spans="7:7">
      <c r="G8184"/>
    </row>
    <row r="8185" spans="7:7">
      <c r="G8185"/>
    </row>
    <row r="8186" spans="7:7">
      <c r="G8186"/>
    </row>
    <row r="8187" spans="7:7">
      <c r="G8187"/>
    </row>
    <row r="8188" spans="7:7">
      <c r="G8188"/>
    </row>
    <row r="8189" spans="7:7">
      <c r="G8189"/>
    </row>
    <row r="8190" spans="7:7">
      <c r="G8190"/>
    </row>
    <row r="8191" spans="7:7">
      <c r="G8191"/>
    </row>
    <row r="8192" spans="7:7">
      <c r="G8192"/>
    </row>
    <row r="8193" spans="7:7">
      <c r="G8193"/>
    </row>
    <row r="8194" spans="7:7">
      <c r="G8194"/>
    </row>
    <row r="8195" spans="7:7">
      <c r="G8195"/>
    </row>
    <row r="8196" spans="7:7">
      <c r="G8196"/>
    </row>
    <row r="8197" spans="7:7">
      <c r="G8197"/>
    </row>
    <row r="8198" spans="7:7">
      <c r="G8198"/>
    </row>
    <row r="8199" spans="7:7">
      <c r="G8199"/>
    </row>
    <row r="8200" spans="7:7">
      <c r="G8200"/>
    </row>
    <row r="8201" spans="7:7">
      <c r="G8201"/>
    </row>
    <row r="8202" spans="7:7">
      <c r="G8202"/>
    </row>
    <row r="8203" spans="7:7">
      <c r="G8203"/>
    </row>
    <row r="8204" spans="7:7">
      <c r="G8204"/>
    </row>
    <row r="8205" spans="7:7">
      <c r="G8205"/>
    </row>
    <row r="8206" spans="7:7">
      <c r="G8206"/>
    </row>
    <row r="8207" spans="7:7">
      <c r="G8207"/>
    </row>
    <row r="8208" spans="7:7">
      <c r="G8208"/>
    </row>
    <row r="8209" spans="7:7">
      <c r="G8209"/>
    </row>
    <row r="8210" spans="7:7">
      <c r="G8210"/>
    </row>
    <row r="8211" spans="7:7">
      <c r="G8211"/>
    </row>
    <row r="8212" spans="7:7">
      <c r="G8212"/>
    </row>
    <row r="8213" spans="7:7">
      <c r="G8213"/>
    </row>
    <row r="8214" spans="7:7">
      <c r="G8214"/>
    </row>
    <row r="8215" spans="7:7">
      <c r="G8215"/>
    </row>
    <row r="8216" spans="7:7">
      <c r="G8216"/>
    </row>
    <row r="8217" spans="7:7">
      <c r="G8217"/>
    </row>
    <row r="8218" spans="7:7">
      <c r="G8218"/>
    </row>
    <row r="8219" spans="7:7">
      <c r="G8219"/>
    </row>
    <row r="8220" spans="7:7">
      <c r="G8220"/>
    </row>
    <row r="8221" spans="7:7">
      <c r="G8221"/>
    </row>
    <row r="8222" spans="7:7">
      <c r="G8222"/>
    </row>
    <row r="8223" spans="7:7">
      <c r="G8223"/>
    </row>
    <row r="8224" spans="7:7">
      <c r="G8224"/>
    </row>
    <row r="8225" spans="7:7">
      <c r="G8225"/>
    </row>
    <row r="8226" spans="7:7">
      <c r="G8226"/>
    </row>
    <row r="8227" spans="7:7">
      <c r="G8227"/>
    </row>
    <row r="8228" spans="7:7">
      <c r="G8228"/>
    </row>
    <row r="8229" spans="7:7">
      <c r="G8229"/>
    </row>
    <row r="8230" spans="7:7">
      <c r="G8230"/>
    </row>
    <row r="8231" spans="7:7">
      <c r="G8231"/>
    </row>
    <row r="8232" spans="7:7">
      <c r="G8232"/>
    </row>
    <row r="8233" spans="7:7">
      <c r="G8233"/>
    </row>
    <row r="8234" spans="7:7">
      <c r="G8234"/>
    </row>
    <row r="8235" spans="7:7">
      <c r="G8235"/>
    </row>
    <row r="8236" spans="7:7">
      <c r="G8236"/>
    </row>
    <row r="8237" spans="7:7">
      <c r="G8237"/>
    </row>
    <row r="8238" spans="7:7">
      <c r="G8238"/>
    </row>
    <row r="8239" spans="7:7">
      <c r="G8239"/>
    </row>
    <row r="8240" spans="7:7">
      <c r="G8240"/>
    </row>
    <row r="8241" spans="7:7">
      <c r="G8241"/>
    </row>
    <row r="8242" spans="7:7">
      <c r="G8242"/>
    </row>
    <row r="8243" spans="7:7">
      <c r="G8243"/>
    </row>
    <row r="8244" spans="7:7">
      <c r="G8244"/>
    </row>
    <row r="8245" spans="7:7">
      <c r="G8245"/>
    </row>
    <row r="8246" spans="7:7">
      <c r="G8246"/>
    </row>
    <row r="8247" spans="7:7">
      <c r="G8247"/>
    </row>
    <row r="8248" spans="7:7">
      <c r="G8248"/>
    </row>
    <row r="8249" spans="7:7">
      <c r="G8249"/>
    </row>
    <row r="8250" spans="7:7">
      <c r="G8250"/>
    </row>
    <row r="8251" spans="7:7">
      <c r="G8251"/>
    </row>
    <row r="8252" spans="7:7">
      <c r="G8252"/>
    </row>
    <row r="8253" spans="7:7">
      <c r="G8253"/>
    </row>
    <row r="8254" spans="7:7">
      <c r="G8254"/>
    </row>
    <row r="8255" spans="7:7">
      <c r="G8255"/>
    </row>
    <row r="8256" spans="7:7">
      <c r="G8256"/>
    </row>
    <row r="8257" spans="7:7">
      <c r="G8257"/>
    </row>
    <row r="8258" spans="7:7">
      <c r="G8258"/>
    </row>
    <row r="8259" spans="7:7">
      <c r="G8259"/>
    </row>
    <row r="8260" spans="7:7">
      <c r="G8260"/>
    </row>
    <row r="8261" spans="7:7">
      <c r="G8261"/>
    </row>
    <row r="8262" spans="7:7">
      <c r="G8262"/>
    </row>
    <row r="8263" spans="7:7">
      <c r="G8263"/>
    </row>
    <row r="8264" spans="7:7">
      <c r="G8264"/>
    </row>
    <row r="8265" spans="7:7">
      <c r="G8265"/>
    </row>
    <row r="8266" spans="7:7">
      <c r="G8266"/>
    </row>
    <row r="8267" spans="7:7">
      <c r="G8267"/>
    </row>
    <row r="8268" spans="7:7">
      <c r="G8268"/>
    </row>
    <row r="8269" spans="7:7">
      <c r="G8269"/>
    </row>
    <row r="8270" spans="7:7">
      <c r="G8270"/>
    </row>
    <row r="8271" spans="7:7">
      <c r="G8271"/>
    </row>
    <row r="8272" spans="7:7">
      <c r="G8272"/>
    </row>
    <row r="8273" spans="7:7">
      <c r="G8273"/>
    </row>
    <row r="8274" spans="7:7">
      <c r="G8274"/>
    </row>
    <row r="8275" spans="7:7">
      <c r="G8275"/>
    </row>
    <row r="8276" spans="7:7">
      <c r="G8276"/>
    </row>
    <row r="8277" spans="7:7">
      <c r="G8277"/>
    </row>
    <row r="8278" spans="7:7">
      <c r="G8278"/>
    </row>
    <row r="8279" spans="7:7">
      <c r="G8279"/>
    </row>
    <row r="8280" spans="7:7">
      <c r="G8280"/>
    </row>
    <row r="8281" spans="7:7">
      <c r="G8281"/>
    </row>
    <row r="8282" spans="7:7">
      <c r="G8282"/>
    </row>
    <row r="8283" spans="7:7">
      <c r="G8283"/>
    </row>
    <row r="8284" spans="7:7">
      <c r="G8284"/>
    </row>
    <row r="8285" spans="7:7">
      <c r="G8285"/>
    </row>
    <row r="8286" spans="7:7">
      <c r="G8286"/>
    </row>
    <row r="8287" spans="7:7">
      <c r="G8287"/>
    </row>
    <row r="8288" spans="7:7">
      <c r="G8288"/>
    </row>
    <row r="8289" spans="7:7">
      <c r="G8289"/>
    </row>
    <row r="8290" spans="7:7">
      <c r="G8290"/>
    </row>
    <row r="8291" spans="7:7">
      <c r="G8291"/>
    </row>
    <row r="8292" spans="7:7">
      <c r="G8292"/>
    </row>
    <row r="8293" spans="7:7">
      <c r="G8293"/>
    </row>
    <row r="8294" spans="7:7">
      <c r="G8294"/>
    </row>
    <row r="8295" spans="7:7">
      <c r="G8295"/>
    </row>
    <row r="8296" spans="7:7">
      <c r="G8296"/>
    </row>
    <row r="8297" spans="7:7">
      <c r="G8297"/>
    </row>
    <row r="8298" spans="7:7">
      <c r="G8298"/>
    </row>
    <row r="8299" spans="7:7">
      <c r="G8299"/>
    </row>
    <row r="8300" spans="7:7">
      <c r="G8300"/>
    </row>
    <row r="8301" spans="7:7">
      <c r="G8301"/>
    </row>
    <row r="8302" spans="7:7">
      <c r="G8302"/>
    </row>
    <row r="8303" spans="7:7">
      <c r="G8303"/>
    </row>
    <row r="8304" spans="7:7">
      <c r="G8304"/>
    </row>
    <row r="8305" spans="7:7">
      <c r="G8305"/>
    </row>
    <row r="8306" spans="7:7">
      <c r="G8306"/>
    </row>
    <row r="8307" spans="7:7">
      <c r="G8307"/>
    </row>
    <row r="8308" spans="7:7">
      <c r="G8308"/>
    </row>
    <row r="8309" spans="7:7">
      <c r="G8309"/>
    </row>
    <row r="8310" spans="7:7">
      <c r="G8310"/>
    </row>
    <row r="8311" spans="7:7">
      <c r="G8311"/>
    </row>
    <row r="8312" spans="7:7">
      <c r="G8312"/>
    </row>
    <row r="8313" spans="7:7">
      <c r="G8313"/>
    </row>
    <row r="8314" spans="7:7">
      <c r="G8314"/>
    </row>
    <row r="8315" spans="7:7">
      <c r="G8315"/>
    </row>
    <row r="8316" spans="7:7">
      <c r="G8316"/>
    </row>
    <row r="8317" spans="7:7">
      <c r="G8317"/>
    </row>
    <row r="8318" spans="7:7">
      <c r="G8318"/>
    </row>
    <row r="8319" spans="7:7">
      <c r="G8319"/>
    </row>
    <row r="8320" spans="7:7">
      <c r="G8320"/>
    </row>
    <row r="8321" spans="7:7">
      <c r="G8321"/>
    </row>
    <row r="8322" spans="7:7">
      <c r="G8322"/>
    </row>
    <row r="8323" spans="7:7">
      <c r="G8323"/>
    </row>
    <row r="8324" spans="7:7">
      <c r="G8324"/>
    </row>
    <row r="8325" spans="7:7">
      <c r="G8325"/>
    </row>
    <row r="8326" spans="7:7">
      <c r="G8326"/>
    </row>
    <row r="8327" spans="7:7">
      <c r="G8327"/>
    </row>
    <row r="8328" spans="7:7">
      <c r="G8328"/>
    </row>
    <row r="8329" spans="7:7">
      <c r="G8329"/>
    </row>
    <row r="8330" spans="7:7">
      <c r="G8330"/>
    </row>
    <row r="8331" spans="7:7">
      <c r="G8331"/>
    </row>
    <row r="8332" spans="7:7">
      <c r="G8332"/>
    </row>
    <row r="8333" spans="7:7">
      <c r="G8333"/>
    </row>
    <row r="8334" spans="7:7">
      <c r="G8334"/>
    </row>
    <row r="8335" spans="7:7">
      <c r="G8335"/>
    </row>
    <row r="8336" spans="7:7">
      <c r="G8336"/>
    </row>
    <row r="8337" spans="7:7">
      <c r="G8337"/>
    </row>
    <row r="8338" spans="7:7">
      <c r="G8338"/>
    </row>
    <row r="8339" spans="7:7">
      <c r="G8339"/>
    </row>
    <row r="8340" spans="7:7">
      <c r="G8340"/>
    </row>
    <row r="8341" spans="7:7">
      <c r="G8341"/>
    </row>
    <row r="8342" spans="7:7">
      <c r="G8342"/>
    </row>
    <row r="8343" spans="7:7">
      <c r="G8343"/>
    </row>
    <row r="8344" spans="7:7">
      <c r="G8344"/>
    </row>
    <row r="8345" spans="7:7">
      <c r="G8345"/>
    </row>
    <row r="8346" spans="7:7">
      <c r="G8346"/>
    </row>
    <row r="8347" spans="7:7">
      <c r="G8347"/>
    </row>
    <row r="8348" spans="7:7">
      <c r="G8348"/>
    </row>
    <row r="8349" spans="7:7">
      <c r="G8349"/>
    </row>
    <row r="8350" spans="7:7">
      <c r="G8350"/>
    </row>
    <row r="8351" spans="7:7">
      <c r="G8351"/>
    </row>
    <row r="8352" spans="7:7">
      <c r="G8352"/>
    </row>
    <row r="8353" spans="7:7">
      <c r="G8353"/>
    </row>
    <row r="8354" spans="7:7">
      <c r="G8354"/>
    </row>
    <row r="8355" spans="7:7">
      <c r="G8355"/>
    </row>
    <row r="8356" spans="7:7">
      <c r="G8356"/>
    </row>
    <row r="8357" spans="7:7">
      <c r="G8357"/>
    </row>
    <row r="8358" spans="7:7">
      <c r="G8358"/>
    </row>
    <row r="8359" spans="7:7">
      <c r="G8359"/>
    </row>
    <row r="8360" spans="7:7">
      <c r="G8360"/>
    </row>
    <row r="8361" spans="7:7">
      <c r="G8361"/>
    </row>
    <row r="8362" spans="7:7">
      <c r="G8362"/>
    </row>
    <row r="8363" spans="7:7">
      <c r="G8363"/>
    </row>
    <row r="8364" spans="7:7">
      <c r="G8364"/>
    </row>
    <row r="8365" spans="7:7">
      <c r="G8365"/>
    </row>
    <row r="8366" spans="7:7">
      <c r="G8366"/>
    </row>
    <row r="8367" spans="7:7">
      <c r="G8367"/>
    </row>
    <row r="8368" spans="7:7">
      <c r="G8368"/>
    </row>
    <row r="8369" spans="7:7">
      <c r="G8369"/>
    </row>
    <row r="8370" spans="7:7">
      <c r="G8370"/>
    </row>
    <row r="8371" spans="7:7">
      <c r="G8371"/>
    </row>
    <row r="8372" spans="7:7">
      <c r="G8372"/>
    </row>
    <row r="8373" spans="7:7">
      <c r="G8373"/>
    </row>
    <row r="8374" spans="7:7">
      <c r="G8374"/>
    </row>
    <row r="8375" spans="7:7">
      <c r="G8375"/>
    </row>
    <row r="8376" spans="7:7">
      <c r="G8376"/>
    </row>
    <row r="8377" spans="7:7">
      <c r="G8377"/>
    </row>
    <row r="8378" spans="7:7">
      <c r="G8378"/>
    </row>
    <row r="8379" spans="7:7">
      <c r="G8379"/>
    </row>
    <row r="8380" spans="7:7">
      <c r="G8380"/>
    </row>
    <row r="8381" spans="7:7">
      <c r="G8381"/>
    </row>
    <row r="8382" spans="7:7">
      <c r="G8382"/>
    </row>
    <row r="8383" spans="7:7">
      <c r="G8383"/>
    </row>
    <row r="8384" spans="7:7">
      <c r="G8384"/>
    </row>
    <row r="8385" spans="7:7">
      <c r="G8385"/>
    </row>
    <row r="8386" spans="7:7">
      <c r="G8386"/>
    </row>
    <row r="8387" spans="7:7">
      <c r="G8387"/>
    </row>
    <row r="8388" spans="7:7">
      <c r="G8388"/>
    </row>
    <row r="8389" spans="7:7">
      <c r="G8389"/>
    </row>
    <row r="8390" spans="7:7">
      <c r="G8390"/>
    </row>
    <row r="8391" spans="7:7">
      <c r="G8391"/>
    </row>
    <row r="8392" spans="7:7">
      <c r="G8392"/>
    </row>
    <row r="8393" spans="7:7">
      <c r="G8393"/>
    </row>
    <row r="8394" spans="7:7">
      <c r="G8394"/>
    </row>
    <row r="8395" spans="7:7">
      <c r="G8395"/>
    </row>
    <row r="8396" spans="7:7">
      <c r="G8396"/>
    </row>
    <row r="8397" spans="7:7">
      <c r="G8397"/>
    </row>
    <row r="8398" spans="7:7">
      <c r="G8398"/>
    </row>
    <row r="8399" spans="7:7">
      <c r="G8399"/>
    </row>
    <row r="8400" spans="7:7">
      <c r="G8400"/>
    </row>
    <row r="8401" spans="7:7">
      <c r="G8401"/>
    </row>
    <row r="8402" spans="7:7">
      <c r="G8402"/>
    </row>
    <row r="8403" spans="7:7">
      <c r="G8403"/>
    </row>
    <row r="8404" spans="7:7">
      <c r="G8404"/>
    </row>
    <row r="8405" spans="7:7">
      <c r="G8405"/>
    </row>
    <row r="8406" spans="7:7">
      <c r="G8406"/>
    </row>
    <row r="8407" spans="7:7">
      <c r="G8407"/>
    </row>
    <row r="8408" spans="7:7">
      <c r="G8408"/>
    </row>
    <row r="8409" spans="7:7">
      <c r="G8409"/>
    </row>
    <row r="8410" spans="7:7">
      <c r="G8410"/>
    </row>
    <row r="8411" spans="7:7">
      <c r="G8411"/>
    </row>
    <row r="8412" spans="7:7">
      <c r="G8412"/>
    </row>
    <row r="8413" spans="7:7">
      <c r="G8413"/>
    </row>
    <row r="8414" spans="7:7">
      <c r="G8414"/>
    </row>
    <row r="8415" spans="7:7">
      <c r="G8415"/>
    </row>
    <row r="8416" spans="7:7">
      <c r="G8416"/>
    </row>
    <row r="8417" spans="7:7">
      <c r="G8417"/>
    </row>
    <row r="8418" spans="7:7">
      <c r="G8418"/>
    </row>
    <row r="8419" spans="7:7">
      <c r="G8419"/>
    </row>
    <row r="8420" spans="7:7">
      <c r="G8420"/>
    </row>
    <row r="8421" spans="7:7">
      <c r="G8421"/>
    </row>
    <row r="8422" spans="7:7">
      <c r="G8422"/>
    </row>
    <row r="8423" spans="7:7">
      <c r="G8423"/>
    </row>
    <row r="8424" spans="7:7">
      <c r="G8424"/>
    </row>
    <row r="8425" spans="7:7">
      <c r="G8425"/>
    </row>
    <row r="8426" spans="7:7">
      <c r="G8426"/>
    </row>
    <row r="8427" spans="7:7">
      <c r="G8427"/>
    </row>
    <row r="8428" spans="7:7">
      <c r="G8428"/>
    </row>
    <row r="8429" spans="7:7">
      <c r="G8429"/>
    </row>
    <row r="8430" spans="7:7">
      <c r="G8430"/>
    </row>
    <row r="8431" spans="7:7">
      <c r="G8431"/>
    </row>
    <row r="8432" spans="7:7">
      <c r="G8432"/>
    </row>
    <row r="8433" spans="7:7">
      <c r="G8433"/>
    </row>
    <row r="8434" spans="7:7">
      <c r="G8434"/>
    </row>
    <row r="8435" spans="7:7">
      <c r="G8435"/>
    </row>
    <row r="8436" spans="7:7">
      <c r="G8436"/>
    </row>
    <row r="8437" spans="7:7">
      <c r="G8437"/>
    </row>
    <row r="8438" spans="7:7">
      <c r="G8438"/>
    </row>
    <row r="8439" spans="7:7">
      <c r="G8439"/>
    </row>
    <row r="8440" spans="7:7">
      <c r="G8440"/>
    </row>
    <row r="8441" spans="7:7">
      <c r="G8441"/>
    </row>
    <row r="8442" spans="7:7">
      <c r="G8442"/>
    </row>
    <row r="8443" spans="7:7">
      <c r="G8443"/>
    </row>
    <row r="8444" spans="7:7">
      <c r="G8444"/>
    </row>
    <row r="8445" spans="7:7">
      <c r="G8445"/>
    </row>
    <row r="8446" spans="7:7">
      <c r="G8446"/>
    </row>
    <row r="8447" spans="7:7">
      <c r="G8447"/>
    </row>
    <row r="8448" spans="7:7">
      <c r="G8448"/>
    </row>
    <row r="8449" spans="7:7">
      <c r="G8449"/>
    </row>
    <row r="8450" spans="7:7">
      <c r="G8450"/>
    </row>
    <row r="8451" spans="7:7">
      <c r="G8451"/>
    </row>
    <row r="8452" spans="7:7">
      <c r="G8452"/>
    </row>
    <row r="8453" spans="7:7">
      <c r="G8453"/>
    </row>
    <row r="8454" spans="7:7">
      <c r="G8454"/>
    </row>
    <row r="8455" spans="7:7">
      <c r="G8455"/>
    </row>
    <row r="8456" spans="7:7">
      <c r="G8456"/>
    </row>
    <row r="8457" spans="7:7">
      <c r="G8457"/>
    </row>
    <row r="8458" spans="7:7">
      <c r="G8458"/>
    </row>
    <row r="8459" spans="7:7">
      <c r="G8459"/>
    </row>
    <row r="8460" spans="7:7">
      <c r="G8460"/>
    </row>
    <row r="8461" spans="7:7">
      <c r="G8461"/>
    </row>
    <row r="8462" spans="7:7">
      <c r="G8462"/>
    </row>
    <row r="8463" spans="7:7">
      <c r="G8463"/>
    </row>
    <row r="8464" spans="7:7">
      <c r="G8464"/>
    </row>
    <row r="8465" spans="7:7">
      <c r="G8465"/>
    </row>
    <row r="8466" spans="7:7">
      <c r="G8466"/>
    </row>
    <row r="8467" spans="7:7">
      <c r="G8467"/>
    </row>
    <row r="8468" spans="7:7">
      <c r="G8468"/>
    </row>
    <row r="8469" spans="7:7">
      <c r="G8469"/>
    </row>
    <row r="8470" spans="7:7">
      <c r="G8470"/>
    </row>
    <row r="8471" spans="7:7">
      <c r="G8471"/>
    </row>
    <row r="8472" spans="7:7">
      <c r="G8472"/>
    </row>
    <row r="8473" spans="7:7">
      <c r="G8473"/>
    </row>
    <row r="8474" spans="7:7">
      <c r="G8474"/>
    </row>
    <row r="8475" spans="7:7">
      <c r="G8475"/>
    </row>
    <row r="8476" spans="7:7">
      <c r="G8476"/>
    </row>
    <row r="8477" spans="7:7">
      <c r="G8477"/>
    </row>
    <row r="8478" spans="7:7">
      <c r="G8478"/>
    </row>
    <row r="8479" spans="7:7">
      <c r="G8479"/>
    </row>
    <row r="8480" spans="7:7">
      <c r="G8480"/>
    </row>
    <row r="8481" spans="7:7">
      <c r="G8481"/>
    </row>
    <row r="8482" spans="7:7">
      <c r="G8482"/>
    </row>
    <row r="8483" spans="7:7">
      <c r="G8483"/>
    </row>
    <row r="8484" spans="7:7">
      <c r="G8484"/>
    </row>
    <row r="8485" spans="7:7">
      <c r="G8485"/>
    </row>
    <row r="8486" spans="7:7">
      <c r="G8486"/>
    </row>
    <row r="8487" spans="7:7">
      <c r="G8487"/>
    </row>
    <row r="8488" spans="7:7">
      <c r="G8488"/>
    </row>
    <row r="8489" spans="7:7">
      <c r="G8489"/>
    </row>
    <row r="8490" spans="7:7">
      <c r="G8490"/>
    </row>
    <row r="8491" spans="7:7">
      <c r="G8491"/>
    </row>
    <row r="8492" spans="7:7">
      <c r="G8492"/>
    </row>
    <row r="8493" spans="7:7">
      <c r="G8493"/>
    </row>
    <row r="8494" spans="7:7">
      <c r="G8494"/>
    </row>
    <row r="8495" spans="7:7">
      <c r="G8495"/>
    </row>
    <row r="8496" spans="7:7">
      <c r="G8496"/>
    </row>
    <row r="8497" spans="7:7">
      <c r="G8497"/>
    </row>
    <row r="8498" spans="7:7">
      <c r="G8498"/>
    </row>
    <row r="8499" spans="7:7">
      <c r="G8499"/>
    </row>
    <row r="8500" spans="7:7">
      <c r="G8500"/>
    </row>
    <row r="8501" spans="7:7">
      <c r="G8501"/>
    </row>
    <row r="8502" spans="7:7">
      <c r="G8502"/>
    </row>
    <row r="8503" spans="7:7">
      <c r="G8503"/>
    </row>
    <row r="8504" spans="7:7">
      <c r="G8504"/>
    </row>
    <row r="8505" spans="7:7">
      <c r="G8505"/>
    </row>
    <row r="8506" spans="7:7">
      <c r="G8506"/>
    </row>
    <row r="8507" spans="7:7">
      <c r="G8507"/>
    </row>
    <row r="8508" spans="7:7">
      <c r="G8508"/>
    </row>
    <row r="8509" spans="7:7">
      <c r="G8509"/>
    </row>
    <row r="8510" spans="7:7">
      <c r="G8510"/>
    </row>
    <row r="8511" spans="7:7">
      <c r="G8511"/>
    </row>
    <row r="8512" spans="7:7">
      <c r="G8512"/>
    </row>
    <row r="8513" spans="7:7">
      <c r="G8513"/>
    </row>
    <row r="8514" spans="7:7">
      <c r="G8514"/>
    </row>
    <row r="8515" spans="7:7">
      <c r="G8515"/>
    </row>
    <row r="8516" spans="7:7">
      <c r="G8516"/>
    </row>
    <row r="8517" spans="7:7">
      <c r="G8517"/>
    </row>
    <row r="8518" spans="7:7">
      <c r="G8518"/>
    </row>
    <row r="8519" spans="7:7">
      <c r="G8519"/>
    </row>
    <row r="8520" spans="7:7">
      <c r="G8520"/>
    </row>
    <row r="8521" spans="7:7">
      <c r="G8521"/>
    </row>
    <row r="8522" spans="7:7">
      <c r="G8522"/>
    </row>
    <row r="8523" spans="7:7">
      <c r="G8523"/>
    </row>
    <row r="8524" spans="7:7">
      <c r="G8524"/>
    </row>
    <row r="8525" spans="7:7">
      <c r="G8525"/>
    </row>
    <row r="8526" spans="7:7">
      <c r="G8526"/>
    </row>
    <row r="8527" spans="7:7">
      <c r="G8527"/>
    </row>
    <row r="8528" spans="7:7">
      <c r="G8528"/>
    </row>
    <row r="8529" spans="7:7">
      <c r="G8529"/>
    </row>
    <row r="8530" spans="7:7">
      <c r="G8530"/>
    </row>
    <row r="8531" spans="7:7">
      <c r="G8531"/>
    </row>
    <row r="8532" spans="7:7">
      <c r="G8532"/>
    </row>
    <row r="8533" spans="7:7">
      <c r="G8533"/>
    </row>
    <row r="8534" spans="7:7">
      <c r="G8534"/>
    </row>
    <row r="8535" spans="7:7">
      <c r="G8535"/>
    </row>
    <row r="8536" spans="7:7">
      <c r="G8536"/>
    </row>
    <row r="8537" spans="7:7">
      <c r="G8537"/>
    </row>
    <row r="8538" spans="7:7">
      <c r="G8538"/>
    </row>
    <row r="8539" spans="7:7">
      <c r="G8539"/>
    </row>
    <row r="8540" spans="7:7">
      <c r="G8540"/>
    </row>
    <row r="8541" spans="7:7">
      <c r="G8541"/>
    </row>
    <row r="8542" spans="7:7">
      <c r="G8542"/>
    </row>
    <row r="8543" spans="7:7">
      <c r="G8543"/>
    </row>
    <row r="8544" spans="7:7">
      <c r="G8544"/>
    </row>
    <row r="8545" spans="7:7">
      <c r="G8545"/>
    </row>
    <row r="8546" spans="7:7">
      <c r="G8546"/>
    </row>
    <row r="8547" spans="7:7">
      <c r="G8547"/>
    </row>
    <row r="8548" spans="7:7">
      <c r="G8548"/>
    </row>
    <row r="8549" spans="7:7">
      <c r="G8549"/>
    </row>
    <row r="8550" spans="7:7">
      <c r="G8550"/>
    </row>
    <row r="8551" spans="7:7">
      <c r="G8551"/>
    </row>
    <row r="8552" spans="7:7">
      <c r="G8552"/>
    </row>
    <row r="8553" spans="7:7">
      <c r="G8553"/>
    </row>
    <row r="8554" spans="7:7">
      <c r="G8554"/>
    </row>
    <row r="8555" spans="7:7">
      <c r="G8555"/>
    </row>
    <row r="8556" spans="7:7">
      <c r="G8556"/>
    </row>
    <row r="8557" spans="7:7">
      <c r="G8557"/>
    </row>
    <row r="8558" spans="7:7">
      <c r="G8558"/>
    </row>
    <row r="8559" spans="7:7">
      <c r="G8559"/>
    </row>
    <row r="8560" spans="7:7">
      <c r="G8560"/>
    </row>
    <row r="8561" spans="7:7">
      <c r="G8561"/>
    </row>
    <row r="8562" spans="7:7">
      <c r="G8562"/>
    </row>
    <row r="8563" spans="7:7">
      <c r="G8563"/>
    </row>
    <row r="8564" spans="7:7">
      <c r="G8564"/>
    </row>
    <row r="8565" spans="7:7">
      <c r="G8565"/>
    </row>
    <row r="8566" spans="7:7">
      <c r="G8566"/>
    </row>
    <row r="8567" spans="7:7">
      <c r="G8567"/>
    </row>
    <row r="8568" spans="7:7">
      <c r="G8568"/>
    </row>
    <row r="8569" spans="7:7">
      <c r="G8569"/>
    </row>
    <row r="8570" spans="7:7">
      <c r="G8570"/>
    </row>
    <row r="8571" spans="7:7">
      <c r="G8571"/>
    </row>
    <row r="8572" spans="7:7">
      <c r="G8572"/>
    </row>
    <row r="8573" spans="7:7">
      <c r="G8573"/>
    </row>
    <row r="8574" spans="7:7">
      <c r="G8574"/>
    </row>
    <row r="8575" spans="7:7">
      <c r="G8575"/>
    </row>
    <row r="8576" spans="7:7">
      <c r="G8576"/>
    </row>
    <row r="8577" spans="7:7">
      <c r="G8577"/>
    </row>
    <row r="8578" spans="7:7">
      <c r="G8578"/>
    </row>
    <row r="8579" spans="7:7">
      <c r="G8579"/>
    </row>
    <row r="8580" spans="7:7">
      <c r="G8580"/>
    </row>
    <row r="8581" spans="7:7">
      <c r="G8581"/>
    </row>
    <row r="8582" spans="7:7">
      <c r="G8582"/>
    </row>
    <row r="8583" spans="7:7">
      <c r="G8583"/>
    </row>
    <row r="8584" spans="7:7">
      <c r="G8584"/>
    </row>
    <row r="8585" spans="7:7">
      <c r="G8585"/>
    </row>
    <row r="8586" spans="7:7">
      <c r="G8586"/>
    </row>
    <row r="8587" spans="7:7">
      <c r="G8587"/>
    </row>
    <row r="8588" spans="7:7">
      <c r="G8588"/>
    </row>
    <row r="8589" spans="7:7">
      <c r="G8589"/>
    </row>
    <row r="8590" spans="7:7">
      <c r="G8590"/>
    </row>
    <row r="8591" spans="7:7">
      <c r="G8591"/>
    </row>
    <row r="8592" spans="7:7">
      <c r="G8592"/>
    </row>
    <row r="8593" spans="7:7">
      <c r="G8593"/>
    </row>
    <row r="8594" spans="7:7">
      <c r="G8594"/>
    </row>
    <row r="8595" spans="7:7">
      <c r="G8595"/>
    </row>
    <row r="8596" spans="7:7">
      <c r="G8596"/>
    </row>
    <row r="8597" spans="7:7">
      <c r="G8597"/>
    </row>
    <row r="8598" spans="7:7">
      <c r="G8598"/>
    </row>
    <row r="8599" spans="7:7">
      <c r="G8599"/>
    </row>
    <row r="8600" spans="7:7">
      <c r="G8600"/>
    </row>
    <row r="8601" spans="7:7">
      <c r="G8601"/>
    </row>
    <row r="8602" spans="7:7">
      <c r="G8602"/>
    </row>
    <row r="8603" spans="7:7">
      <c r="G8603"/>
    </row>
    <row r="8604" spans="7:7">
      <c r="G8604"/>
    </row>
    <row r="8605" spans="7:7">
      <c r="G8605"/>
    </row>
    <row r="8606" spans="7:7">
      <c r="G8606"/>
    </row>
    <row r="8607" spans="7:7">
      <c r="G8607"/>
    </row>
    <row r="8608" spans="7:7">
      <c r="G8608"/>
    </row>
    <row r="8609" spans="7:7">
      <c r="G8609"/>
    </row>
    <row r="8610" spans="7:7">
      <c r="G8610"/>
    </row>
    <row r="8611" spans="7:7">
      <c r="G8611"/>
    </row>
    <row r="8612" spans="7:7">
      <c r="G8612"/>
    </row>
    <row r="8613" spans="7:7">
      <c r="G8613"/>
    </row>
    <row r="8614" spans="7:7">
      <c r="G8614"/>
    </row>
    <row r="8615" spans="7:7">
      <c r="G8615"/>
    </row>
    <row r="8616" spans="7:7">
      <c r="G8616"/>
    </row>
    <row r="8617" spans="7:7">
      <c r="G8617"/>
    </row>
    <row r="8618" spans="7:7">
      <c r="G8618"/>
    </row>
    <row r="8619" spans="7:7">
      <c r="G8619"/>
    </row>
    <row r="8620" spans="7:7">
      <c r="G8620"/>
    </row>
    <row r="8621" spans="7:7">
      <c r="G8621"/>
    </row>
    <row r="8622" spans="7:7">
      <c r="G8622"/>
    </row>
    <row r="8623" spans="7:7">
      <c r="G8623"/>
    </row>
    <row r="8624" spans="7:7">
      <c r="G8624"/>
    </row>
    <row r="8625" spans="7:7">
      <c r="G8625"/>
    </row>
    <row r="8626" spans="7:7">
      <c r="G8626"/>
    </row>
    <row r="8627" spans="7:7">
      <c r="G8627"/>
    </row>
    <row r="8628" spans="7:7">
      <c r="G8628"/>
    </row>
    <row r="8629" spans="7:7">
      <c r="G8629"/>
    </row>
    <row r="8630" spans="7:7">
      <c r="G8630"/>
    </row>
    <row r="8631" spans="7:7">
      <c r="G8631"/>
    </row>
    <row r="8632" spans="7:7">
      <c r="G8632"/>
    </row>
    <row r="8633" spans="7:7">
      <c r="G8633"/>
    </row>
    <row r="8634" spans="7:7">
      <c r="G8634"/>
    </row>
    <row r="8635" spans="7:7">
      <c r="G8635"/>
    </row>
    <row r="8636" spans="7:7">
      <c r="G8636"/>
    </row>
    <row r="8637" spans="7:7">
      <c r="G8637"/>
    </row>
    <row r="8638" spans="7:7">
      <c r="G8638"/>
    </row>
    <row r="8639" spans="7:7">
      <c r="G8639"/>
    </row>
    <row r="8640" spans="7:7">
      <c r="G8640"/>
    </row>
    <row r="8641" spans="7:7">
      <c r="G8641"/>
    </row>
    <row r="8642" spans="7:7">
      <c r="G8642"/>
    </row>
    <row r="8643" spans="7:7">
      <c r="G8643"/>
    </row>
    <row r="8644" spans="7:7">
      <c r="G8644"/>
    </row>
    <row r="8645" spans="7:7">
      <c r="G8645"/>
    </row>
    <row r="8646" spans="7:7">
      <c r="G8646"/>
    </row>
    <row r="8647" spans="7:7">
      <c r="G8647"/>
    </row>
    <row r="8648" spans="7:7">
      <c r="G8648"/>
    </row>
    <row r="8649" spans="7:7">
      <c r="G8649"/>
    </row>
    <row r="8650" spans="7:7">
      <c r="G8650"/>
    </row>
    <row r="8651" spans="7:7">
      <c r="G8651"/>
    </row>
    <row r="8652" spans="7:7">
      <c r="G8652"/>
    </row>
    <row r="8653" spans="7:7">
      <c r="G8653"/>
    </row>
    <row r="8654" spans="7:7">
      <c r="G8654"/>
    </row>
    <row r="8655" spans="7:7">
      <c r="G8655"/>
    </row>
    <row r="8656" spans="7:7">
      <c r="G8656"/>
    </row>
    <row r="8657" spans="7:7">
      <c r="G8657"/>
    </row>
    <row r="8658" spans="7:7">
      <c r="G8658"/>
    </row>
    <row r="8659" spans="7:7">
      <c r="G8659"/>
    </row>
    <row r="8660" spans="7:7">
      <c r="G8660"/>
    </row>
    <row r="8661" spans="7:7">
      <c r="G8661"/>
    </row>
    <row r="8662" spans="7:7">
      <c r="G8662"/>
    </row>
    <row r="8663" spans="7:7">
      <c r="G8663"/>
    </row>
    <row r="8664" spans="7:7">
      <c r="G8664"/>
    </row>
    <row r="8665" spans="7:7">
      <c r="G8665"/>
    </row>
    <row r="8666" spans="7:7">
      <c r="G8666"/>
    </row>
    <row r="8667" spans="7:7">
      <c r="G8667"/>
    </row>
    <row r="8668" spans="7:7">
      <c r="G8668"/>
    </row>
    <row r="8669" spans="7:7">
      <c r="G8669"/>
    </row>
    <row r="8670" spans="7:7">
      <c r="G8670"/>
    </row>
    <row r="8671" spans="7:7">
      <c r="G8671"/>
    </row>
    <row r="8672" spans="7:7">
      <c r="G8672"/>
    </row>
    <row r="8673" spans="7:7">
      <c r="G8673"/>
    </row>
    <row r="8674" spans="7:7">
      <c r="G8674"/>
    </row>
    <row r="8675" spans="7:7">
      <c r="G8675"/>
    </row>
    <row r="8676" spans="7:7">
      <c r="G8676"/>
    </row>
    <row r="8677" spans="7:7">
      <c r="G8677"/>
    </row>
    <row r="8678" spans="7:7">
      <c r="G8678"/>
    </row>
    <row r="8679" spans="7:7">
      <c r="G8679"/>
    </row>
    <row r="8680" spans="7:7">
      <c r="G8680"/>
    </row>
    <row r="8681" spans="7:7">
      <c r="G8681"/>
    </row>
    <row r="8682" spans="7:7">
      <c r="G8682"/>
    </row>
    <row r="8683" spans="7:7">
      <c r="G8683"/>
    </row>
    <row r="8684" spans="7:7">
      <c r="G8684"/>
    </row>
    <row r="8685" spans="7:7">
      <c r="G8685"/>
    </row>
    <row r="8686" spans="7:7">
      <c r="G8686"/>
    </row>
    <row r="8687" spans="7:7">
      <c r="G8687"/>
    </row>
    <row r="8688" spans="7:7">
      <c r="G8688"/>
    </row>
    <row r="8689" spans="7:7">
      <c r="G8689"/>
    </row>
    <row r="8690" spans="7:7">
      <c r="G8690"/>
    </row>
    <row r="8691" spans="7:7">
      <c r="G8691"/>
    </row>
    <row r="8692" spans="7:7">
      <c r="G8692"/>
    </row>
    <row r="8693" spans="7:7">
      <c r="G8693"/>
    </row>
    <row r="8694" spans="7:7">
      <c r="G8694"/>
    </row>
    <row r="8695" spans="7:7">
      <c r="G8695"/>
    </row>
    <row r="8696" spans="7:7">
      <c r="G8696"/>
    </row>
    <row r="8697" spans="7:7">
      <c r="G8697"/>
    </row>
    <row r="8698" spans="7:7">
      <c r="G8698"/>
    </row>
    <row r="8699" spans="7:7">
      <c r="G8699"/>
    </row>
    <row r="8700" spans="7:7">
      <c r="G8700"/>
    </row>
    <row r="8701" spans="7:7">
      <c r="G8701"/>
    </row>
    <row r="8702" spans="7:7">
      <c r="G8702"/>
    </row>
    <row r="8703" spans="7:7">
      <c r="G8703"/>
    </row>
    <row r="8704" spans="7:7">
      <c r="G8704"/>
    </row>
    <row r="8705" spans="7:7">
      <c r="G8705"/>
    </row>
    <row r="8706" spans="7:7">
      <c r="G8706"/>
    </row>
    <row r="8707" spans="7:7">
      <c r="G8707"/>
    </row>
    <row r="8708" spans="7:7">
      <c r="G8708"/>
    </row>
    <row r="8709" spans="7:7">
      <c r="G8709"/>
    </row>
    <row r="8710" spans="7:7">
      <c r="G8710"/>
    </row>
    <row r="8711" spans="7:7">
      <c r="G8711"/>
    </row>
    <row r="8712" spans="7:7">
      <c r="G8712"/>
    </row>
    <row r="8713" spans="7:7">
      <c r="G8713"/>
    </row>
    <row r="8714" spans="7:7">
      <c r="G8714"/>
    </row>
    <row r="8715" spans="7:7">
      <c r="G8715"/>
    </row>
    <row r="8716" spans="7:7">
      <c r="G8716"/>
    </row>
    <row r="8717" spans="7:7">
      <c r="G8717"/>
    </row>
    <row r="8718" spans="7:7">
      <c r="G8718"/>
    </row>
    <row r="8719" spans="7:7">
      <c r="G8719"/>
    </row>
    <row r="8720" spans="7:7">
      <c r="G8720"/>
    </row>
    <row r="8721" spans="7:7">
      <c r="G8721"/>
    </row>
    <row r="8722" spans="7:7">
      <c r="G8722"/>
    </row>
    <row r="8723" spans="7:7">
      <c r="G8723"/>
    </row>
    <row r="8724" spans="7:7">
      <c r="G8724"/>
    </row>
    <row r="8725" spans="7:7">
      <c r="G8725"/>
    </row>
    <row r="8726" spans="7:7">
      <c r="G8726"/>
    </row>
    <row r="8727" spans="7:7">
      <c r="G8727"/>
    </row>
    <row r="8728" spans="7:7">
      <c r="G8728"/>
    </row>
    <row r="8729" spans="7:7">
      <c r="G8729"/>
    </row>
    <row r="8730" spans="7:7">
      <c r="G8730"/>
    </row>
    <row r="8731" spans="7:7">
      <c r="G8731"/>
    </row>
    <row r="8732" spans="7:7">
      <c r="G8732"/>
    </row>
    <row r="8733" spans="7:7">
      <c r="G8733"/>
    </row>
    <row r="8734" spans="7:7">
      <c r="G8734"/>
    </row>
    <row r="8735" spans="7:7">
      <c r="G8735"/>
    </row>
    <row r="8736" spans="7:7">
      <c r="G8736"/>
    </row>
    <row r="8737" spans="7:7">
      <c r="G8737"/>
    </row>
    <row r="8738" spans="7:7">
      <c r="G8738"/>
    </row>
    <row r="8739" spans="7:7">
      <c r="G8739"/>
    </row>
    <row r="8740" spans="7:7">
      <c r="G8740"/>
    </row>
    <row r="8741" spans="7:7">
      <c r="G8741"/>
    </row>
    <row r="8742" spans="7:7">
      <c r="G8742"/>
    </row>
    <row r="8743" spans="7:7">
      <c r="G8743"/>
    </row>
    <row r="8744" spans="7:7">
      <c r="G8744"/>
    </row>
    <row r="8745" spans="7:7">
      <c r="G8745"/>
    </row>
    <row r="8746" spans="7:7">
      <c r="G8746"/>
    </row>
    <row r="8747" spans="7:7">
      <c r="G8747"/>
    </row>
    <row r="8748" spans="7:7">
      <c r="G8748"/>
    </row>
    <row r="8749" spans="7:7">
      <c r="G8749"/>
    </row>
    <row r="8750" spans="7:7">
      <c r="G8750"/>
    </row>
    <row r="8751" spans="7:7">
      <c r="G8751"/>
    </row>
    <row r="8752" spans="7:7">
      <c r="G8752"/>
    </row>
    <row r="8753" spans="7:7">
      <c r="G8753"/>
    </row>
    <row r="8754" spans="7:7">
      <c r="G8754"/>
    </row>
    <row r="8755" spans="7:7">
      <c r="G8755"/>
    </row>
    <row r="8756" spans="7:7">
      <c r="G8756"/>
    </row>
    <row r="8757" spans="7:7">
      <c r="G8757"/>
    </row>
    <row r="8758" spans="7:7">
      <c r="G8758"/>
    </row>
    <row r="8759" spans="7:7">
      <c r="G8759"/>
    </row>
    <row r="8760" spans="7:7">
      <c r="G8760"/>
    </row>
    <row r="8761" spans="7:7">
      <c r="G8761"/>
    </row>
    <row r="8762" spans="7:7">
      <c r="G8762"/>
    </row>
    <row r="8763" spans="7:7">
      <c r="G8763"/>
    </row>
    <row r="8764" spans="7:7">
      <c r="G8764"/>
    </row>
    <row r="8765" spans="7:7">
      <c r="G8765"/>
    </row>
    <row r="8766" spans="7:7">
      <c r="G8766"/>
    </row>
    <row r="8767" spans="7:7">
      <c r="G8767"/>
    </row>
    <row r="8768" spans="7:7">
      <c r="G8768"/>
    </row>
    <row r="8769" spans="7:7">
      <c r="G8769"/>
    </row>
    <row r="8770" spans="7:7">
      <c r="G8770"/>
    </row>
    <row r="8771" spans="7:7">
      <c r="G8771"/>
    </row>
    <row r="8772" spans="7:7">
      <c r="G8772"/>
    </row>
    <row r="8773" spans="7:7">
      <c r="G8773"/>
    </row>
    <row r="8774" spans="7:7">
      <c r="G8774"/>
    </row>
    <row r="8775" spans="7:7">
      <c r="G8775"/>
    </row>
    <row r="8776" spans="7:7">
      <c r="G8776"/>
    </row>
    <row r="8777" spans="7:7">
      <c r="G8777"/>
    </row>
    <row r="8778" spans="7:7">
      <c r="G8778"/>
    </row>
    <row r="8779" spans="7:7">
      <c r="G8779"/>
    </row>
    <row r="8780" spans="7:7">
      <c r="G8780"/>
    </row>
    <row r="8781" spans="7:7">
      <c r="G8781"/>
    </row>
    <row r="8782" spans="7:7">
      <c r="G8782"/>
    </row>
    <row r="8783" spans="7:7">
      <c r="G8783"/>
    </row>
    <row r="8784" spans="7:7">
      <c r="G8784"/>
    </row>
    <row r="8785" spans="7:7">
      <c r="G8785"/>
    </row>
    <row r="8786" spans="7:7">
      <c r="G8786"/>
    </row>
    <row r="8787" spans="7:7">
      <c r="G8787"/>
    </row>
    <row r="8788" spans="7:7">
      <c r="G8788"/>
    </row>
    <row r="8789" spans="7:7">
      <c r="G8789"/>
    </row>
    <row r="8790" spans="7:7">
      <c r="G8790"/>
    </row>
    <row r="8791" spans="7:7">
      <c r="G8791"/>
    </row>
    <row r="8792" spans="7:7">
      <c r="G8792"/>
    </row>
    <row r="8793" spans="7:7">
      <c r="G8793"/>
    </row>
    <row r="8794" spans="7:7">
      <c r="G8794"/>
    </row>
    <row r="8795" spans="7:7">
      <c r="G8795"/>
    </row>
    <row r="8796" spans="7:7">
      <c r="G8796"/>
    </row>
    <row r="8797" spans="7:7">
      <c r="G8797"/>
    </row>
    <row r="8798" spans="7:7">
      <c r="G8798"/>
    </row>
    <row r="8799" spans="7:7">
      <c r="G8799"/>
    </row>
    <row r="8800" spans="7:7">
      <c r="G8800"/>
    </row>
    <row r="8801" spans="7:7">
      <c r="G8801"/>
    </row>
    <row r="8802" spans="7:7">
      <c r="G8802"/>
    </row>
    <row r="8803" spans="7:7">
      <c r="G8803"/>
    </row>
    <row r="8804" spans="7:7">
      <c r="G8804"/>
    </row>
    <row r="8805" spans="7:7">
      <c r="G8805"/>
    </row>
    <row r="8806" spans="7:7">
      <c r="G8806"/>
    </row>
    <row r="8807" spans="7:7">
      <c r="G8807"/>
    </row>
    <row r="8808" spans="7:7">
      <c r="G8808"/>
    </row>
    <row r="8809" spans="7:7">
      <c r="G8809"/>
    </row>
    <row r="8810" spans="7:7">
      <c r="G8810"/>
    </row>
    <row r="8811" spans="7:7">
      <c r="G8811"/>
    </row>
    <row r="8812" spans="7:7">
      <c r="G8812"/>
    </row>
    <row r="8813" spans="7:7">
      <c r="G8813"/>
    </row>
    <row r="8814" spans="7:7">
      <c r="G8814"/>
    </row>
    <row r="8815" spans="7:7">
      <c r="G8815"/>
    </row>
    <row r="8816" spans="7:7">
      <c r="G8816"/>
    </row>
    <row r="8817" spans="7:7">
      <c r="G8817"/>
    </row>
    <row r="8818" spans="7:7">
      <c r="G8818"/>
    </row>
    <row r="8819" spans="7:7">
      <c r="G8819"/>
    </row>
    <row r="8820" spans="7:7">
      <c r="G8820"/>
    </row>
    <row r="8821" spans="7:7">
      <c r="G8821"/>
    </row>
    <row r="8822" spans="7:7">
      <c r="G8822"/>
    </row>
    <row r="8823" spans="7:7">
      <c r="G8823"/>
    </row>
    <row r="8824" spans="7:7">
      <c r="G8824"/>
    </row>
    <row r="8825" spans="7:7">
      <c r="G8825"/>
    </row>
    <row r="8826" spans="7:7">
      <c r="G8826"/>
    </row>
    <row r="8827" spans="7:7">
      <c r="G8827"/>
    </row>
    <row r="8828" spans="7:7">
      <c r="G8828"/>
    </row>
    <row r="8829" spans="7:7">
      <c r="G8829"/>
    </row>
    <row r="8830" spans="7:7">
      <c r="G8830"/>
    </row>
    <row r="8831" spans="7:7">
      <c r="G8831"/>
    </row>
    <row r="8832" spans="7:7">
      <c r="G8832"/>
    </row>
    <row r="8833" spans="7:7">
      <c r="G8833"/>
    </row>
    <row r="8834" spans="7:7">
      <c r="G8834"/>
    </row>
    <row r="8835" spans="7:7">
      <c r="G8835"/>
    </row>
    <row r="8836" spans="7:7">
      <c r="G8836"/>
    </row>
    <row r="8837" spans="7:7">
      <c r="G8837"/>
    </row>
    <row r="8838" spans="7:7">
      <c r="G8838"/>
    </row>
    <row r="8839" spans="7:7">
      <c r="G8839"/>
    </row>
    <row r="8840" spans="7:7">
      <c r="G8840"/>
    </row>
    <row r="8841" spans="7:7">
      <c r="G8841"/>
    </row>
    <row r="8842" spans="7:7">
      <c r="G8842"/>
    </row>
    <row r="8843" spans="7:7">
      <c r="G8843"/>
    </row>
    <row r="8844" spans="7:7">
      <c r="G8844"/>
    </row>
    <row r="8845" spans="7:7">
      <c r="G8845"/>
    </row>
    <row r="8846" spans="7:7">
      <c r="G8846"/>
    </row>
    <row r="8847" spans="7:7">
      <c r="G8847"/>
    </row>
    <row r="8848" spans="7:7">
      <c r="G8848"/>
    </row>
    <row r="8849" spans="7:7">
      <c r="G8849"/>
    </row>
    <row r="8850" spans="7:7">
      <c r="G8850"/>
    </row>
    <row r="8851" spans="7:7">
      <c r="G8851"/>
    </row>
    <row r="8852" spans="7:7">
      <c r="G8852"/>
    </row>
    <row r="8853" spans="7:7">
      <c r="G8853"/>
    </row>
    <row r="8854" spans="7:7">
      <c r="G8854"/>
    </row>
    <row r="8855" spans="7:7">
      <c r="G8855"/>
    </row>
    <row r="8856" spans="7:7">
      <c r="G8856"/>
    </row>
    <row r="8857" spans="7:7">
      <c r="G8857"/>
    </row>
    <row r="8858" spans="7:7">
      <c r="G8858"/>
    </row>
    <row r="8859" spans="7:7">
      <c r="G8859"/>
    </row>
    <row r="8860" spans="7:7">
      <c r="G8860"/>
    </row>
    <row r="8861" spans="7:7">
      <c r="G8861"/>
    </row>
    <row r="8862" spans="7:7">
      <c r="G8862"/>
    </row>
    <row r="8863" spans="7:7">
      <c r="G8863"/>
    </row>
    <row r="8864" spans="7:7">
      <c r="G8864"/>
    </row>
    <row r="8865" spans="7:7">
      <c r="G8865"/>
    </row>
    <row r="8866" spans="7:7">
      <c r="G8866"/>
    </row>
    <row r="8867" spans="7:7">
      <c r="G8867"/>
    </row>
    <row r="8868" spans="7:7">
      <c r="G8868"/>
    </row>
    <row r="8869" spans="7:7">
      <c r="G8869"/>
    </row>
    <row r="8870" spans="7:7">
      <c r="G8870"/>
    </row>
    <row r="8871" spans="7:7">
      <c r="G8871"/>
    </row>
    <row r="8872" spans="7:7">
      <c r="G8872"/>
    </row>
    <row r="8873" spans="7:7">
      <c r="G8873"/>
    </row>
    <row r="8874" spans="7:7">
      <c r="G8874"/>
    </row>
    <row r="8875" spans="7:7">
      <c r="G8875"/>
    </row>
    <row r="8876" spans="7:7">
      <c r="G8876"/>
    </row>
    <row r="8877" spans="7:7">
      <c r="G8877"/>
    </row>
    <row r="8878" spans="7:7">
      <c r="G8878"/>
    </row>
    <row r="8879" spans="7:7">
      <c r="G8879"/>
    </row>
    <row r="8880" spans="7:7">
      <c r="G8880"/>
    </row>
    <row r="8881" spans="7:7">
      <c r="G8881"/>
    </row>
    <row r="8882" spans="7:7">
      <c r="G8882"/>
    </row>
    <row r="8883" spans="7:7">
      <c r="G8883"/>
    </row>
    <row r="8884" spans="7:7">
      <c r="G8884"/>
    </row>
    <row r="8885" spans="7:7">
      <c r="G8885"/>
    </row>
    <row r="8886" spans="7:7">
      <c r="G8886"/>
    </row>
    <row r="8887" spans="7:7">
      <c r="G8887"/>
    </row>
    <row r="8888" spans="7:7">
      <c r="G8888"/>
    </row>
    <row r="8889" spans="7:7">
      <c r="G8889"/>
    </row>
    <row r="8890" spans="7:7">
      <c r="G8890"/>
    </row>
    <row r="8891" spans="7:7">
      <c r="G8891"/>
    </row>
    <row r="8892" spans="7:7">
      <c r="G8892"/>
    </row>
    <row r="8893" spans="7:7">
      <c r="G8893"/>
    </row>
    <row r="8894" spans="7:7">
      <c r="G8894"/>
    </row>
    <row r="8895" spans="7:7">
      <c r="G8895"/>
    </row>
    <row r="8896" spans="7:7">
      <c r="G8896"/>
    </row>
    <row r="8897" spans="7:7">
      <c r="G8897"/>
    </row>
    <row r="8898" spans="7:7">
      <c r="G8898"/>
    </row>
    <row r="8899" spans="7:7">
      <c r="G8899"/>
    </row>
    <row r="8900" spans="7:7">
      <c r="G8900"/>
    </row>
    <row r="8901" spans="7:7">
      <c r="G8901"/>
    </row>
    <row r="8902" spans="7:7">
      <c r="G8902"/>
    </row>
    <row r="8903" spans="7:7">
      <c r="G8903"/>
    </row>
    <row r="8904" spans="7:7">
      <c r="G8904"/>
    </row>
    <row r="8905" spans="7:7">
      <c r="G8905"/>
    </row>
    <row r="8906" spans="7:7">
      <c r="G8906"/>
    </row>
    <row r="8907" spans="7:7">
      <c r="G8907"/>
    </row>
    <row r="8908" spans="7:7">
      <c r="G8908"/>
    </row>
    <row r="8909" spans="7:7">
      <c r="G8909"/>
    </row>
    <row r="8910" spans="7:7">
      <c r="G8910"/>
    </row>
    <row r="8911" spans="7:7">
      <c r="G8911"/>
    </row>
    <row r="8912" spans="7:7">
      <c r="G8912"/>
    </row>
    <row r="8913" spans="7:7">
      <c r="G8913"/>
    </row>
    <row r="8914" spans="7:7">
      <c r="G8914"/>
    </row>
    <row r="8915" spans="7:7">
      <c r="G8915"/>
    </row>
    <row r="8916" spans="7:7">
      <c r="G8916"/>
    </row>
    <row r="8917" spans="7:7">
      <c r="G8917"/>
    </row>
    <row r="8918" spans="7:7">
      <c r="G8918"/>
    </row>
    <row r="8919" spans="7:7">
      <c r="G8919"/>
    </row>
    <row r="8920" spans="7:7">
      <c r="G8920"/>
    </row>
    <row r="8921" spans="7:7">
      <c r="G8921"/>
    </row>
    <row r="8922" spans="7:7">
      <c r="G8922"/>
    </row>
    <row r="8923" spans="7:7">
      <c r="G8923"/>
    </row>
    <row r="8924" spans="7:7">
      <c r="G8924"/>
    </row>
    <row r="8925" spans="7:7">
      <c r="G8925"/>
    </row>
    <row r="8926" spans="7:7">
      <c r="G8926"/>
    </row>
    <row r="8927" spans="7:7">
      <c r="G8927"/>
    </row>
    <row r="8928" spans="7:7">
      <c r="G8928"/>
    </row>
    <row r="8929" spans="7:7">
      <c r="G8929"/>
    </row>
    <row r="8930" spans="7:7">
      <c r="G8930"/>
    </row>
    <row r="8931" spans="7:7">
      <c r="G8931"/>
    </row>
    <row r="8932" spans="7:7">
      <c r="G8932"/>
    </row>
    <row r="8933" spans="7:7">
      <c r="G8933"/>
    </row>
    <row r="8934" spans="7:7">
      <c r="G8934"/>
    </row>
    <row r="8935" spans="7:7">
      <c r="G8935"/>
    </row>
    <row r="8936" spans="7:7">
      <c r="G8936"/>
    </row>
    <row r="8937" spans="7:7">
      <c r="G8937"/>
    </row>
    <row r="8938" spans="7:7">
      <c r="G8938"/>
    </row>
    <row r="8939" spans="7:7">
      <c r="G8939"/>
    </row>
    <row r="8940" spans="7:7">
      <c r="G8940"/>
    </row>
    <row r="8941" spans="7:7">
      <c r="G8941"/>
    </row>
    <row r="8942" spans="7:7">
      <c r="G8942"/>
    </row>
    <row r="8943" spans="7:7">
      <c r="G8943"/>
    </row>
    <row r="8944" spans="7:7">
      <c r="G8944"/>
    </row>
    <row r="8945" spans="7:7">
      <c r="G8945"/>
    </row>
    <row r="8946" spans="7:7">
      <c r="G8946"/>
    </row>
    <row r="8947" spans="7:7">
      <c r="G8947"/>
    </row>
    <row r="8948" spans="7:7">
      <c r="G8948"/>
    </row>
    <row r="8949" spans="7:7">
      <c r="G8949"/>
    </row>
    <row r="8950" spans="7:7">
      <c r="G8950"/>
    </row>
    <row r="8951" spans="7:7">
      <c r="G8951"/>
    </row>
    <row r="8952" spans="7:7">
      <c r="G8952"/>
    </row>
    <row r="8953" spans="7:7">
      <c r="G8953"/>
    </row>
    <row r="8954" spans="7:7">
      <c r="G8954"/>
    </row>
    <row r="8955" spans="7:7">
      <c r="G8955"/>
    </row>
    <row r="8956" spans="7:7">
      <c r="G8956"/>
    </row>
    <row r="8957" spans="7:7">
      <c r="G8957"/>
    </row>
    <row r="8958" spans="7:7">
      <c r="G8958"/>
    </row>
    <row r="8959" spans="7:7">
      <c r="G8959"/>
    </row>
    <row r="8960" spans="7:7">
      <c r="G8960"/>
    </row>
    <row r="8961" spans="7:7">
      <c r="G8961"/>
    </row>
    <row r="8962" spans="7:7">
      <c r="G8962"/>
    </row>
    <row r="8963" spans="7:7">
      <c r="G8963"/>
    </row>
    <row r="8964" spans="7:7">
      <c r="G8964"/>
    </row>
    <row r="8965" spans="7:7">
      <c r="G8965"/>
    </row>
    <row r="8966" spans="7:7">
      <c r="G8966"/>
    </row>
    <row r="8967" spans="7:7">
      <c r="G8967"/>
    </row>
    <row r="8968" spans="7:7">
      <c r="G8968"/>
    </row>
    <row r="8969" spans="7:7">
      <c r="G8969"/>
    </row>
    <row r="8970" spans="7:7">
      <c r="G8970"/>
    </row>
    <row r="8971" spans="7:7">
      <c r="G8971"/>
    </row>
    <row r="8972" spans="7:7">
      <c r="G8972"/>
    </row>
    <row r="8973" spans="7:7">
      <c r="G8973"/>
    </row>
    <row r="8974" spans="7:7">
      <c r="G8974"/>
    </row>
    <row r="8975" spans="7:7">
      <c r="G8975"/>
    </row>
    <row r="8976" spans="7:7">
      <c r="G8976"/>
    </row>
    <row r="8977" spans="7:7">
      <c r="G8977"/>
    </row>
    <row r="8978" spans="7:7">
      <c r="G8978"/>
    </row>
    <row r="8979" spans="7:7">
      <c r="G8979"/>
    </row>
    <row r="8980" spans="7:7">
      <c r="G8980"/>
    </row>
    <row r="8981" spans="7:7">
      <c r="G8981"/>
    </row>
    <row r="8982" spans="7:7">
      <c r="G8982"/>
    </row>
    <row r="8983" spans="7:7">
      <c r="G8983"/>
    </row>
    <row r="8984" spans="7:7">
      <c r="G8984"/>
    </row>
    <row r="8985" spans="7:7">
      <c r="G8985"/>
    </row>
    <row r="8986" spans="7:7">
      <c r="G8986"/>
    </row>
    <row r="8987" spans="7:7">
      <c r="G8987"/>
    </row>
    <row r="8988" spans="7:7">
      <c r="G8988"/>
    </row>
    <row r="8989" spans="7:7">
      <c r="G8989"/>
    </row>
    <row r="8990" spans="7:7">
      <c r="G8990"/>
    </row>
    <row r="8991" spans="7:7">
      <c r="G8991"/>
    </row>
    <row r="8992" spans="7:7">
      <c r="G8992"/>
    </row>
    <row r="8993" spans="7:7">
      <c r="G8993"/>
    </row>
    <row r="8994" spans="7:7">
      <c r="G8994"/>
    </row>
    <row r="8995" spans="7:7">
      <c r="G8995"/>
    </row>
    <row r="8996" spans="7:7">
      <c r="G8996"/>
    </row>
    <row r="8997" spans="7:7">
      <c r="G8997"/>
    </row>
    <row r="8998" spans="7:7">
      <c r="G8998"/>
    </row>
    <row r="8999" spans="7:7">
      <c r="G8999"/>
    </row>
    <row r="9000" spans="7:7">
      <c r="G9000"/>
    </row>
    <row r="9001" spans="7:7">
      <c r="G9001"/>
    </row>
    <row r="9002" spans="7:7">
      <c r="G9002"/>
    </row>
    <row r="9003" spans="7:7">
      <c r="G9003"/>
    </row>
    <row r="9004" spans="7:7">
      <c r="G9004"/>
    </row>
    <row r="9005" spans="7:7">
      <c r="G9005"/>
    </row>
    <row r="9006" spans="7:7">
      <c r="G9006"/>
    </row>
    <row r="9007" spans="7:7">
      <c r="G9007"/>
    </row>
    <row r="9008" spans="7:7">
      <c r="G9008"/>
    </row>
    <row r="9009" spans="7:7">
      <c r="G9009"/>
    </row>
    <row r="9010" spans="7:7">
      <c r="G9010"/>
    </row>
    <row r="9011" spans="7:7">
      <c r="G9011"/>
    </row>
    <row r="9012" spans="7:7">
      <c r="G9012"/>
    </row>
    <row r="9013" spans="7:7">
      <c r="G9013"/>
    </row>
    <row r="9014" spans="7:7">
      <c r="G9014"/>
    </row>
    <row r="9015" spans="7:7">
      <c r="G9015"/>
    </row>
    <row r="9016" spans="7:7">
      <c r="G9016"/>
    </row>
    <row r="9017" spans="7:7">
      <c r="G9017"/>
    </row>
    <row r="9018" spans="7:7">
      <c r="G9018"/>
    </row>
    <row r="9019" spans="7:7">
      <c r="G9019"/>
    </row>
    <row r="9020" spans="7:7">
      <c r="G9020"/>
    </row>
    <row r="9021" spans="7:7">
      <c r="G9021"/>
    </row>
    <row r="9022" spans="7:7">
      <c r="G9022"/>
    </row>
    <row r="9023" spans="7:7">
      <c r="G9023"/>
    </row>
    <row r="9024" spans="7:7">
      <c r="G9024"/>
    </row>
    <row r="9025" spans="7:7">
      <c r="G9025"/>
    </row>
    <row r="9026" spans="7:7">
      <c r="G9026"/>
    </row>
    <row r="9027" spans="7:7">
      <c r="G9027"/>
    </row>
    <row r="9028" spans="7:7">
      <c r="G9028"/>
    </row>
    <row r="9029" spans="7:7">
      <c r="G9029"/>
    </row>
    <row r="9030" spans="7:7">
      <c r="G9030"/>
    </row>
    <row r="9031" spans="7:7">
      <c r="G9031"/>
    </row>
    <row r="9032" spans="7:7">
      <c r="G9032"/>
    </row>
    <row r="9033" spans="7:7">
      <c r="G9033"/>
    </row>
    <row r="9034" spans="7:7">
      <c r="G9034"/>
    </row>
    <row r="9035" spans="7:7">
      <c r="G9035"/>
    </row>
    <row r="9036" spans="7:7">
      <c r="G9036"/>
    </row>
    <row r="9037" spans="7:7">
      <c r="G9037"/>
    </row>
    <row r="9038" spans="7:7">
      <c r="G9038"/>
    </row>
    <row r="9039" spans="7:7">
      <c r="G9039"/>
    </row>
    <row r="9040" spans="7:7">
      <c r="G9040"/>
    </row>
    <row r="9041" spans="7:7">
      <c r="G9041"/>
    </row>
    <row r="9042" spans="7:7">
      <c r="G9042"/>
    </row>
    <row r="9043" spans="7:7">
      <c r="G9043"/>
    </row>
    <row r="9044" spans="7:7">
      <c r="G9044"/>
    </row>
    <row r="9045" spans="7:7">
      <c r="G9045"/>
    </row>
    <row r="9046" spans="7:7">
      <c r="G9046"/>
    </row>
    <row r="9047" spans="7:7">
      <c r="G9047"/>
    </row>
    <row r="9048" spans="7:7">
      <c r="G9048"/>
    </row>
    <row r="9049" spans="7:7">
      <c r="G9049"/>
    </row>
    <row r="9050" spans="7:7">
      <c r="G9050"/>
    </row>
    <row r="9051" spans="7:7">
      <c r="G9051"/>
    </row>
    <row r="9052" spans="7:7">
      <c r="G9052"/>
    </row>
    <row r="9053" spans="7:7">
      <c r="G9053"/>
    </row>
    <row r="9054" spans="7:7">
      <c r="G9054"/>
    </row>
    <row r="9055" spans="7:7">
      <c r="G9055"/>
    </row>
    <row r="9056" spans="7:7">
      <c r="G9056"/>
    </row>
    <row r="9057" spans="7:7">
      <c r="G9057"/>
    </row>
    <row r="9058" spans="7:7">
      <c r="G9058"/>
    </row>
    <row r="9059" spans="7:7">
      <c r="G9059"/>
    </row>
    <row r="9060" spans="7:7">
      <c r="G9060"/>
    </row>
    <row r="9061" spans="7:7">
      <c r="G9061"/>
    </row>
    <row r="9062" spans="7:7">
      <c r="G9062"/>
    </row>
    <row r="9063" spans="7:7">
      <c r="G9063"/>
    </row>
    <row r="9064" spans="7:7">
      <c r="G9064"/>
    </row>
    <row r="9065" spans="7:7">
      <c r="G9065"/>
    </row>
    <row r="9066" spans="7:7">
      <c r="G9066"/>
    </row>
    <row r="9067" spans="7:7">
      <c r="G9067"/>
    </row>
    <row r="9068" spans="7:7">
      <c r="G9068"/>
    </row>
    <row r="9069" spans="7:7">
      <c r="G9069"/>
    </row>
    <row r="9070" spans="7:7">
      <c r="G9070"/>
    </row>
    <row r="9071" spans="7:7">
      <c r="G9071"/>
    </row>
    <row r="9072" spans="7:7">
      <c r="G9072"/>
    </row>
    <row r="9073" spans="7:7">
      <c r="G9073"/>
    </row>
    <row r="9074" spans="7:7">
      <c r="G9074"/>
    </row>
    <row r="9075" spans="7:7">
      <c r="G9075"/>
    </row>
    <row r="9076" spans="7:7">
      <c r="G9076"/>
    </row>
    <row r="9077" spans="7:7">
      <c r="G9077"/>
    </row>
    <row r="9078" spans="7:7">
      <c r="G9078"/>
    </row>
    <row r="9079" spans="7:7">
      <c r="G9079"/>
    </row>
    <row r="9080" spans="7:7">
      <c r="G9080"/>
    </row>
    <row r="9081" spans="7:7">
      <c r="G9081"/>
    </row>
    <row r="9082" spans="7:7">
      <c r="G9082"/>
    </row>
    <row r="9083" spans="7:7">
      <c r="G9083"/>
    </row>
    <row r="9084" spans="7:7">
      <c r="G9084"/>
    </row>
    <row r="9085" spans="7:7">
      <c r="G9085"/>
    </row>
    <row r="9086" spans="7:7">
      <c r="G9086"/>
    </row>
    <row r="9087" spans="7:7">
      <c r="G9087"/>
    </row>
    <row r="9088" spans="7:7">
      <c r="G9088"/>
    </row>
    <row r="9089" spans="7:7">
      <c r="G9089"/>
    </row>
    <row r="9090" spans="7:7">
      <c r="G9090"/>
    </row>
    <row r="9091" spans="7:7">
      <c r="G9091"/>
    </row>
    <row r="9092" spans="7:7">
      <c r="G9092"/>
    </row>
    <row r="9093" spans="7:7">
      <c r="G9093"/>
    </row>
    <row r="9094" spans="7:7">
      <c r="G9094"/>
    </row>
    <row r="9095" spans="7:7">
      <c r="G9095"/>
    </row>
    <row r="9096" spans="7:7">
      <c r="G9096"/>
    </row>
    <row r="9097" spans="7:7">
      <c r="G9097"/>
    </row>
    <row r="9098" spans="7:7">
      <c r="G9098"/>
    </row>
    <row r="9099" spans="7:7">
      <c r="G9099"/>
    </row>
    <row r="9100" spans="7:7">
      <c r="G9100"/>
    </row>
    <row r="9101" spans="7:7">
      <c r="G9101"/>
    </row>
    <row r="9102" spans="7:7">
      <c r="G9102"/>
    </row>
    <row r="9103" spans="7:7">
      <c r="G9103"/>
    </row>
    <row r="9104" spans="7:7">
      <c r="G9104"/>
    </row>
    <row r="9105" spans="7:7">
      <c r="G9105"/>
    </row>
    <row r="9106" spans="7:7">
      <c r="G9106"/>
    </row>
    <row r="9107" spans="7:7">
      <c r="G9107"/>
    </row>
    <row r="9108" spans="7:7">
      <c r="G9108"/>
    </row>
    <row r="9109" spans="7:7">
      <c r="G9109"/>
    </row>
    <row r="9110" spans="7:7">
      <c r="G9110"/>
    </row>
    <row r="9111" spans="7:7">
      <c r="G9111"/>
    </row>
    <row r="9112" spans="7:7">
      <c r="G9112"/>
    </row>
    <row r="9113" spans="7:7">
      <c r="G9113"/>
    </row>
    <row r="9114" spans="7:7">
      <c r="G9114"/>
    </row>
    <row r="9115" spans="7:7">
      <c r="G9115"/>
    </row>
    <row r="9116" spans="7:7">
      <c r="G9116"/>
    </row>
    <row r="9117" spans="7:7">
      <c r="G9117"/>
    </row>
    <row r="9118" spans="7:7">
      <c r="G9118"/>
    </row>
    <row r="9119" spans="7:7">
      <c r="G9119"/>
    </row>
    <row r="9120" spans="7:7">
      <c r="G9120"/>
    </row>
    <row r="9121" spans="7:7">
      <c r="G9121"/>
    </row>
    <row r="9122" spans="7:7">
      <c r="G9122"/>
    </row>
    <row r="9123" spans="7:7">
      <c r="G9123"/>
    </row>
    <row r="9124" spans="7:7">
      <c r="G9124"/>
    </row>
    <row r="9125" spans="7:7">
      <c r="G9125"/>
    </row>
    <row r="9126" spans="7:7">
      <c r="G9126"/>
    </row>
    <row r="9127" spans="7:7">
      <c r="G9127"/>
    </row>
    <row r="9128" spans="7:7">
      <c r="G9128"/>
    </row>
    <row r="9129" spans="7:7">
      <c r="G9129"/>
    </row>
    <row r="9130" spans="7:7">
      <c r="G9130"/>
    </row>
    <row r="9131" spans="7:7">
      <c r="G9131"/>
    </row>
    <row r="9132" spans="7:7">
      <c r="G9132"/>
    </row>
    <row r="9133" spans="7:7">
      <c r="G9133"/>
    </row>
    <row r="9134" spans="7:7">
      <c r="G9134"/>
    </row>
    <row r="9135" spans="7:7">
      <c r="G9135"/>
    </row>
    <row r="9136" spans="7:7">
      <c r="G9136"/>
    </row>
    <row r="9137" spans="7:7">
      <c r="G9137"/>
    </row>
    <row r="9138" spans="7:7">
      <c r="G9138"/>
    </row>
    <row r="9139" spans="7:7">
      <c r="G9139"/>
    </row>
    <row r="9140" spans="7:7">
      <c r="G9140"/>
    </row>
    <row r="9141" spans="7:7">
      <c r="G9141"/>
    </row>
    <row r="9142" spans="7:7">
      <c r="G9142"/>
    </row>
    <row r="9143" spans="7:7">
      <c r="G9143"/>
    </row>
    <row r="9144" spans="7:7">
      <c r="G9144"/>
    </row>
    <row r="9145" spans="7:7">
      <c r="G9145"/>
    </row>
    <row r="9146" spans="7:7">
      <c r="G9146"/>
    </row>
    <row r="9147" spans="7:7">
      <c r="G9147"/>
    </row>
    <row r="9148" spans="7:7">
      <c r="G9148"/>
    </row>
    <row r="9149" spans="7:7">
      <c r="G9149"/>
    </row>
    <row r="9150" spans="7:7">
      <c r="G9150"/>
    </row>
    <row r="9151" spans="7:7">
      <c r="G9151"/>
    </row>
    <row r="9152" spans="7:7">
      <c r="G9152"/>
    </row>
    <row r="9153" spans="7:7">
      <c r="G9153"/>
    </row>
    <row r="9154" spans="7:7">
      <c r="G9154"/>
    </row>
    <row r="9155" spans="7:7">
      <c r="G9155"/>
    </row>
    <row r="9156" spans="7:7">
      <c r="G9156"/>
    </row>
    <row r="9157" spans="7:7">
      <c r="G9157"/>
    </row>
    <row r="9158" spans="7:7">
      <c r="G9158"/>
    </row>
    <row r="9159" spans="7:7">
      <c r="G9159"/>
    </row>
    <row r="9160" spans="7:7">
      <c r="G9160"/>
    </row>
    <row r="9161" spans="7:7">
      <c r="G9161"/>
    </row>
    <row r="9162" spans="7:7">
      <c r="G9162"/>
    </row>
    <row r="9163" spans="7:7">
      <c r="G9163"/>
    </row>
    <row r="9164" spans="7:7">
      <c r="G9164"/>
    </row>
    <row r="9165" spans="7:7">
      <c r="G9165"/>
    </row>
    <row r="9166" spans="7:7">
      <c r="G9166"/>
    </row>
    <row r="9167" spans="7:7">
      <c r="G9167"/>
    </row>
    <row r="9168" spans="7:7">
      <c r="G9168"/>
    </row>
    <row r="9169" spans="7:7">
      <c r="G9169"/>
    </row>
    <row r="9170" spans="7:7">
      <c r="G9170"/>
    </row>
    <row r="9171" spans="7:7">
      <c r="G9171"/>
    </row>
    <row r="9172" spans="7:7">
      <c r="G9172"/>
    </row>
    <row r="9173" spans="7:7">
      <c r="G9173"/>
    </row>
    <row r="9174" spans="7:7">
      <c r="G9174"/>
    </row>
    <row r="9175" spans="7:7">
      <c r="G9175"/>
    </row>
    <row r="9176" spans="7:7">
      <c r="G9176"/>
    </row>
    <row r="9177" spans="7:7">
      <c r="G9177"/>
    </row>
    <row r="9178" spans="7:7">
      <c r="G9178"/>
    </row>
    <row r="9179" spans="7:7">
      <c r="G9179"/>
    </row>
    <row r="9180" spans="7:7">
      <c r="G9180"/>
    </row>
    <row r="9181" spans="7:7">
      <c r="G9181"/>
    </row>
    <row r="9182" spans="7:7">
      <c r="G9182"/>
    </row>
    <row r="9183" spans="7:7">
      <c r="G9183"/>
    </row>
    <row r="9184" spans="7:7">
      <c r="G9184"/>
    </row>
    <row r="9185" spans="7:7">
      <c r="G9185"/>
    </row>
    <row r="9186" spans="7:7">
      <c r="G9186"/>
    </row>
    <row r="9187" spans="7:7">
      <c r="G9187"/>
    </row>
    <row r="9188" spans="7:7">
      <c r="G9188"/>
    </row>
    <row r="9189" spans="7:7">
      <c r="G9189"/>
    </row>
    <row r="9190" spans="7:7">
      <c r="G9190"/>
    </row>
    <row r="9191" spans="7:7">
      <c r="G9191"/>
    </row>
    <row r="9192" spans="7:7">
      <c r="G9192"/>
    </row>
    <row r="9193" spans="7:7">
      <c r="G9193"/>
    </row>
    <row r="9194" spans="7:7">
      <c r="G9194"/>
    </row>
    <row r="9195" spans="7:7">
      <c r="G9195"/>
    </row>
    <row r="9196" spans="7:7">
      <c r="G9196"/>
    </row>
    <row r="9197" spans="7:7">
      <c r="G9197"/>
    </row>
    <row r="9198" spans="7:7">
      <c r="G9198"/>
    </row>
    <row r="9199" spans="7:7">
      <c r="G9199"/>
    </row>
    <row r="9200" spans="7:7">
      <c r="G9200"/>
    </row>
    <row r="9201" spans="7:7">
      <c r="G9201"/>
    </row>
    <row r="9202" spans="7:7">
      <c r="G9202"/>
    </row>
    <row r="9203" spans="7:7">
      <c r="G9203"/>
    </row>
    <row r="9204" spans="7:7">
      <c r="G9204"/>
    </row>
    <row r="9205" spans="7:7">
      <c r="G9205"/>
    </row>
    <row r="9206" spans="7:7">
      <c r="G9206"/>
    </row>
    <row r="9207" spans="7:7">
      <c r="G9207"/>
    </row>
    <row r="9208" spans="7:7">
      <c r="G9208"/>
    </row>
    <row r="9209" spans="7:7">
      <c r="G9209"/>
    </row>
    <row r="9210" spans="7:7">
      <c r="G9210"/>
    </row>
    <row r="9211" spans="7:7">
      <c r="G9211"/>
    </row>
    <row r="9212" spans="7:7">
      <c r="G9212"/>
    </row>
    <row r="9213" spans="7:7">
      <c r="G9213"/>
    </row>
    <row r="9214" spans="7:7">
      <c r="G9214"/>
    </row>
    <row r="9215" spans="7:7">
      <c r="G9215"/>
    </row>
    <row r="9216" spans="7:7">
      <c r="G9216"/>
    </row>
    <row r="9217" spans="7:7">
      <c r="G9217"/>
    </row>
    <row r="9218" spans="7:7">
      <c r="G9218"/>
    </row>
    <row r="9219" spans="7:7">
      <c r="G9219"/>
    </row>
    <row r="9220" spans="7:7">
      <c r="G9220"/>
    </row>
    <row r="9221" spans="7:7">
      <c r="G9221"/>
    </row>
    <row r="9222" spans="7:7">
      <c r="G9222"/>
    </row>
    <row r="9223" spans="7:7">
      <c r="G9223"/>
    </row>
    <row r="9224" spans="7:7">
      <c r="G9224"/>
    </row>
    <row r="9225" spans="7:7">
      <c r="G9225"/>
    </row>
    <row r="9226" spans="7:7">
      <c r="G9226"/>
    </row>
    <row r="9227" spans="7:7">
      <c r="G9227"/>
    </row>
    <row r="9228" spans="7:7">
      <c r="G9228"/>
    </row>
    <row r="9229" spans="7:7">
      <c r="G9229"/>
    </row>
    <row r="9230" spans="7:7">
      <c r="G9230"/>
    </row>
    <row r="9231" spans="7:7">
      <c r="G9231"/>
    </row>
    <row r="9232" spans="7:7">
      <c r="G9232"/>
    </row>
    <row r="9233" spans="7:7">
      <c r="G9233"/>
    </row>
    <row r="9234" spans="7:7">
      <c r="G9234"/>
    </row>
    <row r="9235" spans="7:7">
      <c r="G9235"/>
    </row>
    <row r="9236" spans="7:7">
      <c r="G9236"/>
    </row>
    <row r="9237" spans="7:7">
      <c r="G9237"/>
    </row>
    <row r="9238" spans="7:7">
      <c r="G9238"/>
    </row>
    <row r="9239" spans="7:7">
      <c r="G9239"/>
    </row>
    <row r="9240" spans="7:7">
      <c r="G9240"/>
    </row>
    <row r="9241" spans="7:7">
      <c r="G9241"/>
    </row>
    <row r="9242" spans="7:7">
      <c r="G9242"/>
    </row>
    <row r="9243" spans="7:7">
      <c r="G9243"/>
    </row>
    <row r="9244" spans="7:7">
      <c r="G9244"/>
    </row>
    <row r="9245" spans="7:7">
      <c r="G9245"/>
    </row>
    <row r="9246" spans="7:7">
      <c r="G9246"/>
    </row>
    <row r="9247" spans="7:7">
      <c r="G9247"/>
    </row>
    <row r="9248" spans="7:7">
      <c r="G9248"/>
    </row>
    <row r="9249" spans="7:7">
      <c r="G9249"/>
    </row>
    <row r="9250" spans="7:7">
      <c r="G9250"/>
    </row>
    <row r="9251" spans="7:7">
      <c r="G9251"/>
    </row>
    <row r="9252" spans="7:7">
      <c r="G9252"/>
    </row>
    <row r="9253" spans="7:7">
      <c r="G9253"/>
    </row>
    <row r="9254" spans="7:7">
      <c r="G9254"/>
    </row>
    <row r="9255" spans="7:7">
      <c r="G9255"/>
    </row>
    <row r="9256" spans="7:7">
      <c r="G9256"/>
    </row>
    <row r="9257" spans="7:7">
      <c r="G9257"/>
    </row>
    <row r="9258" spans="7:7">
      <c r="G9258"/>
    </row>
    <row r="9259" spans="7:7">
      <c r="G9259"/>
    </row>
    <row r="9260" spans="7:7">
      <c r="G9260"/>
    </row>
    <row r="9261" spans="7:7">
      <c r="G9261"/>
    </row>
    <row r="9262" spans="7:7">
      <c r="G9262"/>
    </row>
    <row r="9263" spans="7:7">
      <c r="G9263"/>
    </row>
    <row r="9264" spans="7:7">
      <c r="G9264"/>
    </row>
    <row r="9265" spans="7:7">
      <c r="G9265"/>
    </row>
    <row r="9266" spans="7:7">
      <c r="G9266"/>
    </row>
    <row r="9267" spans="7:7">
      <c r="G9267"/>
    </row>
    <row r="9268" spans="7:7">
      <c r="G9268"/>
    </row>
    <row r="9269" spans="7:7">
      <c r="G9269"/>
    </row>
    <row r="9270" spans="7:7">
      <c r="G9270"/>
    </row>
    <row r="9271" spans="7:7">
      <c r="G9271"/>
    </row>
    <row r="9272" spans="7:7">
      <c r="G9272"/>
    </row>
    <row r="9273" spans="7:7">
      <c r="G9273"/>
    </row>
    <row r="9274" spans="7:7">
      <c r="G9274"/>
    </row>
    <row r="9275" spans="7:7">
      <c r="G9275"/>
    </row>
    <row r="9276" spans="7:7">
      <c r="G9276"/>
    </row>
    <row r="9277" spans="7:7">
      <c r="G9277"/>
    </row>
    <row r="9278" spans="7:7">
      <c r="G9278"/>
    </row>
    <row r="9279" spans="7:7">
      <c r="G9279"/>
    </row>
    <row r="9280" spans="7:7">
      <c r="G9280"/>
    </row>
    <row r="9281" spans="7:7">
      <c r="G9281"/>
    </row>
    <row r="9282" spans="7:7">
      <c r="G9282"/>
    </row>
    <row r="9283" spans="7:7">
      <c r="G9283"/>
    </row>
    <row r="9284" spans="7:7">
      <c r="G9284"/>
    </row>
    <row r="9285" spans="7:7">
      <c r="G9285"/>
    </row>
    <row r="9286" spans="7:7">
      <c r="G9286"/>
    </row>
    <row r="9287" spans="7:7">
      <c r="G9287"/>
    </row>
    <row r="9288" spans="7:7">
      <c r="G9288"/>
    </row>
    <row r="9289" spans="7:7">
      <c r="G9289"/>
    </row>
    <row r="9290" spans="7:7">
      <c r="G9290"/>
    </row>
    <row r="9291" spans="7:7">
      <c r="G9291"/>
    </row>
    <row r="9292" spans="7:7">
      <c r="G9292"/>
    </row>
    <row r="9293" spans="7:7">
      <c r="G9293"/>
    </row>
    <row r="9294" spans="7:7">
      <c r="G9294"/>
    </row>
    <row r="9295" spans="7:7">
      <c r="G9295"/>
    </row>
    <row r="9296" spans="7:7">
      <c r="G9296"/>
    </row>
    <row r="9297" spans="7:7">
      <c r="G9297"/>
    </row>
    <row r="9298" spans="7:7">
      <c r="G9298"/>
    </row>
    <row r="9299" spans="7:7">
      <c r="G9299"/>
    </row>
    <row r="9300" spans="7:7">
      <c r="G9300"/>
    </row>
    <row r="9301" spans="7:7">
      <c r="G9301"/>
    </row>
    <row r="9302" spans="7:7">
      <c r="G9302"/>
    </row>
    <row r="9303" spans="7:7">
      <c r="G9303"/>
    </row>
    <row r="9304" spans="7:7">
      <c r="G9304"/>
    </row>
    <row r="9305" spans="7:7">
      <c r="G9305"/>
    </row>
    <row r="9306" spans="7:7">
      <c r="G9306"/>
    </row>
    <row r="9307" spans="7:7">
      <c r="G9307"/>
    </row>
    <row r="9308" spans="7:7">
      <c r="G9308"/>
    </row>
    <row r="9309" spans="7:7">
      <c r="G9309"/>
    </row>
    <row r="9310" spans="7:7">
      <c r="G9310"/>
    </row>
    <row r="9311" spans="7:7">
      <c r="G9311"/>
    </row>
    <row r="9312" spans="7:7">
      <c r="G9312"/>
    </row>
    <row r="9313" spans="7:7">
      <c r="G9313"/>
    </row>
    <row r="9314" spans="7:7">
      <c r="G9314"/>
    </row>
    <row r="9315" spans="7:7">
      <c r="G9315"/>
    </row>
    <row r="9316" spans="7:7">
      <c r="G9316"/>
    </row>
    <row r="9317" spans="7:7">
      <c r="G9317"/>
    </row>
    <row r="9318" spans="7:7">
      <c r="G9318"/>
    </row>
    <row r="9319" spans="7:7">
      <c r="G9319"/>
    </row>
    <row r="9320" spans="7:7">
      <c r="G9320"/>
    </row>
    <row r="9321" spans="7:7">
      <c r="G9321"/>
    </row>
    <row r="9322" spans="7:7">
      <c r="G9322"/>
    </row>
    <row r="9323" spans="7:7">
      <c r="G9323"/>
    </row>
    <row r="9324" spans="7:7">
      <c r="G9324"/>
    </row>
    <row r="9325" spans="7:7">
      <c r="G9325"/>
    </row>
    <row r="9326" spans="7:7">
      <c r="G9326"/>
    </row>
    <row r="9327" spans="7:7">
      <c r="G9327"/>
    </row>
    <row r="9328" spans="7:7">
      <c r="G9328"/>
    </row>
    <row r="9329" spans="7:7">
      <c r="G9329"/>
    </row>
    <row r="9330" spans="7:7">
      <c r="G9330"/>
    </row>
    <row r="9331" spans="7:7">
      <c r="G9331"/>
    </row>
    <row r="9332" spans="7:7">
      <c r="G9332"/>
    </row>
    <row r="9333" spans="7:7">
      <c r="G9333"/>
    </row>
    <row r="9334" spans="7:7">
      <c r="G9334"/>
    </row>
    <row r="9335" spans="7:7">
      <c r="G9335"/>
    </row>
    <row r="9336" spans="7:7">
      <c r="G9336"/>
    </row>
    <row r="9337" spans="7:7">
      <c r="G9337"/>
    </row>
    <row r="9338" spans="7:7">
      <c r="G9338"/>
    </row>
    <row r="9339" spans="7:7">
      <c r="G9339"/>
    </row>
    <row r="9340" spans="7:7">
      <c r="G9340"/>
    </row>
    <row r="9341" spans="7:7">
      <c r="G9341"/>
    </row>
    <row r="9342" spans="7:7">
      <c r="G9342"/>
    </row>
    <row r="9343" spans="7:7">
      <c r="G9343"/>
    </row>
    <row r="9344" spans="7:7">
      <c r="G9344"/>
    </row>
    <row r="9345" spans="7:7">
      <c r="G9345"/>
    </row>
    <row r="9346" spans="7:7">
      <c r="G9346"/>
    </row>
    <row r="9347" spans="7:7">
      <c r="G9347"/>
    </row>
    <row r="9348" spans="7:7">
      <c r="G9348"/>
    </row>
    <row r="9349" spans="7:7">
      <c r="G9349"/>
    </row>
    <row r="9350" spans="7:7">
      <c r="G9350"/>
    </row>
    <row r="9351" spans="7:7">
      <c r="G9351"/>
    </row>
    <row r="9352" spans="7:7">
      <c r="G9352"/>
    </row>
    <row r="9353" spans="7:7">
      <c r="G9353"/>
    </row>
    <row r="9354" spans="7:7">
      <c r="G9354"/>
    </row>
    <row r="9355" spans="7:7">
      <c r="G9355"/>
    </row>
    <row r="9356" spans="7:7">
      <c r="G9356"/>
    </row>
    <row r="9357" spans="7:7">
      <c r="G9357"/>
    </row>
    <row r="9358" spans="7:7">
      <c r="G9358"/>
    </row>
    <row r="9359" spans="7:7">
      <c r="G9359"/>
    </row>
    <row r="9360" spans="7:7">
      <c r="G9360"/>
    </row>
    <row r="9361" spans="7:7">
      <c r="G9361"/>
    </row>
    <row r="9362" spans="7:7">
      <c r="G9362"/>
    </row>
    <row r="9363" spans="7:7">
      <c r="G9363"/>
    </row>
    <row r="9364" spans="7:7">
      <c r="G9364"/>
    </row>
    <row r="9365" spans="7:7">
      <c r="G9365"/>
    </row>
    <row r="9366" spans="7:7">
      <c r="G9366"/>
    </row>
    <row r="9367" spans="7:7">
      <c r="G9367"/>
    </row>
    <row r="9368" spans="7:7">
      <c r="G9368"/>
    </row>
    <row r="9369" spans="7:7">
      <c r="G9369"/>
    </row>
    <row r="9370" spans="7:7">
      <c r="G9370"/>
    </row>
    <row r="9371" spans="7:7">
      <c r="G9371"/>
    </row>
    <row r="9372" spans="7:7">
      <c r="G9372"/>
    </row>
    <row r="9373" spans="7:7">
      <c r="G9373"/>
    </row>
    <row r="9374" spans="7:7">
      <c r="G9374"/>
    </row>
    <row r="9375" spans="7:7">
      <c r="G9375"/>
    </row>
    <row r="9376" spans="7:7">
      <c r="G9376"/>
    </row>
    <row r="9377" spans="7:7">
      <c r="G9377"/>
    </row>
    <row r="9378" spans="7:7">
      <c r="G9378"/>
    </row>
    <row r="9379" spans="7:7">
      <c r="G9379"/>
    </row>
    <row r="9380" spans="7:7">
      <c r="G9380"/>
    </row>
    <row r="9381" spans="7:7">
      <c r="G9381"/>
    </row>
    <row r="9382" spans="7:7">
      <c r="G9382"/>
    </row>
    <row r="9383" spans="7:7">
      <c r="G9383"/>
    </row>
    <row r="9384" spans="7:7">
      <c r="G9384"/>
    </row>
    <row r="9385" spans="7:7">
      <c r="G9385"/>
    </row>
    <row r="9386" spans="7:7">
      <c r="G9386"/>
    </row>
    <row r="9387" spans="7:7">
      <c r="G9387"/>
    </row>
    <row r="9388" spans="7:7">
      <c r="G9388"/>
    </row>
    <row r="9389" spans="7:7">
      <c r="G9389"/>
    </row>
    <row r="9390" spans="7:7">
      <c r="G9390"/>
    </row>
    <row r="9391" spans="7:7">
      <c r="G9391"/>
    </row>
    <row r="9392" spans="7:7">
      <c r="G9392"/>
    </row>
    <row r="9393" spans="7:7">
      <c r="G9393"/>
    </row>
    <row r="9394" spans="7:7">
      <c r="G9394"/>
    </row>
    <row r="9395" spans="7:7">
      <c r="G9395"/>
    </row>
    <row r="9396" spans="7:7">
      <c r="G9396"/>
    </row>
    <row r="9397" spans="7:7">
      <c r="G9397"/>
    </row>
    <row r="9398" spans="7:7">
      <c r="G9398"/>
    </row>
    <row r="9399" spans="7:7">
      <c r="G9399"/>
    </row>
    <row r="9400" spans="7:7">
      <c r="G9400"/>
    </row>
    <row r="9401" spans="7:7">
      <c r="G9401"/>
    </row>
    <row r="9402" spans="7:7">
      <c r="G9402"/>
    </row>
    <row r="9403" spans="7:7">
      <c r="G9403"/>
    </row>
    <row r="9404" spans="7:7">
      <c r="G9404"/>
    </row>
    <row r="9405" spans="7:7">
      <c r="G9405"/>
    </row>
    <row r="9406" spans="7:7">
      <c r="G9406"/>
    </row>
    <row r="9407" spans="7:7">
      <c r="G9407"/>
    </row>
    <row r="9408" spans="7:7">
      <c r="G9408"/>
    </row>
    <row r="9409" spans="7:7">
      <c r="G9409"/>
    </row>
    <row r="9410" spans="7:7">
      <c r="G9410"/>
    </row>
    <row r="9411" spans="7:7">
      <c r="G9411"/>
    </row>
    <row r="9412" spans="7:7">
      <c r="G9412"/>
    </row>
    <row r="9413" spans="7:7">
      <c r="G9413"/>
    </row>
    <row r="9414" spans="7:7">
      <c r="G9414"/>
    </row>
    <row r="9415" spans="7:7">
      <c r="G9415"/>
    </row>
    <row r="9416" spans="7:7">
      <c r="G9416"/>
    </row>
    <row r="9417" spans="7:7">
      <c r="G9417"/>
    </row>
    <row r="9418" spans="7:7">
      <c r="G9418"/>
    </row>
    <row r="9419" spans="7:7">
      <c r="G9419"/>
    </row>
    <row r="9420" spans="7:7">
      <c r="G9420"/>
    </row>
    <row r="9421" spans="7:7">
      <c r="G9421"/>
    </row>
    <row r="9422" spans="7:7">
      <c r="G9422"/>
    </row>
    <row r="9423" spans="7:7">
      <c r="G9423"/>
    </row>
    <row r="9424" spans="7:7">
      <c r="G9424"/>
    </row>
    <row r="9425" spans="7:7">
      <c r="G9425"/>
    </row>
    <row r="9426" spans="7:7">
      <c r="G9426"/>
    </row>
    <row r="9427" spans="7:7">
      <c r="G9427"/>
    </row>
    <row r="9428" spans="7:7">
      <c r="G9428"/>
    </row>
    <row r="9429" spans="7:7">
      <c r="G9429"/>
    </row>
    <row r="9430" spans="7:7">
      <c r="G9430"/>
    </row>
    <row r="9431" spans="7:7">
      <c r="G9431"/>
    </row>
    <row r="9432" spans="7:7">
      <c r="G9432"/>
    </row>
    <row r="9433" spans="7:7">
      <c r="G9433"/>
    </row>
    <row r="9434" spans="7:7">
      <c r="G9434"/>
    </row>
    <row r="9435" spans="7:7">
      <c r="G9435"/>
    </row>
    <row r="9436" spans="7:7">
      <c r="G9436"/>
    </row>
    <row r="9437" spans="7:7">
      <c r="G9437"/>
    </row>
    <row r="9438" spans="7:7">
      <c r="G9438"/>
    </row>
    <row r="9439" spans="7:7">
      <c r="G9439"/>
    </row>
    <row r="9440" spans="7:7">
      <c r="G9440"/>
    </row>
    <row r="9441" spans="7:7">
      <c r="G9441"/>
    </row>
    <row r="9442" spans="7:7">
      <c r="G9442"/>
    </row>
    <row r="9443" spans="7:7">
      <c r="G9443"/>
    </row>
    <row r="9444" spans="7:7">
      <c r="G9444"/>
    </row>
    <row r="9445" spans="7:7">
      <c r="G9445"/>
    </row>
    <row r="9446" spans="7:7">
      <c r="G9446"/>
    </row>
    <row r="9447" spans="7:7">
      <c r="G9447"/>
    </row>
    <row r="9448" spans="7:7">
      <c r="G9448"/>
    </row>
    <row r="9449" spans="7:7">
      <c r="G9449"/>
    </row>
    <row r="9450" spans="7:7">
      <c r="G9450"/>
    </row>
    <row r="9451" spans="7:7">
      <c r="G9451"/>
    </row>
    <row r="9452" spans="7:7">
      <c r="G9452"/>
    </row>
    <row r="9453" spans="7:7">
      <c r="G9453"/>
    </row>
    <row r="9454" spans="7:7">
      <c r="G9454"/>
    </row>
    <row r="9455" spans="7:7">
      <c r="G9455"/>
    </row>
    <row r="9456" spans="7:7">
      <c r="G9456"/>
    </row>
    <row r="9457" spans="7:7">
      <c r="G9457"/>
    </row>
    <row r="9458" spans="7:7">
      <c r="G9458"/>
    </row>
    <row r="9459" spans="7:7">
      <c r="G9459"/>
    </row>
    <row r="9460" spans="7:7">
      <c r="G9460"/>
    </row>
    <row r="9461" spans="7:7">
      <c r="G9461"/>
    </row>
    <row r="9462" spans="7:7">
      <c r="G9462"/>
    </row>
    <row r="9463" spans="7:7">
      <c r="G9463"/>
    </row>
    <row r="9464" spans="7:7">
      <c r="G9464"/>
    </row>
    <row r="9465" spans="7:7">
      <c r="G9465"/>
    </row>
    <row r="9466" spans="7:7">
      <c r="G9466"/>
    </row>
    <row r="9467" spans="7:7">
      <c r="G9467"/>
    </row>
    <row r="9468" spans="7:7">
      <c r="G9468"/>
    </row>
    <row r="9469" spans="7:7">
      <c r="G9469"/>
    </row>
    <row r="9470" spans="7:7">
      <c r="G9470"/>
    </row>
    <row r="9471" spans="7:7">
      <c r="G9471"/>
    </row>
    <row r="9472" spans="7:7">
      <c r="G9472"/>
    </row>
    <row r="9473" spans="7:7">
      <c r="G9473"/>
    </row>
    <row r="9474" spans="7:7">
      <c r="G9474"/>
    </row>
    <row r="9475" spans="7:7">
      <c r="G9475"/>
    </row>
    <row r="9476" spans="7:7">
      <c r="G9476"/>
    </row>
    <row r="9477" spans="7:7">
      <c r="G9477"/>
    </row>
    <row r="9478" spans="7:7">
      <c r="G9478"/>
    </row>
    <row r="9479" spans="7:7">
      <c r="G9479"/>
    </row>
    <row r="9480" spans="7:7">
      <c r="G9480"/>
    </row>
    <row r="9481" spans="7:7">
      <c r="G9481"/>
    </row>
    <row r="9482" spans="7:7">
      <c r="G9482"/>
    </row>
    <row r="9483" spans="7:7">
      <c r="G9483"/>
    </row>
    <row r="9484" spans="7:7">
      <c r="G9484"/>
    </row>
    <row r="9485" spans="7:7">
      <c r="G9485"/>
    </row>
    <row r="9486" spans="7:7">
      <c r="G9486"/>
    </row>
    <row r="9487" spans="7:7">
      <c r="G9487"/>
    </row>
    <row r="9488" spans="7:7">
      <c r="G9488"/>
    </row>
    <row r="9489" spans="7:7">
      <c r="G9489"/>
    </row>
    <row r="9490" spans="7:7">
      <c r="G9490"/>
    </row>
    <row r="9491" spans="7:7">
      <c r="G9491"/>
    </row>
    <row r="9492" spans="7:7">
      <c r="G9492"/>
    </row>
    <row r="9493" spans="7:7">
      <c r="G9493"/>
    </row>
    <row r="9494" spans="7:7">
      <c r="G9494"/>
    </row>
    <row r="9495" spans="7:7">
      <c r="G9495"/>
    </row>
    <row r="9496" spans="7:7">
      <c r="G9496"/>
    </row>
    <row r="9497" spans="7:7">
      <c r="G9497"/>
    </row>
    <row r="9498" spans="7:7">
      <c r="G9498"/>
    </row>
    <row r="9499" spans="7:7">
      <c r="G9499"/>
    </row>
    <row r="9500" spans="7:7">
      <c r="G9500"/>
    </row>
    <row r="9501" spans="7:7">
      <c r="G9501"/>
    </row>
    <row r="9502" spans="7:7">
      <c r="G9502"/>
    </row>
    <row r="9503" spans="7:7">
      <c r="G9503"/>
    </row>
    <row r="9504" spans="7:7">
      <c r="G9504"/>
    </row>
    <row r="9505" spans="7:7">
      <c r="G9505"/>
    </row>
    <row r="9506" spans="7:7">
      <c r="G9506"/>
    </row>
    <row r="9507" spans="7:7">
      <c r="G9507"/>
    </row>
    <row r="9508" spans="7:7">
      <c r="G9508"/>
    </row>
    <row r="9509" spans="7:7">
      <c r="G9509"/>
    </row>
    <row r="9510" spans="7:7">
      <c r="G9510"/>
    </row>
    <row r="9511" spans="7:7">
      <c r="G9511"/>
    </row>
    <row r="9512" spans="7:7">
      <c r="G9512"/>
    </row>
    <row r="9513" spans="7:7">
      <c r="G9513"/>
    </row>
    <row r="9514" spans="7:7">
      <c r="G9514"/>
    </row>
    <row r="9515" spans="7:7">
      <c r="G9515"/>
    </row>
    <row r="9516" spans="7:7">
      <c r="G9516"/>
    </row>
    <row r="9517" spans="7:7">
      <c r="G9517"/>
    </row>
    <row r="9518" spans="7:7">
      <c r="G9518"/>
    </row>
    <row r="9519" spans="7:7">
      <c r="G9519"/>
    </row>
    <row r="9520" spans="7:7">
      <c r="G9520"/>
    </row>
    <row r="9521" spans="7:7">
      <c r="G9521"/>
    </row>
    <row r="9522" spans="7:7">
      <c r="G9522"/>
    </row>
    <row r="9523" spans="7:7">
      <c r="G9523"/>
    </row>
    <row r="9524" spans="7:7">
      <c r="G9524"/>
    </row>
    <row r="9525" spans="7:7">
      <c r="G9525"/>
    </row>
    <row r="9526" spans="7:7">
      <c r="G9526"/>
    </row>
    <row r="9527" spans="7:7">
      <c r="G9527"/>
    </row>
    <row r="9528" spans="7:7">
      <c r="G9528"/>
    </row>
    <row r="9529" spans="7:7">
      <c r="G9529"/>
    </row>
    <row r="9530" spans="7:7">
      <c r="G9530"/>
    </row>
    <row r="9531" spans="7:7">
      <c r="G9531"/>
    </row>
    <row r="9532" spans="7:7">
      <c r="G9532"/>
    </row>
    <row r="9533" spans="7:7">
      <c r="G9533"/>
    </row>
    <row r="9534" spans="7:7">
      <c r="G9534"/>
    </row>
    <row r="9535" spans="7:7">
      <c r="G9535"/>
    </row>
    <row r="9536" spans="7:7">
      <c r="G9536"/>
    </row>
    <row r="9537" spans="7:7">
      <c r="G9537"/>
    </row>
    <row r="9538" spans="7:7">
      <c r="G9538"/>
    </row>
    <row r="9539" spans="7:7">
      <c r="G9539"/>
    </row>
    <row r="9540" spans="7:7">
      <c r="G9540"/>
    </row>
    <row r="9541" spans="7:7">
      <c r="G9541"/>
    </row>
    <row r="9542" spans="7:7">
      <c r="G9542"/>
    </row>
    <row r="9543" spans="7:7">
      <c r="G9543"/>
    </row>
    <row r="9544" spans="7:7">
      <c r="G9544"/>
    </row>
    <row r="9545" spans="7:7">
      <c r="G9545"/>
    </row>
    <row r="9546" spans="7:7">
      <c r="G9546"/>
    </row>
    <row r="9547" spans="7:7">
      <c r="G9547"/>
    </row>
    <row r="9548" spans="7:7">
      <c r="G9548"/>
    </row>
    <row r="9549" spans="7:7">
      <c r="G9549"/>
    </row>
    <row r="9550" spans="7:7">
      <c r="G9550"/>
    </row>
    <row r="9551" spans="7:7">
      <c r="G9551"/>
    </row>
    <row r="9552" spans="7:7">
      <c r="G9552"/>
    </row>
    <row r="9553" spans="7:7">
      <c r="G9553"/>
    </row>
    <row r="9554" spans="7:7">
      <c r="G9554"/>
    </row>
    <row r="9555" spans="7:7">
      <c r="G9555"/>
    </row>
    <row r="9556" spans="7:7">
      <c r="G9556"/>
    </row>
    <row r="9557" spans="7:7">
      <c r="G9557"/>
    </row>
    <row r="9558" spans="7:7">
      <c r="G9558"/>
    </row>
    <row r="9559" spans="7:7">
      <c r="G9559"/>
    </row>
    <row r="9560" spans="7:7">
      <c r="G9560"/>
    </row>
    <row r="9561" spans="7:7">
      <c r="G9561"/>
    </row>
    <row r="9562" spans="7:7">
      <c r="G9562"/>
    </row>
    <row r="9563" spans="7:7">
      <c r="G9563"/>
    </row>
    <row r="9564" spans="7:7">
      <c r="G9564"/>
    </row>
    <row r="9565" spans="7:7">
      <c r="G9565"/>
    </row>
    <row r="9566" spans="7:7">
      <c r="G9566"/>
    </row>
    <row r="9567" spans="7:7">
      <c r="G9567"/>
    </row>
    <row r="9568" spans="7:7">
      <c r="G9568"/>
    </row>
    <row r="9569" spans="7:7">
      <c r="G9569"/>
    </row>
    <row r="9570" spans="7:7">
      <c r="G9570"/>
    </row>
    <row r="9571" spans="7:7">
      <c r="G9571"/>
    </row>
    <row r="9572" spans="7:7">
      <c r="G9572"/>
    </row>
    <row r="9573" spans="7:7">
      <c r="G9573"/>
    </row>
    <row r="9574" spans="7:7">
      <c r="G9574"/>
    </row>
    <row r="9575" spans="7:7">
      <c r="G9575"/>
    </row>
    <row r="9576" spans="7:7">
      <c r="G9576"/>
    </row>
    <row r="9577" spans="7:7">
      <c r="G9577"/>
    </row>
    <row r="9578" spans="7:7">
      <c r="G9578"/>
    </row>
    <row r="9579" spans="7:7">
      <c r="G9579"/>
    </row>
    <row r="9580" spans="7:7">
      <c r="G9580"/>
    </row>
    <row r="9581" spans="7:7">
      <c r="G9581"/>
    </row>
    <row r="9582" spans="7:7">
      <c r="G9582"/>
    </row>
    <row r="9583" spans="7:7">
      <c r="G9583"/>
    </row>
    <row r="9584" spans="7:7">
      <c r="G9584"/>
    </row>
    <row r="9585" spans="7:7">
      <c r="G9585"/>
    </row>
    <row r="9586" spans="7:7">
      <c r="G9586"/>
    </row>
    <row r="9587" spans="7:7">
      <c r="G9587"/>
    </row>
    <row r="9588" spans="7:7">
      <c r="G9588"/>
    </row>
    <row r="9589" spans="7:7">
      <c r="G9589"/>
    </row>
    <row r="9590" spans="7:7">
      <c r="G9590"/>
    </row>
    <row r="9591" spans="7:7">
      <c r="G9591"/>
    </row>
    <row r="9592" spans="7:7">
      <c r="G9592"/>
    </row>
    <row r="9593" spans="7:7">
      <c r="G9593"/>
    </row>
    <row r="9594" spans="7:7">
      <c r="G9594"/>
    </row>
    <row r="9595" spans="7:7">
      <c r="G9595"/>
    </row>
    <row r="9596" spans="7:7">
      <c r="G9596"/>
    </row>
    <row r="9597" spans="7:7">
      <c r="G9597"/>
    </row>
    <row r="9598" spans="7:7">
      <c r="G9598"/>
    </row>
    <row r="9599" spans="7:7">
      <c r="G9599"/>
    </row>
    <row r="9600" spans="7:7">
      <c r="G9600"/>
    </row>
    <row r="9601" spans="7:7">
      <c r="G9601"/>
    </row>
    <row r="9602" spans="7:7">
      <c r="G9602"/>
    </row>
    <row r="9603" spans="7:7">
      <c r="G9603"/>
    </row>
    <row r="9604" spans="7:7">
      <c r="G9604"/>
    </row>
    <row r="9605" spans="7:7">
      <c r="G9605"/>
    </row>
    <row r="9606" spans="7:7">
      <c r="G9606"/>
    </row>
    <row r="9607" spans="7:7">
      <c r="G9607"/>
    </row>
    <row r="9608" spans="7:7">
      <c r="G9608"/>
    </row>
    <row r="9609" spans="7:7">
      <c r="G9609"/>
    </row>
    <row r="9610" spans="7:7">
      <c r="G9610"/>
    </row>
    <row r="9611" spans="7:7">
      <c r="G9611"/>
    </row>
    <row r="9612" spans="7:7">
      <c r="G9612"/>
    </row>
    <row r="9613" spans="7:7">
      <c r="G9613"/>
    </row>
    <row r="9614" spans="7:7">
      <c r="G9614"/>
    </row>
    <row r="9615" spans="7:7">
      <c r="G9615"/>
    </row>
    <row r="9616" spans="7:7">
      <c r="G9616"/>
    </row>
    <row r="9617" spans="7:7">
      <c r="G9617"/>
    </row>
    <row r="9618" spans="7:7">
      <c r="G9618"/>
    </row>
    <row r="9619" spans="7:7">
      <c r="G9619"/>
    </row>
    <row r="9620" spans="7:7">
      <c r="G9620"/>
    </row>
    <row r="9621" spans="7:7">
      <c r="G9621"/>
    </row>
    <row r="9622" spans="7:7">
      <c r="G9622"/>
    </row>
    <row r="9623" spans="7:7">
      <c r="G9623"/>
    </row>
    <row r="9624" spans="7:7">
      <c r="G9624"/>
    </row>
    <row r="9625" spans="7:7">
      <c r="G9625"/>
    </row>
    <row r="9626" spans="7:7">
      <c r="G9626"/>
    </row>
    <row r="9627" spans="7:7">
      <c r="G9627"/>
    </row>
    <row r="9628" spans="7:7">
      <c r="G9628"/>
    </row>
    <row r="9629" spans="7:7">
      <c r="G9629"/>
    </row>
    <row r="9630" spans="7:7">
      <c r="G9630"/>
    </row>
    <row r="9631" spans="7:7">
      <c r="G9631"/>
    </row>
    <row r="9632" spans="7:7">
      <c r="G9632"/>
    </row>
    <row r="9633" spans="7:7">
      <c r="G9633"/>
    </row>
    <row r="9634" spans="7:7">
      <c r="G9634"/>
    </row>
    <row r="9635" spans="7:7">
      <c r="G9635"/>
    </row>
    <row r="9636" spans="7:7">
      <c r="G9636"/>
    </row>
    <row r="9637" spans="7:7">
      <c r="G9637"/>
    </row>
    <row r="9638" spans="7:7">
      <c r="G9638"/>
    </row>
    <row r="9639" spans="7:7">
      <c r="G9639"/>
    </row>
    <row r="9640" spans="7:7">
      <c r="G9640"/>
    </row>
    <row r="9641" spans="7:7">
      <c r="G9641"/>
    </row>
    <row r="9642" spans="7:7">
      <c r="G9642"/>
    </row>
    <row r="9643" spans="7:7">
      <c r="G9643"/>
    </row>
    <row r="9644" spans="7:7">
      <c r="G9644"/>
    </row>
    <row r="9645" spans="7:7">
      <c r="G9645"/>
    </row>
    <row r="9646" spans="7:7">
      <c r="G9646"/>
    </row>
    <row r="9647" spans="7:7">
      <c r="G9647"/>
    </row>
    <row r="9648" spans="7:7">
      <c r="G9648"/>
    </row>
    <row r="9649" spans="7:7">
      <c r="G9649"/>
    </row>
    <row r="9650" spans="7:7">
      <c r="G9650"/>
    </row>
    <row r="9651" spans="7:7">
      <c r="G9651"/>
    </row>
    <row r="9652" spans="7:7">
      <c r="G9652"/>
    </row>
    <row r="9653" spans="7:7">
      <c r="G9653"/>
    </row>
    <row r="9654" spans="7:7">
      <c r="G9654"/>
    </row>
    <row r="9655" spans="7:7">
      <c r="G9655"/>
    </row>
    <row r="9656" spans="7:7">
      <c r="G9656"/>
    </row>
    <row r="9657" spans="7:7">
      <c r="G9657"/>
    </row>
    <row r="9658" spans="7:7">
      <c r="G9658"/>
    </row>
    <row r="9659" spans="7:7">
      <c r="G9659"/>
    </row>
    <row r="9660" spans="7:7">
      <c r="G9660"/>
    </row>
    <row r="9661" spans="7:7">
      <c r="G9661"/>
    </row>
    <row r="9662" spans="7:7">
      <c r="G9662"/>
    </row>
    <row r="9663" spans="7:7">
      <c r="G9663"/>
    </row>
    <row r="9664" spans="7:7">
      <c r="G9664"/>
    </row>
    <row r="9665" spans="7:7">
      <c r="G9665"/>
    </row>
    <row r="9666" spans="7:7">
      <c r="G9666"/>
    </row>
    <row r="9667" spans="7:7">
      <c r="G9667"/>
    </row>
    <row r="9668" spans="7:7">
      <c r="G9668"/>
    </row>
    <row r="9669" spans="7:7">
      <c r="G9669"/>
    </row>
    <row r="9670" spans="7:7">
      <c r="G9670"/>
    </row>
    <row r="9671" spans="7:7">
      <c r="G9671"/>
    </row>
    <row r="9672" spans="7:7">
      <c r="G9672"/>
    </row>
    <row r="9673" spans="7:7">
      <c r="G9673"/>
    </row>
    <row r="9674" spans="7:7">
      <c r="G9674"/>
    </row>
    <row r="9675" spans="7:7">
      <c r="G9675"/>
    </row>
    <row r="9676" spans="7:7">
      <c r="G9676"/>
    </row>
    <row r="9677" spans="7:7">
      <c r="G9677"/>
    </row>
    <row r="9678" spans="7:7">
      <c r="G9678"/>
    </row>
    <row r="9679" spans="7:7">
      <c r="G9679"/>
    </row>
    <row r="9680" spans="7:7">
      <c r="G9680"/>
    </row>
    <row r="9681" spans="7:7">
      <c r="G9681"/>
    </row>
    <row r="9682" spans="7:7">
      <c r="G9682"/>
    </row>
    <row r="9683" spans="7:7">
      <c r="G9683"/>
    </row>
    <row r="9684" spans="7:7">
      <c r="G9684"/>
    </row>
    <row r="9685" spans="7:7">
      <c r="G9685"/>
    </row>
    <row r="9686" spans="7:7">
      <c r="G9686"/>
    </row>
    <row r="9687" spans="7:7">
      <c r="G9687"/>
    </row>
    <row r="9688" spans="7:7">
      <c r="G9688"/>
    </row>
    <row r="9689" spans="7:7">
      <c r="G9689"/>
    </row>
    <row r="9690" spans="7:7">
      <c r="G9690"/>
    </row>
    <row r="9691" spans="7:7">
      <c r="G9691"/>
    </row>
    <row r="9692" spans="7:7">
      <c r="G9692"/>
    </row>
    <row r="9693" spans="7:7">
      <c r="G9693"/>
    </row>
    <row r="9694" spans="7:7">
      <c r="G9694"/>
    </row>
    <row r="9695" spans="7:7">
      <c r="G9695"/>
    </row>
    <row r="9696" spans="7:7">
      <c r="G9696"/>
    </row>
    <row r="9697" spans="7:7">
      <c r="G9697"/>
    </row>
    <row r="9698" spans="7:7">
      <c r="G9698"/>
    </row>
    <row r="9699" spans="7:7">
      <c r="G9699"/>
    </row>
    <row r="9700" spans="7:7">
      <c r="G9700"/>
    </row>
    <row r="9701" spans="7:7">
      <c r="G9701"/>
    </row>
    <row r="9702" spans="7:7">
      <c r="G9702"/>
    </row>
    <row r="9703" spans="7:7">
      <c r="G9703"/>
    </row>
    <row r="9704" spans="7:7">
      <c r="G9704"/>
    </row>
    <row r="9705" spans="7:7">
      <c r="G9705"/>
    </row>
    <row r="9706" spans="7:7">
      <c r="G9706"/>
    </row>
    <row r="9707" spans="7:7">
      <c r="G9707"/>
    </row>
    <row r="9708" spans="7:7">
      <c r="G9708"/>
    </row>
    <row r="9709" spans="7:7">
      <c r="G9709"/>
    </row>
    <row r="9710" spans="7:7">
      <c r="G9710"/>
    </row>
    <row r="9711" spans="7:7">
      <c r="G9711"/>
    </row>
    <row r="9712" spans="7:7">
      <c r="G9712"/>
    </row>
    <row r="9713" spans="7:7">
      <c r="G9713"/>
    </row>
    <row r="9714" spans="7:7">
      <c r="G9714"/>
    </row>
    <row r="9715" spans="7:7">
      <c r="G9715"/>
    </row>
    <row r="9716" spans="7:7">
      <c r="G9716"/>
    </row>
    <row r="9717" spans="7:7">
      <c r="G9717"/>
    </row>
    <row r="9718" spans="7:7">
      <c r="G9718"/>
    </row>
    <row r="9719" spans="7:7">
      <c r="G9719"/>
    </row>
    <row r="9720" spans="7:7">
      <c r="G9720"/>
    </row>
    <row r="9721" spans="7:7">
      <c r="G9721"/>
    </row>
    <row r="9722" spans="7:7">
      <c r="G9722"/>
    </row>
    <row r="9723" spans="7:7">
      <c r="G9723"/>
    </row>
    <row r="9724" spans="7:7">
      <c r="G9724"/>
    </row>
    <row r="9725" spans="7:7">
      <c r="G9725"/>
    </row>
    <row r="9726" spans="7:7">
      <c r="G9726"/>
    </row>
    <row r="9727" spans="7:7">
      <c r="G9727"/>
    </row>
    <row r="9728" spans="7:7">
      <c r="G9728"/>
    </row>
    <row r="9729" spans="7:7">
      <c r="G9729"/>
    </row>
    <row r="9730" spans="7:7">
      <c r="G9730"/>
    </row>
    <row r="9731" spans="7:7">
      <c r="G9731"/>
    </row>
    <row r="9732" spans="7:7">
      <c r="G9732"/>
    </row>
    <row r="9733" spans="7:7">
      <c r="G9733"/>
    </row>
    <row r="9734" spans="7:7">
      <c r="G9734"/>
    </row>
    <row r="9735" spans="7:7">
      <c r="G9735"/>
    </row>
    <row r="9736" spans="7:7">
      <c r="G9736"/>
    </row>
    <row r="9737" spans="7:7">
      <c r="G9737"/>
    </row>
    <row r="9738" spans="7:7">
      <c r="G9738"/>
    </row>
    <row r="9739" spans="7:7">
      <c r="G9739"/>
    </row>
    <row r="9740" spans="7:7">
      <c r="G9740"/>
    </row>
    <row r="9741" spans="7:7">
      <c r="G9741"/>
    </row>
    <row r="9742" spans="7:7">
      <c r="G9742"/>
    </row>
    <row r="9743" spans="7:7">
      <c r="G9743"/>
    </row>
    <row r="9744" spans="7:7">
      <c r="G9744"/>
    </row>
    <row r="9745" spans="7:7">
      <c r="G9745"/>
    </row>
    <row r="9746" spans="7:7">
      <c r="G9746"/>
    </row>
    <row r="9747" spans="7:7">
      <c r="G9747"/>
    </row>
    <row r="9748" spans="7:7">
      <c r="G9748"/>
    </row>
    <row r="9749" spans="7:7">
      <c r="G9749"/>
    </row>
    <row r="9750" spans="7:7">
      <c r="G9750"/>
    </row>
    <row r="9751" spans="7:7">
      <c r="G9751"/>
    </row>
    <row r="9752" spans="7:7">
      <c r="G9752"/>
    </row>
    <row r="9753" spans="7:7">
      <c r="G9753"/>
    </row>
    <row r="9754" spans="7:7">
      <c r="G9754"/>
    </row>
    <row r="9755" spans="7:7">
      <c r="G9755"/>
    </row>
    <row r="9756" spans="7:7">
      <c r="G9756"/>
    </row>
    <row r="9757" spans="7:7">
      <c r="G9757"/>
    </row>
    <row r="9758" spans="7:7">
      <c r="G9758"/>
    </row>
    <row r="9759" spans="7:7">
      <c r="G9759"/>
    </row>
    <row r="9760" spans="7:7">
      <c r="G9760"/>
    </row>
    <row r="9761" spans="7:7">
      <c r="G9761"/>
    </row>
    <row r="9762" spans="7:7">
      <c r="G9762"/>
    </row>
    <row r="9763" spans="7:7">
      <c r="G9763"/>
    </row>
    <row r="9764" spans="7:7">
      <c r="G9764"/>
    </row>
    <row r="9765" spans="7:7">
      <c r="G9765"/>
    </row>
    <row r="9766" spans="7:7">
      <c r="G9766"/>
    </row>
    <row r="9767" spans="7:7">
      <c r="G9767"/>
    </row>
    <row r="9768" spans="7:7">
      <c r="G9768"/>
    </row>
    <row r="9769" spans="7:7">
      <c r="G9769"/>
    </row>
    <row r="9770" spans="7:7">
      <c r="G9770"/>
    </row>
    <row r="9771" spans="7:7">
      <c r="G9771"/>
    </row>
    <row r="9772" spans="7:7">
      <c r="G9772"/>
    </row>
    <row r="9773" spans="7:7">
      <c r="G9773"/>
    </row>
    <row r="9774" spans="7:7">
      <c r="G9774"/>
    </row>
    <row r="9775" spans="7:7">
      <c r="G9775"/>
    </row>
    <row r="9776" spans="7:7">
      <c r="G9776"/>
    </row>
    <row r="9777" spans="7:7">
      <c r="G9777"/>
    </row>
    <row r="9778" spans="7:7">
      <c r="G9778"/>
    </row>
    <row r="9779" spans="7:7">
      <c r="G9779"/>
    </row>
    <row r="9780" spans="7:7">
      <c r="G9780"/>
    </row>
    <row r="9781" spans="7:7">
      <c r="G9781"/>
    </row>
    <row r="9782" spans="7:7">
      <c r="G9782"/>
    </row>
    <row r="9783" spans="7:7">
      <c r="G9783"/>
    </row>
    <row r="9784" spans="7:7">
      <c r="G9784"/>
    </row>
    <row r="9785" spans="7:7">
      <c r="G9785"/>
    </row>
    <row r="9786" spans="7:7">
      <c r="G9786"/>
    </row>
    <row r="9787" spans="7:7">
      <c r="G9787"/>
    </row>
    <row r="9788" spans="7:7">
      <c r="G9788"/>
    </row>
    <row r="9789" spans="7:7">
      <c r="G9789"/>
    </row>
    <row r="9790" spans="7:7">
      <c r="G9790"/>
    </row>
    <row r="9791" spans="7:7">
      <c r="G9791"/>
    </row>
    <row r="9792" spans="7:7">
      <c r="G9792"/>
    </row>
    <row r="9793" spans="7:7">
      <c r="G9793"/>
    </row>
    <row r="9794" spans="7:7">
      <c r="G9794"/>
    </row>
    <row r="9795" spans="7:7">
      <c r="G9795"/>
    </row>
    <row r="9796" spans="7:7">
      <c r="G9796"/>
    </row>
    <row r="9797" spans="7:7">
      <c r="G9797"/>
    </row>
    <row r="9798" spans="7:7">
      <c r="G9798"/>
    </row>
    <row r="9799" spans="7:7">
      <c r="G9799"/>
    </row>
    <row r="9800" spans="7:7">
      <c r="G9800"/>
    </row>
    <row r="9801" spans="7:7">
      <c r="G9801"/>
    </row>
    <row r="9802" spans="7:7">
      <c r="G9802"/>
    </row>
    <row r="9803" spans="7:7">
      <c r="G9803"/>
    </row>
    <row r="9804" spans="7:7">
      <c r="G9804"/>
    </row>
    <row r="9805" spans="7:7">
      <c r="G9805"/>
    </row>
    <row r="9806" spans="7:7">
      <c r="G9806"/>
    </row>
    <row r="9807" spans="7:7">
      <c r="G9807"/>
    </row>
    <row r="9808" spans="7:7">
      <c r="G9808"/>
    </row>
    <row r="9809" spans="7:7">
      <c r="G9809"/>
    </row>
    <row r="9810" spans="7:7">
      <c r="G9810"/>
    </row>
    <row r="9811" spans="7:7">
      <c r="G9811"/>
    </row>
    <row r="9812" spans="7:7">
      <c r="G9812"/>
    </row>
    <row r="9813" spans="7:7">
      <c r="G9813"/>
    </row>
    <row r="9814" spans="7:7">
      <c r="G9814"/>
    </row>
    <row r="9815" spans="7:7">
      <c r="G9815"/>
    </row>
    <row r="9816" spans="7:7">
      <c r="G9816"/>
    </row>
    <row r="9817" spans="7:7">
      <c r="G9817"/>
    </row>
    <row r="9818" spans="7:7">
      <c r="G9818"/>
    </row>
    <row r="9819" spans="7:7">
      <c r="G9819"/>
    </row>
    <row r="9820" spans="7:7">
      <c r="G9820"/>
    </row>
    <row r="9821" spans="7:7">
      <c r="G9821"/>
    </row>
    <row r="9822" spans="7:7">
      <c r="G9822"/>
    </row>
    <row r="9823" spans="7:7">
      <c r="G9823"/>
    </row>
    <row r="9824" spans="7:7">
      <c r="G9824"/>
    </row>
    <row r="9825" spans="7:7">
      <c r="G9825"/>
    </row>
    <row r="9826" spans="7:7">
      <c r="G9826"/>
    </row>
    <row r="9827" spans="7:7">
      <c r="G9827"/>
    </row>
    <row r="9828" spans="7:7">
      <c r="G9828"/>
    </row>
    <row r="9829" spans="7:7">
      <c r="G9829"/>
    </row>
    <row r="9830" spans="7:7">
      <c r="G9830"/>
    </row>
    <row r="9831" spans="7:7">
      <c r="G9831"/>
    </row>
    <row r="9832" spans="7:7">
      <c r="G9832"/>
    </row>
    <row r="9833" spans="7:7">
      <c r="G9833"/>
    </row>
    <row r="9834" spans="7:7">
      <c r="G9834"/>
    </row>
    <row r="9835" spans="7:7">
      <c r="G9835"/>
    </row>
    <row r="9836" spans="7:7">
      <c r="G9836"/>
    </row>
    <row r="9837" spans="7:7">
      <c r="G9837"/>
    </row>
    <row r="9838" spans="7:7">
      <c r="G9838"/>
    </row>
    <row r="9839" spans="7:7">
      <c r="G9839"/>
    </row>
    <row r="9840" spans="7:7">
      <c r="G9840"/>
    </row>
    <row r="9841" spans="7:7">
      <c r="G9841"/>
    </row>
    <row r="9842" spans="7:7">
      <c r="G9842"/>
    </row>
    <row r="9843" spans="7:7">
      <c r="G9843"/>
    </row>
    <row r="9844" spans="7:7">
      <c r="G9844"/>
    </row>
    <row r="9845" spans="7:7">
      <c r="G9845"/>
    </row>
    <row r="9846" spans="7:7">
      <c r="G9846"/>
    </row>
    <row r="9847" spans="7:7">
      <c r="G9847"/>
    </row>
    <row r="9848" spans="7:7">
      <c r="G9848"/>
    </row>
    <row r="9849" spans="7:7">
      <c r="G9849"/>
    </row>
    <row r="9850" spans="7:7">
      <c r="G9850"/>
    </row>
    <row r="9851" spans="7:7">
      <c r="G9851"/>
    </row>
    <row r="9852" spans="7:7">
      <c r="G9852"/>
    </row>
    <row r="9853" spans="7:7">
      <c r="G9853"/>
    </row>
    <row r="9854" spans="7:7">
      <c r="G9854"/>
    </row>
    <row r="9855" spans="7:7">
      <c r="G9855"/>
    </row>
    <row r="9856" spans="7:7">
      <c r="G9856"/>
    </row>
    <row r="9857" spans="7:7">
      <c r="G9857"/>
    </row>
    <row r="9858" spans="7:7">
      <c r="G9858"/>
    </row>
    <row r="9859" spans="7:7">
      <c r="G9859"/>
    </row>
    <row r="9860" spans="7:7">
      <c r="G9860"/>
    </row>
    <row r="9861" spans="7:7">
      <c r="G9861"/>
    </row>
    <row r="9862" spans="7:7">
      <c r="G9862"/>
    </row>
    <row r="9863" spans="7:7">
      <c r="G9863"/>
    </row>
    <row r="9864" spans="7:7">
      <c r="G9864"/>
    </row>
    <row r="9865" spans="7:7">
      <c r="G9865"/>
    </row>
    <row r="9866" spans="7:7">
      <c r="G9866"/>
    </row>
    <row r="9867" spans="7:7">
      <c r="G9867"/>
    </row>
    <row r="9868" spans="7:7">
      <c r="G9868"/>
    </row>
    <row r="9869" spans="7:7">
      <c r="G9869"/>
    </row>
    <row r="9870" spans="7:7">
      <c r="G9870"/>
    </row>
    <row r="9871" spans="7:7">
      <c r="G9871"/>
    </row>
    <row r="9872" spans="7:7">
      <c r="G9872"/>
    </row>
    <row r="9873" spans="7:7">
      <c r="G9873"/>
    </row>
    <row r="9874" spans="7:7">
      <c r="G9874"/>
    </row>
    <row r="9875" spans="7:7">
      <c r="G9875"/>
    </row>
    <row r="9876" spans="7:7">
      <c r="G9876"/>
    </row>
    <row r="9877" spans="7:7">
      <c r="G9877"/>
    </row>
    <row r="9878" spans="7:7">
      <c r="G9878"/>
    </row>
    <row r="9879" spans="7:7">
      <c r="G9879"/>
    </row>
    <row r="9880" spans="7:7">
      <c r="G9880"/>
    </row>
    <row r="9881" spans="7:7">
      <c r="G9881"/>
    </row>
    <row r="9882" spans="7:7">
      <c r="G9882"/>
    </row>
    <row r="9883" spans="7:7">
      <c r="G9883"/>
    </row>
    <row r="9884" spans="7:7">
      <c r="G9884"/>
    </row>
    <row r="9885" spans="7:7">
      <c r="G9885"/>
    </row>
    <row r="9886" spans="7:7">
      <c r="G9886"/>
    </row>
    <row r="9887" spans="7:7">
      <c r="G9887"/>
    </row>
    <row r="9888" spans="7:7">
      <c r="G9888"/>
    </row>
    <row r="9889" spans="7:7">
      <c r="G9889"/>
    </row>
    <row r="9890" spans="7:7">
      <c r="G9890"/>
    </row>
    <row r="9891" spans="7:7">
      <c r="G9891"/>
    </row>
    <row r="9892" spans="7:7">
      <c r="G9892"/>
    </row>
    <row r="9893" spans="7:7">
      <c r="G9893"/>
    </row>
    <row r="9894" spans="7:7">
      <c r="G9894"/>
    </row>
    <row r="9895" spans="7:7">
      <c r="G9895"/>
    </row>
    <row r="9896" spans="7:7">
      <c r="G9896"/>
    </row>
    <row r="9897" spans="7:7">
      <c r="G9897"/>
    </row>
    <row r="9898" spans="7:7">
      <c r="G9898"/>
    </row>
    <row r="9899" spans="7:7">
      <c r="G9899"/>
    </row>
    <row r="9900" spans="7:7">
      <c r="G9900"/>
    </row>
    <row r="9901" spans="7:7">
      <c r="G9901"/>
    </row>
    <row r="9902" spans="7:7">
      <c r="G9902"/>
    </row>
    <row r="9903" spans="7:7">
      <c r="G9903"/>
    </row>
    <row r="9904" spans="7:7">
      <c r="G9904"/>
    </row>
    <row r="9905" spans="7:7">
      <c r="G9905"/>
    </row>
    <row r="9906" spans="7:7">
      <c r="G9906"/>
    </row>
    <row r="9907" spans="7:7">
      <c r="G9907"/>
    </row>
    <row r="9908" spans="7:7">
      <c r="G9908"/>
    </row>
    <row r="9909" spans="7:7">
      <c r="G9909"/>
    </row>
    <row r="9910" spans="7:7">
      <c r="G9910"/>
    </row>
    <row r="9911" spans="7:7">
      <c r="G9911"/>
    </row>
    <row r="9912" spans="7:7">
      <c r="G9912"/>
    </row>
    <row r="9913" spans="7:7">
      <c r="G9913"/>
    </row>
    <row r="9914" spans="7:7">
      <c r="G9914"/>
    </row>
    <row r="9915" spans="7:7">
      <c r="G9915"/>
    </row>
    <row r="9916" spans="7:7">
      <c r="G9916"/>
    </row>
    <row r="9917" spans="7:7">
      <c r="G9917"/>
    </row>
    <row r="9918" spans="7:7">
      <c r="G9918"/>
    </row>
    <row r="9919" spans="7:7">
      <c r="G9919"/>
    </row>
    <row r="9920" spans="7:7">
      <c r="G9920"/>
    </row>
    <row r="9921" spans="7:7">
      <c r="G9921"/>
    </row>
    <row r="9922" spans="7:7">
      <c r="G9922"/>
    </row>
    <row r="9923" spans="7:7">
      <c r="G9923"/>
    </row>
    <row r="9924" spans="7:7">
      <c r="G9924"/>
    </row>
    <row r="9925" spans="7:7">
      <c r="G9925"/>
    </row>
    <row r="9926" spans="7:7">
      <c r="G9926"/>
    </row>
    <row r="9927" spans="7:7">
      <c r="G9927"/>
    </row>
    <row r="9928" spans="7:7">
      <c r="G9928"/>
    </row>
    <row r="9929" spans="7:7">
      <c r="G9929"/>
    </row>
    <row r="9930" spans="7:7">
      <c r="G9930"/>
    </row>
    <row r="9931" spans="7:7">
      <c r="G9931"/>
    </row>
    <row r="9932" spans="7:7">
      <c r="G9932"/>
    </row>
    <row r="9933" spans="7:7">
      <c r="G9933"/>
    </row>
    <row r="9934" spans="7:7">
      <c r="G9934"/>
    </row>
    <row r="9935" spans="7:7">
      <c r="G9935"/>
    </row>
    <row r="9936" spans="7:7">
      <c r="G9936"/>
    </row>
    <row r="9937" spans="7:7">
      <c r="G9937"/>
    </row>
    <row r="9938" spans="7:7">
      <c r="G9938"/>
    </row>
    <row r="9939" spans="7:7">
      <c r="G9939"/>
    </row>
    <row r="9940" spans="7:7">
      <c r="G9940"/>
    </row>
    <row r="9941" spans="7:7">
      <c r="G9941"/>
    </row>
    <row r="9942" spans="7:7">
      <c r="G9942"/>
    </row>
    <row r="9943" spans="7:7">
      <c r="G9943"/>
    </row>
    <row r="9944" spans="7:7">
      <c r="G9944"/>
    </row>
    <row r="9945" spans="7:7">
      <c r="G9945"/>
    </row>
    <row r="9946" spans="7:7">
      <c r="G9946"/>
    </row>
    <row r="9947" spans="7:7">
      <c r="G9947"/>
    </row>
    <row r="9948" spans="7:7">
      <c r="G9948"/>
    </row>
    <row r="9949" spans="7:7">
      <c r="G9949"/>
    </row>
    <row r="9950" spans="7:7">
      <c r="G9950"/>
    </row>
    <row r="9951" spans="7:7">
      <c r="G9951"/>
    </row>
    <row r="9952" spans="7:7">
      <c r="G9952"/>
    </row>
    <row r="9953" spans="7:7">
      <c r="G9953"/>
    </row>
    <row r="9954" spans="7:7">
      <c r="G9954"/>
    </row>
    <row r="9955" spans="7:7">
      <c r="G9955"/>
    </row>
    <row r="9956" spans="7:7">
      <c r="G9956"/>
    </row>
    <row r="9957" spans="7:7">
      <c r="G9957"/>
    </row>
    <row r="9958" spans="7:7">
      <c r="G9958"/>
    </row>
    <row r="9959" spans="7:7">
      <c r="G9959"/>
    </row>
    <row r="9960" spans="7:7">
      <c r="G9960"/>
    </row>
    <row r="9961" spans="7:7">
      <c r="G9961"/>
    </row>
    <row r="9962" spans="7:7">
      <c r="G9962"/>
    </row>
    <row r="9963" spans="7:7">
      <c r="G9963"/>
    </row>
    <row r="9964" spans="7:7">
      <c r="G9964"/>
    </row>
    <row r="9965" spans="7:7">
      <c r="G9965"/>
    </row>
    <row r="9966" spans="7:7">
      <c r="G9966"/>
    </row>
    <row r="9967" spans="7:7">
      <c r="G9967"/>
    </row>
    <row r="9968" spans="7:7">
      <c r="G9968"/>
    </row>
    <row r="9969" spans="7:7">
      <c r="G9969"/>
    </row>
    <row r="9970" spans="7:7">
      <c r="G9970"/>
    </row>
    <row r="9971" spans="7:7">
      <c r="G9971"/>
    </row>
    <row r="9972" spans="7:7">
      <c r="G9972"/>
    </row>
    <row r="9973" spans="7:7">
      <c r="G9973"/>
    </row>
    <row r="9974" spans="7:7">
      <c r="G9974"/>
    </row>
    <row r="9975" spans="7:7">
      <c r="G9975"/>
    </row>
    <row r="9976" spans="7:7">
      <c r="G9976"/>
    </row>
    <row r="9977" spans="7:7">
      <c r="G9977"/>
    </row>
    <row r="9978" spans="7:7">
      <c r="G9978"/>
    </row>
    <row r="9979" spans="7:7">
      <c r="G9979"/>
    </row>
    <row r="9980" spans="7:7">
      <c r="G9980"/>
    </row>
    <row r="9981" spans="7:7">
      <c r="G9981"/>
    </row>
    <row r="9982" spans="7:7">
      <c r="G9982"/>
    </row>
    <row r="9983" spans="7:7">
      <c r="G9983"/>
    </row>
    <row r="9984" spans="7:7">
      <c r="G9984"/>
    </row>
    <row r="9985" spans="7:7">
      <c r="G9985"/>
    </row>
    <row r="9986" spans="7:7">
      <c r="G9986"/>
    </row>
    <row r="9987" spans="7:7">
      <c r="G9987"/>
    </row>
    <row r="9988" spans="7:7">
      <c r="G9988"/>
    </row>
    <row r="9989" spans="7:7">
      <c r="G9989"/>
    </row>
    <row r="9990" spans="7:7">
      <c r="G9990"/>
    </row>
    <row r="9991" spans="7:7">
      <c r="G9991"/>
    </row>
    <row r="9992" spans="7:7">
      <c r="G9992"/>
    </row>
    <row r="9993" spans="7:7">
      <c r="G9993"/>
    </row>
    <row r="9994" spans="7:7">
      <c r="G9994"/>
    </row>
    <row r="9995" spans="7:7">
      <c r="G9995"/>
    </row>
    <row r="9996" spans="7:7">
      <c r="G9996"/>
    </row>
    <row r="9997" spans="7:7">
      <c r="G9997"/>
    </row>
    <row r="9998" spans="7:7">
      <c r="G9998"/>
    </row>
    <row r="9999" spans="7:7">
      <c r="G9999"/>
    </row>
    <row r="10000" spans="7:7">
      <c r="G10000"/>
    </row>
    <row r="10001" spans="7:7">
      <c r="G10001"/>
    </row>
    <row r="10002" spans="7:7">
      <c r="G10002"/>
    </row>
    <row r="10003" spans="7:7">
      <c r="G10003"/>
    </row>
    <row r="10004" spans="7:7">
      <c r="G10004"/>
    </row>
    <row r="10005" spans="7:7">
      <c r="G10005"/>
    </row>
    <row r="10006" spans="7:7">
      <c r="G10006"/>
    </row>
    <row r="10007" spans="7:7">
      <c r="G10007"/>
    </row>
    <row r="10008" spans="7:7">
      <c r="G10008"/>
    </row>
    <row r="10009" spans="7:7">
      <c r="G10009"/>
    </row>
    <row r="10010" spans="7:7">
      <c r="G10010"/>
    </row>
    <row r="10011" spans="7:7">
      <c r="G10011"/>
    </row>
    <row r="10012" spans="7:7">
      <c r="G10012"/>
    </row>
    <row r="10013" spans="7:7">
      <c r="G10013"/>
    </row>
    <row r="10014" spans="7:7">
      <c r="G10014"/>
    </row>
    <row r="10015" spans="7:7">
      <c r="G10015"/>
    </row>
    <row r="10016" spans="7:7">
      <c r="G10016"/>
    </row>
    <row r="10017" spans="7:7">
      <c r="G10017"/>
    </row>
    <row r="10018" spans="7:7">
      <c r="G10018"/>
    </row>
    <row r="10019" spans="7:7">
      <c r="G10019"/>
    </row>
    <row r="10020" spans="7:7">
      <c r="G10020"/>
    </row>
    <row r="10021" spans="7:7">
      <c r="G10021"/>
    </row>
    <row r="10022" spans="7:7">
      <c r="G10022"/>
    </row>
    <row r="10023" spans="7:7">
      <c r="G10023"/>
    </row>
    <row r="10024" spans="7:7">
      <c r="G10024"/>
    </row>
    <row r="10025" spans="7:7">
      <c r="G10025"/>
    </row>
    <row r="10026" spans="7:7">
      <c r="G10026"/>
    </row>
    <row r="10027" spans="7:7">
      <c r="G10027"/>
    </row>
    <row r="10028" spans="7:7">
      <c r="G10028"/>
    </row>
    <row r="10029" spans="7:7">
      <c r="G10029"/>
    </row>
    <row r="10030" spans="7:7">
      <c r="G10030"/>
    </row>
    <row r="10031" spans="7:7">
      <c r="G10031"/>
    </row>
    <row r="10032" spans="7:7">
      <c r="G10032"/>
    </row>
    <row r="10033" spans="7:7">
      <c r="G10033"/>
    </row>
    <row r="10034" spans="7:7">
      <c r="G10034"/>
    </row>
    <row r="10035" spans="7:7">
      <c r="G10035"/>
    </row>
    <row r="10036" spans="7:7">
      <c r="G10036"/>
    </row>
    <row r="10037" spans="7:7">
      <c r="G10037"/>
    </row>
    <row r="10038" spans="7:7">
      <c r="G10038"/>
    </row>
    <row r="10039" spans="7:7">
      <c r="G10039"/>
    </row>
    <row r="10040" spans="7:7">
      <c r="G10040"/>
    </row>
    <row r="10041" spans="7:7">
      <c r="G10041"/>
    </row>
    <row r="10042" spans="7:7">
      <c r="G10042"/>
    </row>
    <row r="10043" spans="7:7">
      <c r="G10043"/>
    </row>
    <row r="10044" spans="7:7">
      <c r="G10044"/>
    </row>
    <row r="10045" spans="7:7">
      <c r="G10045"/>
    </row>
    <row r="10046" spans="7:7">
      <c r="G10046"/>
    </row>
    <row r="10047" spans="7:7">
      <c r="G10047"/>
    </row>
    <row r="10048" spans="7:7">
      <c r="G10048"/>
    </row>
    <row r="10049" spans="7:7">
      <c r="G10049"/>
    </row>
    <row r="10050" spans="7:7">
      <c r="G10050"/>
    </row>
    <row r="10051" spans="7:7">
      <c r="G10051"/>
    </row>
    <row r="10052" spans="7:7">
      <c r="G10052"/>
    </row>
    <row r="10053" spans="7:7">
      <c r="G10053"/>
    </row>
    <row r="10054" spans="7:7">
      <c r="G10054"/>
    </row>
    <row r="10055" spans="7:7">
      <c r="G10055"/>
    </row>
    <row r="10056" spans="7:7">
      <c r="G10056"/>
    </row>
    <row r="10057" spans="7:7">
      <c r="G10057"/>
    </row>
    <row r="10058" spans="7:7">
      <c r="G10058"/>
    </row>
    <row r="10059" spans="7:7">
      <c r="G10059"/>
    </row>
    <row r="10060" spans="7:7">
      <c r="G10060"/>
    </row>
    <row r="10061" spans="7:7">
      <c r="G10061"/>
    </row>
    <row r="10062" spans="7:7">
      <c r="G10062"/>
    </row>
    <row r="10063" spans="7:7">
      <c r="G10063"/>
    </row>
    <row r="10064" spans="7:7">
      <c r="G10064"/>
    </row>
    <row r="10065" spans="7:7">
      <c r="G10065"/>
    </row>
    <row r="10066" spans="7:7">
      <c r="G10066"/>
    </row>
    <row r="10067" spans="7:7">
      <c r="G10067"/>
    </row>
    <row r="10068" spans="7:7">
      <c r="G10068"/>
    </row>
    <row r="10069" spans="7:7">
      <c r="G10069"/>
    </row>
    <row r="10070" spans="7:7">
      <c r="G10070"/>
    </row>
    <row r="10071" spans="7:7">
      <c r="G10071"/>
    </row>
    <row r="10072" spans="7:7">
      <c r="G10072"/>
    </row>
    <row r="10073" spans="7:7">
      <c r="G10073"/>
    </row>
    <row r="10074" spans="7:7">
      <c r="G10074"/>
    </row>
    <row r="10075" spans="7:7">
      <c r="G10075"/>
    </row>
    <row r="10076" spans="7:7">
      <c r="G10076"/>
    </row>
    <row r="10077" spans="7:7">
      <c r="G10077"/>
    </row>
    <row r="10078" spans="7:7">
      <c r="G10078"/>
    </row>
    <row r="10079" spans="7:7">
      <c r="G10079"/>
    </row>
    <row r="10080" spans="7:7">
      <c r="G10080"/>
    </row>
    <row r="10081" spans="7:7">
      <c r="G10081"/>
    </row>
    <row r="10082" spans="7:7">
      <c r="G10082"/>
    </row>
    <row r="10083" spans="7:7">
      <c r="G10083"/>
    </row>
    <row r="10084" spans="7:7">
      <c r="G10084"/>
    </row>
    <row r="10085" spans="7:7">
      <c r="G10085"/>
    </row>
    <row r="10086" spans="7:7">
      <c r="G10086"/>
    </row>
    <row r="10087" spans="7:7">
      <c r="G10087"/>
    </row>
    <row r="10088" spans="7:7">
      <c r="G10088"/>
    </row>
    <row r="10089" spans="7:7">
      <c r="G10089"/>
    </row>
    <row r="10090" spans="7:7">
      <c r="G10090"/>
    </row>
    <row r="10091" spans="7:7">
      <c r="G10091"/>
    </row>
    <row r="10092" spans="7:7">
      <c r="G10092"/>
    </row>
    <row r="10093" spans="7:7">
      <c r="G10093"/>
    </row>
    <row r="10094" spans="7:7">
      <c r="G10094"/>
    </row>
    <row r="10095" spans="7:7">
      <c r="G10095"/>
    </row>
    <row r="10096" spans="7:7">
      <c r="G10096"/>
    </row>
    <row r="10097" spans="7:7">
      <c r="G10097"/>
    </row>
    <row r="10098" spans="7:7">
      <c r="G10098"/>
    </row>
    <row r="10099" spans="7:7">
      <c r="G10099"/>
    </row>
    <row r="10100" spans="7:7">
      <c r="G10100"/>
    </row>
    <row r="10101" spans="7:7">
      <c r="G10101"/>
    </row>
    <row r="10102" spans="7:7">
      <c r="G10102"/>
    </row>
    <row r="10103" spans="7:7">
      <c r="G10103"/>
    </row>
    <row r="10104" spans="7:7">
      <c r="G10104"/>
    </row>
    <row r="10105" spans="7:7">
      <c r="G10105"/>
    </row>
    <row r="10106" spans="7:7">
      <c r="G10106"/>
    </row>
    <row r="10107" spans="7:7">
      <c r="G10107"/>
    </row>
    <row r="10108" spans="7:7">
      <c r="G10108"/>
    </row>
    <row r="10109" spans="7:7">
      <c r="G10109"/>
    </row>
    <row r="10110" spans="7:7">
      <c r="G10110"/>
    </row>
    <row r="10111" spans="7:7">
      <c r="G10111"/>
    </row>
    <row r="10112" spans="7:7">
      <c r="G10112"/>
    </row>
    <row r="10113" spans="7:7">
      <c r="G10113"/>
    </row>
    <row r="10114" spans="7:7">
      <c r="G10114"/>
    </row>
    <row r="10115" spans="7:7">
      <c r="G10115"/>
    </row>
    <row r="10116" spans="7:7">
      <c r="G10116"/>
    </row>
    <row r="10117" spans="7:7">
      <c r="G10117"/>
    </row>
    <row r="10118" spans="7:7">
      <c r="G10118"/>
    </row>
    <row r="10119" spans="7:7">
      <c r="G10119"/>
    </row>
    <row r="10120" spans="7:7">
      <c r="G10120"/>
    </row>
    <row r="10121" spans="7:7">
      <c r="G10121"/>
    </row>
    <row r="10122" spans="7:7">
      <c r="G10122"/>
    </row>
    <row r="10123" spans="7:7">
      <c r="G10123"/>
    </row>
    <row r="10124" spans="7:7">
      <c r="G10124"/>
    </row>
    <row r="10125" spans="7:7">
      <c r="G10125"/>
    </row>
    <row r="10126" spans="7:7">
      <c r="G10126"/>
    </row>
    <row r="10127" spans="7:7">
      <c r="G10127"/>
    </row>
    <row r="10128" spans="7:7">
      <c r="G10128"/>
    </row>
    <row r="10129" spans="7:7">
      <c r="G10129"/>
    </row>
    <row r="10130" spans="7:7">
      <c r="G10130"/>
    </row>
    <row r="10131" spans="7:7">
      <c r="G10131"/>
    </row>
    <row r="10132" spans="7:7">
      <c r="G10132"/>
    </row>
    <row r="10133" spans="7:7">
      <c r="G10133"/>
    </row>
    <row r="10134" spans="7:7">
      <c r="G10134"/>
    </row>
    <row r="10135" spans="7:7">
      <c r="G10135"/>
    </row>
    <row r="10136" spans="7:7">
      <c r="G10136"/>
    </row>
    <row r="10137" spans="7:7">
      <c r="G10137"/>
    </row>
    <row r="10138" spans="7:7">
      <c r="G10138"/>
    </row>
    <row r="10139" spans="7:7">
      <c r="G10139"/>
    </row>
    <row r="10140" spans="7:7">
      <c r="G10140"/>
    </row>
    <row r="10141" spans="7:7">
      <c r="G10141"/>
    </row>
    <row r="10142" spans="7:7">
      <c r="G10142"/>
    </row>
    <row r="10143" spans="7:7">
      <c r="G10143"/>
    </row>
    <row r="10144" spans="7:7">
      <c r="G10144"/>
    </row>
    <row r="10145" spans="7:7">
      <c r="G10145"/>
    </row>
    <row r="10146" spans="7:7">
      <c r="G10146"/>
    </row>
    <row r="10147" spans="7:7">
      <c r="G10147"/>
    </row>
    <row r="10148" spans="7:7">
      <c r="G10148"/>
    </row>
    <row r="10149" spans="7:7">
      <c r="G10149"/>
    </row>
    <row r="10150" spans="7:7">
      <c r="G10150"/>
    </row>
    <row r="10151" spans="7:7">
      <c r="G10151"/>
    </row>
    <row r="10152" spans="7:7">
      <c r="G10152"/>
    </row>
    <row r="10153" spans="7:7">
      <c r="G10153"/>
    </row>
    <row r="10154" spans="7:7">
      <c r="G10154"/>
    </row>
    <row r="10155" spans="7:7">
      <c r="G10155"/>
    </row>
    <row r="10156" spans="7:7">
      <c r="G10156"/>
    </row>
    <row r="10157" spans="7:7">
      <c r="G10157"/>
    </row>
    <row r="10158" spans="7:7">
      <c r="G10158"/>
    </row>
    <row r="10159" spans="7:7">
      <c r="G10159"/>
    </row>
    <row r="10160" spans="7:7">
      <c r="G10160"/>
    </row>
    <row r="10161" spans="7:7">
      <c r="G10161"/>
    </row>
    <row r="10162" spans="7:7">
      <c r="G10162"/>
    </row>
    <row r="10163" spans="7:7">
      <c r="G10163"/>
    </row>
    <row r="10164" spans="7:7">
      <c r="G10164"/>
    </row>
    <row r="10165" spans="7:7">
      <c r="G10165"/>
    </row>
    <row r="10166" spans="7:7">
      <c r="G10166"/>
    </row>
    <row r="10167" spans="7:7">
      <c r="G10167"/>
    </row>
    <row r="10168" spans="7:7">
      <c r="G10168"/>
    </row>
    <row r="10169" spans="7:7">
      <c r="G10169"/>
    </row>
    <row r="10170" spans="7:7">
      <c r="G10170"/>
    </row>
    <row r="10171" spans="7:7">
      <c r="G10171"/>
    </row>
    <row r="10172" spans="7:7">
      <c r="G10172"/>
    </row>
    <row r="10173" spans="7:7">
      <c r="G10173"/>
    </row>
    <row r="10174" spans="7:7">
      <c r="G10174"/>
    </row>
    <row r="10175" spans="7:7">
      <c r="G10175"/>
    </row>
    <row r="10176" spans="7:7">
      <c r="G10176"/>
    </row>
    <row r="10177" spans="7:7">
      <c r="G10177"/>
    </row>
    <row r="10178" spans="7:7">
      <c r="G10178"/>
    </row>
    <row r="10179" spans="7:7">
      <c r="G10179"/>
    </row>
    <row r="10180" spans="7:7">
      <c r="G10180"/>
    </row>
    <row r="10181" spans="7:7">
      <c r="G10181"/>
    </row>
    <row r="10182" spans="7:7">
      <c r="G10182"/>
    </row>
    <row r="10183" spans="7:7">
      <c r="G10183"/>
    </row>
    <row r="10184" spans="7:7">
      <c r="G10184"/>
    </row>
    <row r="10185" spans="7:7">
      <c r="G10185"/>
    </row>
    <row r="10186" spans="7:7">
      <c r="G10186"/>
    </row>
    <row r="10187" spans="7:7">
      <c r="G10187"/>
    </row>
    <row r="10188" spans="7:7">
      <c r="G10188"/>
    </row>
    <row r="10189" spans="7:7">
      <c r="G10189"/>
    </row>
    <row r="10190" spans="7:7">
      <c r="G10190"/>
    </row>
    <row r="10191" spans="7:7">
      <c r="G10191"/>
    </row>
    <row r="10192" spans="7:7">
      <c r="G10192"/>
    </row>
    <row r="10193" spans="7:7">
      <c r="G10193"/>
    </row>
    <row r="10194" spans="7:7">
      <c r="G10194"/>
    </row>
    <row r="10195" spans="7:7">
      <c r="G10195"/>
    </row>
    <row r="10196" spans="7:7">
      <c r="G10196"/>
    </row>
    <row r="10197" spans="7:7">
      <c r="G10197"/>
    </row>
    <row r="10198" spans="7:7">
      <c r="G10198"/>
    </row>
    <row r="10199" spans="7:7">
      <c r="G10199"/>
    </row>
    <row r="10200" spans="7:7">
      <c r="G10200"/>
    </row>
    <row r="10201" spans="7:7">
      <c r="G10201"/>
    </row>
    <row r="10202" spans="7:7">
      <c r="G10202"/>
    </row>
    <row r="10203" spans="7:7">
      <c r="G10203"/>
    </row>
    <row r="10204" spans="7:7">
      <c r="G10204"/>
    </row>
    <row r="10205" spans="7:7">
      <c r="G10205"/>
    </row>
    <row r="10206" spans="7:7">
      <c r="G10206"/>
    </row>
    <row r="10207" spans="7:7">
      <c r="G10207"/>
    </row>
    <row r="10208" spans="7:7">
      <c r="G10208"/>
    </row>
    <row r="10209" spans="7:7">
      <c r="G10209"/>
    </row>
    <row r="10210" spans="7:7">
      <c r="G10210"/>
    </row>
    <row r="10211" spans="7:7">
      <c r="G10211"/>
    </row>
    <row r="10212" spans="7:7">
      <c r="G10212"/>
    </row>
    <row r="10213" spans="7:7">
      <c r="G10213"/>
    </row>
    <row r="10214" spans="7:7">
      <c r="G10214"/>
    </row>
    <row r="10215" spans="7:7">
      <c r="G10215"/>
    </row>
    <row r="10216" spans="7:7">
      <c r="G10216"/>
    </row>
    <row r="10217" spans="7:7">
      <c r="G10217"/>
    </row>
    <row r="10218" spans="7:7">
      <c r="G10218"/>
    </row>
    <row r="10219" spans="7:7">
      <c r="G10219"/>
    </row>
    <row r="10220" spans="7:7">
      <c r="G10220"/>
    </row>
    <row r="10221" spans="7:7">
      <c r="G10221"/>
    </row>
    <row r="10222" spans="7:7">
      <c r="G10222"/>
    </row>
    <row r="10223" spans="7:7">
      <c r="G10223"/>
    </row>
    <row r="10224" spans="7:7">
      <c r="G10224"/>
    </row>
    <row r="10225" spans="7:7">
      <c r="G10225"/>
    </row>
    <row r="10226" spans="7:7">
      <c r="G10226"/>
    </row>
    <row r="10227" spans="7:7">
      <c r="G10227"/>
    </row>
    <row r="10228" spans="7:7">
      <c r="G10228"/>
    </row>
    <row r="10229" spans="7:7">
      <c r="G10229"/>
    </row>
    <row r="10230" spans="7:7">
      <c r="G10230"/>
    </row>
    <row r="10231" spans="7:7">
      <c r="G10231"/>
    </row>
    <row r="10232" spans="7:7">
      <c r="G10232"/>
    </row>
    <row r="10233" spans="7:7">
      <c r="G10233"/>
    </row>
    <row r="10234" spans="7:7">
      <c r="G10234"/>
    </row>
    <row r="10235" spans="7:7">
      <c r="G10235"/>
    </row>
    <row r="10236" spans="7:7">
      <c r="G10236"/>
    </row>
    <row r="10237" spans="7:7">
      <c r="G10237"/>
    </row>
    <row r="10238" spans="7:7">
      <c r="G10238"/>
    </row>
    <row r="10239" spans="7:7">
      <c r="G10239"/>
    </row>
    <row r="10240" spans="7:7">
      <c r="G10240"/>
    </row>
    <row r="10241" spans="7:7">
      <c r="G10241"/>
    </row>
    <row r="10242" spans="7:7">
      <c r="G10242"/>
    </row>
    <row r="10243" spans="7:7">
      <c r="G10243"/>
    </row>
    <row r="10244" spans="7:7">
      <c r="G10244"/>
    </row>
    <row r="10245" spans="7:7">
      <c r="G10245"/>
    </row>
    <row r="10246" spans="7:7">
      <c r="G10246"/>
    </row>
    <row r="10247" spans="7:7">
      <c r="G10247"/>
    </row>
    <row r="10248" spans="7:7">
      <c r="G10248"/>
    </row>
    <row r="10249" spans="7:7">
      <c r="G10249"/>
    </row>
    <row r="10250" spans="7:7">
      <c r="G10250"/>
    </row>
    <row r="10251" spans="7:7">
      <c r="G10251"/>
    </row>
    <row r="10252" spans="7:7">
      <c r="G10252"/>
    </row>
    <row r="10253" spans="7:7">
      <c r="G10253"/>
    </row>
    <row r="10254" spans="7:7">
      <c r="G10254"/>
    </row>
    <row r="10255" spans="7:7">
      <c r="G10255"/>
    </row>
    <row r="10256" spans="7:7">
      <c r="G10256"/>
    </row>
    <row r="10257" spans="7:7">
      <c r="G10257"/>
    </row>
    <row r="10258" spans="7:7">
      <c r="G10258"/>
    </row>
    <row r="10259" spans="7:7">
      <c r="G10259"/>
    </row>
    <row r="10260" spans="7:7">
      <c r="G10260"/>
    </row>
    <row r="10261" spans="7:7">
      <c r="G10261"/>
    </row>
    <row r="10262" spans="7:7">
      <c r="G10262"/>
    </row>
    <row r="10263" spans="7:7">
      <c r="G10263"/>
    </row>
    <row r="10264" spans="7:7">
      <c r="G10264"/>
    </row>
    <row r="10265" spans="7:7">
      <c r="G10265"/>
    </row>
    <row r="10266" spans="7:7">
      <c r="G10266"/>
    </row>
    <row r="10267" spans="7:7">
      <c r="G10267"/>
    </row>
    <row r="10268" spans="7:7">
      <c r="G10268"/>
    </row>
    <row r="10269" spans="7:7">
      <c r="G10269"/>
    </row>
    <row r="10270" spans="7:7">
      <c r="G10270"/>
    </row>
    <row r="10271" spans="7:7">
      <c r="G10271"/>
    </row>
    <row r="10272" spans="7:7">
      <c r="G10272"/>
    </row>
    <row r="10273" spans="7:7">
      <c r="G10273"/>
    </row>
    <row r="10274" spans="7:7">
      <c r="G10274"/>
    </row>
    <row r="10275" spans="7:7">
      <c r="G10275"/>
    </row>
    <row r="10276" spans="7:7">
      <c r="G10276"/>
    </row>
    <row r="10277" spans="7:7">
      <c r="G10277"/>
    </row>
    <row r="10278" spans="7:7">
      <c r="G10278"/>
    </row>
    <row r="10279" spans="7:7">
      <c r="G10279"/>
    </row>
    <row r="10280" spans="7:7">
      <c r="G10280"/>
    </row>
    <row r="10281" spans="7:7">
      <c r="G10281"/>
    </row>
    <row r="10282" spans="7:7">
      <c r="G10282"/>
    </row>
    <row r="10283" spans="7:7">
      <c r="G10283"/>
    </row>
    <row r="10284" spans="7:7">
      <c r="G10284"/>
    </row>
    <row r="10285" spans="7:7">
      <c r="G10285"/>
    </row>
    <row r="10286" spans="7:7">
      <c r="G10286"/>
    </row>
    <row r="10287" spans="7:7">
      <c r="G10287"/>
    </row>
    <row r="10288" spans="7:7">
      <c r="G10288"/>
    </row>
    <row r="10289" spans="7:7">
      <c r="G10289"/>
    </row>
    <row r="10290" spans="7:7">
      <c r="G10290"/>
    </row>
    <row r="10291" spans="7:7">
      <c r="G10291"/>
    </row>
    <row r="10292" spans="7:7">
      <c r="G10292"/>
    </row>
    <row r="10293" spans="7:7">
      <c r="G10293"/>
    </row>
    <row r="10294" spans="7:7">
      <c r="G10294"/>
    </row>
    <row r="10295" spans="7:7">
      <c r="G10295"/>
    </row>
    <row r="10296" spans="7:7">
      <c r="G10296"/>
    </row>
    <row r="10297" spans="7:7">
      <c r="G10297"/>
    </row>
    <row r="10298" spans="7:7">
      <c r="G10298"/>
    </row>
    <row r="10299" spans="7:7">
      <c r="G10299"/>
    </row>
    <row r="10300" spans="7:7">
      <c r="G10300"/>
    </row>
    <row r="10301" spans="7:7">
      <c r="G10301"/>
    </row>
    <row r="10302" spans="7:7">
      <c r="G10302"/>
    </row>
    <row r="10303" spans="7:7">
      <c r="G10303"/>
    </row>
    <row r="10304" spans="7:7">
      <c r="G10304"/>
    </row>
    <row r="10305" spans="7:7">
      <c r="G10305"/>
    </row>
    <row r="10306" spans="7:7">
      <c r="G10306"/>
    </row>
    <row r="10307" spans="7:7">
      <c r="G10307"/>
    </row>
    <row r="10308" spans="7:7">
      <c r="G10308"/>
    </row>
    <row r="10309" spans="7:7">
      <c r="G10309"/>
    </row>
    <row r="10310" spans="7:7">
      <c r="G10310"/>
    </row>
    <row r="10311" spans="7:7">
      <c r="G10311"/>
    </row>
    <row r="10312" spans="7:7">
      <c r="G10312"/>
    </row>
    <row r="10313" spans="7:7">
      <c r="G10313"/>
    </row>
    <row r="10314" spans="7:7">
      <c r="G10314"/>
    </row>
    <row r="10315" spans="7:7">
      <c r="G10315"/>
    </row>
    <row r="10316" spans="7:7">
      <c r="G10316"/>
    </row>
    <row r="10317" spans="7:7">
      <c r="G10317"/>
    </row>
    <row r="10318" spans="7:7">
      <c r="G10318"/>
    </row>
    <row r="10319" spans="7:7">
      <c r="G10319"/>
    </row>
    <row r="10320" spans="7:7">
      <c r="G10320"/>
    </row>
    <row r="10321" spans="7:7">
      <c r="G10321"/>
    </row>
    <row r="10322" spans="7:7">
      <c r="G10322"/>
    </row>
    <row r="10323" spans="7:7">
      <c r="G10323"/>
    </row>
    <row r="10324" spans="7:7">
      <c r="G10324"/>
    </row>
    <row r="10325" spans="7:7">
      <c r="G10325"/>
    </row>
    <row r="10326" spans="7:7">
      <c r="G10326"/>
    </row>
    <row r="10327" spans="7:7">
      <c r="G10327"/>
    </row>
    <row r="10328" spans="7:7">
      <c r="G10328"/>
    </row>
    <row r="10329" spans="7:7">
      <c r="G10329"/>
    </row>
    <row r="10330" spans="7:7">
      <c r="G10330"/>
    </row>
    <row r="10331" spans="7:7">
      <c r="G10331"/>
    </row>
    <row r="10332" spans="7:7">
      <c r="G10332"/>
    </row>
    <row r="10333" spans="7:7">
      <c r="G10333"/>
    </row>
    <row r="10334" spans="7:7">
      <c r="G10334"/>
    </row>
    <row r="10335" spans="7:7">
      <c r="G10335"/>
    </row>
    <row r="10336" spans="7:7">
      <c r="G10336"/>
    </row>
    <row r="10337" spans="7:7">
      <c r="G10337"/>
    </row>
    <row r="10338" spans="7:7">
      <c r="G10338"/>
    </row>
    <row r="10339" spans="7:7">
      <c r="G10339"/>
    </row>
    <row r="10340" spans="7:7">
      <c r="G10340"/>
    </row>
    <row r="10341" spans="7:7">
      <c r="G10341"/>
    </row>
    <row r="10342" spans="7:7">
      <c r="G10342"/>
    </row>
    <row r="10343" spans="7:7">
      <c r="G10343"/>
    </row>
    <row r="10344" spans="7:7">
      <c r="G10344"/>
    </row>
    <row r="10345" spans="7:7">
      <c r="G10345"/>
    </row>
    <row r="10346" spans="7:7">
      <c r="G10346"/>
    </row>
    <row r="10347" spans="7:7">
      <c r="G10347"/>
    </row>
    <row r="10348" spans="7:7">
      <c r="G10348"/>
    </row>
    <row r="10349" spans="7:7">
      <c r="G10349"/>
    </row>
    <row r="10350" spans="7:7">
      <c r="G10350"/>
    </row>
    <row r="10351" spans="7:7">
      <c r="G10351"/>
    </row>
    <row r="10352" spans="7:7">
      <c r="G10352"/>
    </row>
    <row r="10353" spans="7:7">
      <c r="G10353"/>
    </row>
    <row r="10354" spans="7:7">
      <c r="G10354"/>
    </row>
    <row r="10355" spans="7:7">
      <c r="G10355"/>
    </row>
    <row r="10356" spans="7:7">
      <c r="G10356"/>
    </row>
    <row r="10357" spans="7:7">
      <c r="G10357"/>
    </row>
    <row r="10358" spans="7:7">
      <c r="G10358"/>
    </row>
    <row r="10359" spans="7:7">
      <c r="G10359"/>
    </row>
    <row r="10360" spans="7:7">
      <c r="G10360"/>
    </row>
    <row r="10361" spans="7:7">
      <c r="G10361"/>
    </row>
    <row r="10362" spans="7:7">
      <c r="G10362"/>
    </row>
    <row r="10363" spans="7:7">
      <c r="G10363"/>
    </row>
    <row r="10364" spans="7:7">
      <c r="G10364"/>
    </row>
    <row r="10365" spans="7:7">
      <c r="G10365"/>
    </row>
    <row r="10366" spans="7:7">
      <c r="G10366"/>
    </row>
    <row r="10367" spans="7:7">
      <c r="G10367"/>
    </row>
    <row r="10368" spans="7:7">
      <c r="G10368"/>
    </row>
    <row r="10369" spans="7:7">
      <c r="G10369"/>
    </row>
    <row r="10370" spans="7:7">
      <c r="G10370"/>
    </row>
    <row r="10371" spans="7:7">
      <c r="G10371"/>
    </row>
    <row r="10372" spans="7:7">
      <c r="G10372"/>
    </row>
    <row r="10373" spans="7:7">
      <c r="G10373"/>
    </row>
    <row r="10374" spans="7:7">
      <c r="G10374"/>
    </row>
    <row r="10375" spans="7:7">
      <c r="G10375"/>
    </row>
    <row r="10376" spans="7:7">
      <c r="G10376"/>
    </row>
    <row r="10377" spans="7:7">
      <c r="G10377"/>
    </row>
    <row r="10378" spans="7:7">
      <c r="G10378"/>
    </row>
    <row r="10379" spans="7:7">
      <c r="G10379"/>
    </row>
    <row r="10380" spans="7:7">
      <c r="G10380"/>
    </row>
    <row r="10381" spans="7:7">
      <c r="G10381"/>
    </row>
    <row r="10382" spans="7:7">
      <c r="G10382"/>
    </row>
    <row r="10383" spans="7:7">
      <c r="G10383"/>
    </row>
    <row r="10384" spans="7:7">
      <c r="G10384"/>
    </row>
    <row r="10385" spans="7:7">
      <c r="G10385"/>
    </row>
    <row r="10386" spans="7:7">
      <c r="G10386"/>
    </row>
    <row r="10387" spans="7:7">
      <c r="G10387"/>
    </row>
    <row r="10388" spans="7:7">
      <c r="G10388"/>
    </row>
    <row r="10389" spans="7:7">
      <c r="G10389"/>
    </row>
    <row r="10390" spans="7:7">
      <c r="G10390"/>
    </row>
    <row r="10391" spans="7:7">
      <c r="G10391"/>
    </row>
    <row r="10392" spans="7:7">
      <c r="G10392"/>
    </row>
    <row r="10393" spans="7:7">
      <c r="G10393"/>
    </row>
    <row r="10394" spans="7:7">
      <c r="G10394"/>
    </row>
    <row r="10395" spans="7:7">
      <c r="G10395"/>
    </row>
    <row r="10396" spans="7:7">
      <c r="G10396"/>
    </row>
    <row r="10397" spans="7:7">
      <c r="G10397"/>
    </row>
    <row r="10398" spans="7:7">
      <c r="G10398"/>
    </row>
    <row r="10399" spans="7:7">
      <c r="G10399"/>
    </row>
    <row r="10400" spans="7:7">
      <c r="G10400"/>
    </row>
    <row r="10401" spans="7:7">
      <c r="G10401"/>
    </row>
    <row r="10402" spans="7:7">
      <c r="G10402"/>
    </row>
    <row r="10403" spans="7:7">
      <c r="G10403"/>
    </row>
    <row r="10404" spans="7:7">
      <c r="G10404"/>
    </row>
    <row r="10405" spans="7:7">
      <c r="G10405"/>
    </row>
    <row r="10406" spans="7:7">
      <c r="G10406"/>
    </row>
    <row r="10407" spans="7:7">
      <c r="G10407"/>
    </row>
    <row r="10408" spans="7:7">
      <c r="G10408"/>
    </row>
    <row r="10409" spans="7:7">
      <c r="G10409"/>
    </row>
    <row r="10410" spans="7:7">
      <c r="G10410"/>
    </row>
    <row r="10411" spans="7:7">
      <c r="G10411"/>
    </row>
    <row r="10412" spans="7:7">
      <c r="G10412"/>
    </row>
    <row r="10413" spans="7:7">
      <c r="G10413"/>
    </row>
    <row r="10414" spans="7:7">
      <c r="G10414"/>
    </row>
    <row r="10415" spans="7:7">
      <c r="G10415"/>
    </row>
    <row r="10416" spans="7:7">
      <c r="G10416"/>
    </row>
    <row r="10417" spans="7:7">
      <c r="G10417"/>
    </row>
    <row r="10418" spans="7:7">
      <c r="G10418"/>
    </row>
    <row r="10419" spans="7:7">
      <c r="G10419"/>
    </row>
    <row r="10420" spans="7:7">
      <c r="G10420"/>
    </row>
    <row r="10421" spans="7:7">
      <c r="G10421"/>
    </row>
    <row r="10422" spans="7:7">
      <c r="G10422"/>
    </row>
    <row r="10423" spans="7:7">
      <c r="G10423"/>
    </row>
    <row r="10424" spans="7:7">
      <c r="G10424"/>
    </row>
    <row r="10425" spans="7:7">
      <c r="G10425"/>
    </row>
    <row r="10426" spans="7:7">
      <c r="G10426"/>
    </row>
    <row r="10427" spans="7:7">
      <c r="G10427"/>
    </row>
    <row r="10428" spans="7:7">
      <c r="G10428"/>
    </row>
    <row r="10429" spans="7:7">
      <c r="G10429"/>
    </row>
    <row r="10430" spans="7:7">
      <c r="G10430"/>
    </row>
    <row r="10431" spans="7:7">
      <c r="G10431"/>
    </row>
    <row r="10432" spans="7:7">
      <c r="G10432"/>
    </row>
    <row r="10433" spans="7:7">
      <c r="G10433"/>
    </row>
    <row r="10434" spans="7:7">
      <c r="G10434"/>
    </row>
    <row r="10435" spans="7:7">
      <c r="G10435"/>
    </row>
    <row r="10436" spans="7:7">
      <c r="G10436"/>
    </row>
    <row r="10437" spans="7:7">
      <c r="G10437"/>
    </row>
    <row r="10438" spans="7:7">
      <c r="G10438"/>
    </row>
    <row r="10439" spans="7:7">
      <c r="G10439"/>
    </row>
    <row r="10440" spans="7:7">
      <c r="G10440"/>
    </row>
    <row r="10441" spans="7:7">
      <c r="G10441"/>
    </row>
    <row r="10442" spans="7:7">
      <c r="G10442"/>
    </row>
    <row r="10443" spans="7:7">
      <c r="G10443"/>
    </row>
    <row r="10444" spans="7:7">
      <c r="G10444"/>
    </row>
    <row r="10445" spans="7:7">
      <c r="G10445"/>
    </row>
    <row r="10446" spans="7:7">
      <c r="G10446"/>
    </row>
    <row r="10447" spans="7:7">
      <c r="G10447"/>
    </row>
    <row r="10448" spans="7:7">
      <c r="G10448"/>
    </row>
    <row r="10449" spans="7:7">
      <c r="G10449"/>
    </row>
    <row r="10450" spans="7:7">
      <c r="G10450"/>
    </row>
    <row r="10451" spans="7:7">
      <c r="G10451"/>
    </row>
    <row r="10452" spans="7:7">
      <c r="G10452"/>
    </row>
    <row r="10453" spans="7:7">
      <c r="G10453"/>
    </row>
    <row r="10454" spans="7:7">
      <c r="G10454"/>
    </row>
    <row r="10455" spans="7:7">
      <c r="G10455"/>
    </row>
    <row r="10456" spans="7:7">
      <c r="G10456"/>
    </row>
    <row r="10457" spans="7:7">
      <c r="G10457"/>
    </row>
    <row r="10458" spans="7:7">
      <c r="G10458"/>
    </row>
    <row r="10459" spans="7:7">
      <c r="G10459"/>
    </row>
    <row r="10460" spans="7:7">
      <c r="G10460"/>
    </row>
    <row r="10461" spans="7:7">
      <c r="G10461"/>
    </row>
    <row r="10462" spans="7:7">
      <c r="G10462"/>
    </row>
    <row r="10463" spans="7:7">
      <c r="G10463"/>
    </row>
    <row r="10464" spans="7:7">
      <c r="G10464"/>
    </row>
    <row r="10465" spans="7:7">
      <c r="G10465"/>
    </row>
    <row r="10466" spans="7:7">
      <c r="G10466"/>
    </row>
    <row r="10467" spans="7:7">
      <c r="G10467"/>
    </row>
    <row r="10468" spans="7:7">
      <c r="G10468"/>
    </row>
    <row r="10469" spans="7:7">
      <c r="G10469"/>
    </row>
    <row r="10470" spans="7:7">
      <c r="G10470"/>
    </row>
    <row r="10471" spans="7:7">
      <c r="G10471"/>
    </row>
    <row r="10472" spans="7:7">
      <c r="G10472"/>
    </row>
    <row r="10473" spans="7:7">
      <c r="G10473"/>
    </row>
    <row r="10474" spans="7:7">
      <c r="G10474"/>
    </row>
    <row r="10475" spans="7:7">
      <c r="G10475"/>
    </row>
    <row r="10476" spans="7:7">
      <c r="G10476"/>
    </row>
    <row r="10477" spans="7:7">
      <c r="G10477"/>
    </row>
    <row r="10478" spans="7:7">
      <c r="G10478"/>
    </row>
    <row r="10479" spans="7:7">
      <c r="G10479"/>
    </row>
    <row r="10480" spans="7:7">
      <c r="G10480"/>
    </row>
    <row r="10481" spans="7:7">
      <c r="G10481"/>
    </row>
    <row r="10482" spans="7:7">
      <c r="G10482"/>
    </row>
    <row r="10483" spans="7:7">
      <c r="G10483"/>
    </row>
    <row r="10484" spans="7:7">
      <c r="G10484"/>
    </row>
    <row r="10485" spans="7:7">
      <c r="G10485"/>
    </row>
    <row r="10486" spans="7:7">
      <c r="G10486"/>
    </row>
    <row r="10487" spans="7:7">
      <c r="G10487"/>
    </row>
    <row r="10488" spans="7:7">
      <c r="G10488"/>
    </row>
    <row r="10489" spans="7:7">
      <c r="G10489"/>
    </row>
    <row r="10490" spans="7:7">
      <c r="G10490"/>
    </row>
    <row r="10491" spans="7:7">
      <c r="G10491"/>
    </row>
    <row r="10492" spans="7:7">
      <c r="G10492"/>
    </row>
    <row r="10493" spans="7:7">
      <c r="G10493"/>
    </row>
    <row r="10494" spans="7:7">
      <c r="G10494"/>
    </row>
    <row r="10495" spans="7:7">
      <c r="G10495"/>
    </row>
    <row r="10496" spans="7:7">
      <c r="G10496"/>
    </row>
    <row r="10497" spans="7:7">
      <c r="G10497"/>
    </row>
    <row r="10498" spans="7:7">
      <c r="G10498"/>
    </row>
    <row r="10499" spans="7:7">
      <c r="G10499"/>
    </row>
    <row r="10500" spans="7:7">
      <c r="G10500"/>
    </row>
    <row r="10501" spans="7:7">
      <c r="G10501"/>
    </row>
    <row r="10502" spans="7:7">
      <c r="G10502"/>
    </row>
    <row r="10503" spans="7:7">
      <c r="G10503"/>
    </row>
    <row r="10504" spans="7:7">
      <c r="G10504"/>
    </row>
    <row r="10505" spans="7:7">
      <c r="G10505"/>
    </row>
    <row r="10506" spans="7:7">
      <c r="G10506"/>
    </row>
    <row r="10507" spans="7:7">
      <c r="G10507"/>
    </row>
    <row r="10508" spans="7:7">
      <c r="G10508"/>
    </row>
    <row r="10509" spans="7:7">
      <c r="G10509"/>
    </row>
    <row r="10510" spans="7:7">
      <c r="G10510"/>
    </row>
    <row r="10511" spans="7:7">
      <c r="G10511"/>
    </row>
    <row r="10512" spans="7:7">
      <c r="G10512"/>
    </row>
    <row r="10513" spans="7:7">
      <c r="G10513"/>
    </row>
    <row r="10514" spans="7:7">
      <c r="G10514"/>
    </row>
    <row r="10515" spans="7:7">
      <c r="G10515"/>
    </row>
    <row r="10516" spans="7:7">
      <c r="G10516"/>
    </row>
    <row r="10517" spans="7:7">
      <c r="G10517"/>
    </row>
    <row r="10518" spans="7:7">
      <c r="G10518"/>
    </row>
    <row r="10519" spans="7:7">
      <c r="G10519"/>
    </row>
    <row r="10520" spans="7:7">
      <c r="G10520"/>
    </row>
    <row r="10521" spans="7:7">
      <c r="G10521"/>
    </row>
    <row r="10522" spans="7:7">
      <c r="G10522"/>
    </row>
    <row r="10523" spans="7:7">
      <c r="G10523"/>
    </row>
    <row r="10524" spans="7:7">
      <c r="G10524"/>
    </row>
    <row r="10525" spans="7:7">
      <c r="G10525"/>
    </row>
    <row r="10526" spans="7:7">
      <c r="G10526"/>
    </row>
    <row r="10527" spans="7:7">
      <c r="G10527"/>
    </row>
    <row r="10528" spans="7:7">
      <c r="G10528"/>
    </row>
    <row r="10529" spans="7:7">
      <c r="G10529"/>
    </row>
    <row r="10530" spans="7:7">
      <c r="G10530"/>
    </row>
    <row r="10531" spans="7:7">
      <c r="G10531"/>
    </row>
    <row r="10532" spans="7:7">
      <c r="G10532"/>
    </row>
    <row r="10533" spans="7:7">
      <c r="G10533"/>
    </row>
    <row r="10534" spans="7:7">
      <c r="G10534"/>
    </row>
    <row r="10535" spans="7:7">
      <c r="G10535"/>
    </row>
    <row r="10536" spans="7:7">
      <c r="G10536"/>
    </row>
    <row r="10537" spans="7:7">
      <c r="G10537"/>
    </row>
    <row r="10538" spans="7:7">
      <c r="G10538"/>
    </row>
    <row r="10539" spans="7:7">
      <c r="G10539"/>
    </row>
    <row r="10540" spans="7:7">
      <c r="G10540"/>
    </row>
    <row r="10541" spans="7:7">
      <c r="G10541"/>
    </row>
    <row r="10542" spans="7:7">
      <c r="G10542"/>
    </row>
    <row r="10543" spans="7:7">
      <c r="G10543"/>
    </row>
    <row r="10544" spans="7:7">
      <c r="G10544"/>
    </row>
    <row r="10545" spans="7:7">
      <c r="G10545"/>
    </row>
    <row r="10546" spans="7:7">
      <c r="G10546"/>
    </row>
    <row r="10547" spans="7:7">
      <c r="G10547"/>
    </row>
    <row r="10548" spans="7:7">
      <c r="G10548"/>
    </row>
    <row r="10549" spans="7:7">
      <c r="G10549"/>
    </row>
    <row r="10550" spans="7:7">
      <c r="G10550"/>
    </row>
    <row r="10551" spans="7:7">
      <c r="G10551"/>
    </row>
    <row r="10552" spans="7:7">
      <c r="G10552"/>
    </row>
    <row r="10553" spans="7:7">
      <c r="G10553"/>
    </row>
    <row r="10554" spans="7:7">
      <c r="G10554"/>
    </row>
    <row r="10555" spans="7:7">
      <c r="G10555"/>
    </row>
    <row r="10556" spans="7:7">
      <c r="G10556"/>
    </row>
    <row r="10557" spans="7:7">
      <c r="G10557"/>
    </row>
    <row r="10558" spans="7:7">
      <c r="G10558"/>
    </row>
    <row r="10559" spans="7:7">
      <c r="G10559"/>
    </row>
    <row r="10560" spans="7:7">
      <c r="G10560"/>
    </row>
    <row r="10561" spans="7:7">
      <c r="G10561"/>
    </row>
    <row r="10562" spans="7:7">
      <c r="G10562"/>
    </row>
    <row r="10563" spans="7:7">
      <c r="G10563"/>
    </row>
    <row r="10564" spans="7:7">
      <c r="G10564"/>
    </row>
    <row r="10565" spans="7:7">
      <c r="G10565"/>
    </row>
    <row r="10566" spans="7:7">
      <c r="G10566"/>
    </row>
    <row r="10567" spans="7:7">
      <c r="G10567"/>
    </row>
    <row r="10568" spans="7:7">
      <c r="G10568"/>
    </row>
    <row r="10569" spans="7:7">
      <c r="G10569"/>
    </row>
    <row r="10570" spans="7:7">
      <c r="G10570"/>
    </row>
    <row r="10571" spans="7:7">
      <c r="G10571"/>
    </row>
    <row r="10572" spans="7:7">
      <c r="G10572"/>
    </row>
    <row r="10573" spans="7:7">
      <c r="G10573"/>
    </row>
    <row r="10574" spans="7:7">
      <c r="G10574"/>
    </row>
    <row r="10575" spans="7:7">
      <c r="G10575"/>
    </row>
    <row r="10576" spans="7:7">
      <c r="G10576"/>
    </row>
    <row r="10577" spans="7:7">
      <c r="G10577"/>
    </row>
    <row r="10578" spans="7:7">
      <c r="G10578"/>
    </row>
    <row r="10579" spans="7:7">
      <c r="G10579"/>
    </row>
    <row r="10580" spans="7:7">
      <c r="G10580"/>
    </row>
    <row r="10581" spans="7:7">
      <c r="G10581"/>
    </row>
    <row r="10582" spans="7:7">
      <c r="G10582"/>
    </row>
    <row r="10583" spans="7:7">
      <c r="G10583"/>
    </row>
    <row r="10584" spans="7:7">
      <c r="G10584"/>
    </row>
    <row r="10585" spans="7:7">
      <c r="G10585"/>
    </row>
    <row r="10586" spans="7:7">
      <c r="G10586"/>
    </row>
    <row r="10587" spans="7:7">
      <c r="G10587"/>
    </row>
    <row r="10588" spans="7:7">
      <c r="G10588"/>
    </row>
    <row r="10589" spans="7:7">
      <c r="G10589"/>
    </row>
    <row r="10590" spans="7:7">
      <c r="G10590"/>
    </row>
    <row r="10591" spans="7:7">
      <c r="G10591"/>
    </row>
    <row r="10592" spans="7:7">
      <c r="G10592"/>
    </row>
    <row r="10593" spans="7:7">
      <c r="G10593"/>
    </row>
    <row r="10594" spans="7:7">
      <c r="G10594"/>
    </row>
    <row r="10595" spans="7:7">
      <c r="G10595"/>
    </row>
    <row r="10596" spans="7:7">
      <c r="G10596"/>
    </row>
    <row r="10597" spans="7:7">
      <c r="G10597"/>
    </row>
    <row r="10598" spans="7:7">
      <c r="G10598"/>
    </row>
    <row r="10599" spans="7:7">
      <c r="G10599"/>
    </row>
    <row r="10600" spans="7:7">
      <c r="G10600"/>
    </row>
    <row r="10601" spans="7:7">
      <c r="G10601"/>
    </row>
    <row r="10602" spans="7:7">
      <c r="G10602"/>
    </row>
    <row r="10603" spans="7:7">
      <c r="G10603"/>
    </row>
    <row r="10604" spans="7:7">
      <c r="G10604"/>
    </row>
    <row r="10605" spans="7:7">
      <c r="G10605"/>
    </row>
    <row r="10606" spans="7:7">
      <c r="G10606"/>
    </row>
    <row r="10607" spans="7:7">
      <c r="G10607"/>
    </row>
    <row r="10608" spans="7:7">
      <c r="G10608"/>
    </row>
    <row r="10609" spans="7:7">
      <c r="G10609"/>
    </row>
    <row r="10610" spans="7:7">
      <c r="G10610"/>
    </row>
    <row r="10611" spans="7:7">
      <c r="G10611"/>
    </row>
    <row r="10612" spans="7:7">
      <c r="G10612"/>
    </row>
    <row r="10613" spans="7:7">
      <c r="G10613"/>
    </row>
    <row r="10614" spans="7:7">
      <c r="G10614"/>
    </row>
    <row r="10615" spans="7:7">
      <c r="G10615"/>
    </row>
    <row r="10616" spans="7:7">
      <c r="G10616"/>
    </row>
    <row r="10617" spans="7:7">
      <c r="G10617"/>
    </row>
    <row r="10618" spans="7:7">
      <c r="G10618"/>
    </row>
    <row r="10619" spans="7:7">
      <c r="G10619"/>
    </row>
    <row r="10620" spans="7:7">
      <c r="G10620"/>
    </row>
    <row r="10621" spans="7:7">
      <c r="G10621"/>
    </row>
    <row r="10622" spans="7:7">
      <c r="G10622"/>
    </row>
    <row r="10623" spans="7:7">
      <c r="G10623"/>
    </row>
    <row r="10624" spans="7:7">
      <c r="G10624"/>
    </row>
    <row r="10625" spans="7:7">
      <c r="G10625"/>
    </row>
    <row r="10626" spans="7:7">
      <c r="G10626"/>
    </row>
    <row r="10627" spans="7:7">
      <c r="G10627"/>
    </row>
    <row r="10628" spans="7:7">
      <c r="G10628"/>
    </row>
    <row r="10629" spans="7:7">
      <c r="G10629"/>
    </row>
    <row r="10630" spans="7:7">
      <c r="G10630"/>
    </row>
    <row r="10631" spans="7:7">
      <c r="G10631"/>
    </row>
    <row r="10632" spans="7:7">
      <c r="G10632"/>
    </row>
    <row r="10633" spans="7:7">
      <c r="G10633"/>
    </row>
    <row r="10634" spans="7:7">
      <c r="G10634"/>
    </row>
    <row r="10635" spans="7:7">
      <c r="G10635"/>
    </row>
    <row r="10636" spans="7:7">
      <c r="G10636"/>
    </row>
    <row r="10637" spans="7:7">
      <c r="G10637"/>
    </row>
    <row r="10638" spans="7:7">
      <c r="G10638"/>
    </row>
    <row r="10639" spans="7:7">
      <c r="G10639"/>
    </row>
    <row r="10640" spans="7:7">
      <c r="G10640"/>
    </row>
    <row r="10641" spans="7:7">
      <c r="G10641"/>
    </row>
    <row r="10642" spans="7:7">
      <c r="G10642"/>
    </row>
    <row r="10643" spans="7:7">
      <c r="G10643"/>
    </row>
    <row r="10644" spans="7:7">
      <c r="G10644"/>
    </row>
    <row r="10645" spans="7:7">
      <c r="G10645"/>
    </row>
    <row r="10646" spans="7:7">
      <c r="G10646"/>
    </row>
    <row r="10647" spans="7:7">
      <c r="G10647"/>
    </row>
    <row r="10648" spans="7:7">
      <c r="G10648"/>
    </row>
    <row r="10649" spans="7:7">
      <c r="G10649"/>
    </row>
    <row r="10650" spans="7:7">
      <c r="G10650"/>
    </row>
    <row r="10651" spans="7:7">
      <c r="G10651"/>
    </row>
    <row r="10652" spans="7:7">
      <c r="G10652"/>
    </row>
    <row r="10653" spans="7:7">
      <c r="G10653"/>
    </row>
    <row r="10654" spans="7:7">
      <c r="G10654"/>
    </row>
    <row r="10655" spans="7:7">
      <c r="G10655"/>
    </row>
    <row r="10656" spans="7:7">
      <c r="G10656"/>
    </row>
    <row r="10657" spans="7:7">
      <c r="G10657"/>
    </row>
    <row r="10658" spans="7:7">
      <c r="G10658"/>
    </row>
    <row r="10659" spans="7:7">
      <c r="G10659"/>
    </row>
    <row r="10660" spans="7:7">
      <c r="G10660"/>
    </row>
    <row r="10661" spans="7:7">
      <c r="G10661"/>
    </row>
    <row r="10662" spans="7:7">
      <c r="G10662"/>
    </row>
    <row r="10663" spans="7:7">
      <c r="G10663"/>
    </row>
    <row r="10664" spans="7:7">
      <c r="G10664"/>
    </row>
    <row r="10665" spans="7:7">
      <c r="G10665"/>
    </row>
    <row r="10666" spans="7:7">
      <c r="G10666"/>
    </row>
    <row r="10667" spans="7:7">
      <c r="G10667"/>
    </row>
    <row r="10668" spans="7:7">
      <c r="G10668"/>
    </row>
    <row r="10669" spans="7:7">
      <c r="G10669"/>
    </row>
    <row r="10670" spans="7:7">
      <c r="G10670"/>
    </row>
    <row r="10671" spans="7:7">
      <c r="G10671"/>
    </row>
    <row r="10672" spans="7:7">
      <c r="G10672"/>
    </row>
    <row r="10673" spans="7:7">
      <c r="G10673"/>
    </row>
    <row r="10674" spans="7:7">
      <c r="G10674"/>
    </row>
    <row r="10675" spans="7:7">
      <c r="G10675"/>
    </row>
    <row r="10676" spans="7:7">
      <c r="G10676"/>
    </row>
    <row r="10677" spans="7:7">
      <c r="G10677"/>
    </row>
    <row r="10678" spans="7:7">
      <c r="G10678"/>
    </row>
    <row r="10679" spans="7:7">
      <c r="G10679"/>
    </row>
    <row r="10680" spans="7:7">
      <c r="G10680"/>
    </row>
    <row r="10681" spans="7:7">
      <c r="G10681"/>
    </row>
    <row r="10682" spans="7:7">
      <c r="G10682"/>
    </row>
    <row r="10683" spans="7:7">
      <c r="G10683"/>
    </row>
    <row r="10684" spans="7:7">
      <c r="G10684"/>
    </row>
    <row r="10685" spans="7:7">
      <c r="G10685"/>
    </row>
    <row r="10686" spans="7:7">
      <c r="G10686"/>
    </row>
    <row r="10687" spans="7:7">
      <c r="G10687"/>
    </row>
    <row r="10688" spans="7:7">
      <c r="G10688"/>
    </row>
    <row r="10689" spans="7:7">
      <c r="G10689"/>
    </row>
    <row r="10690" spans="7:7">
      <c r="G10690"/>
    </row>
    <row r="10691" spans="7:7">
      <c r="G10691"/>
    </row>
    <row r="10692" spans="7:7">
      <c r="G10692"/>
    </row>
    <row r="10693" spans="7:7">
      <c r="G10693"/>
    </row>
    <row r="10694" spans="7:7">
      <c r="G10694"/>
    </row>
    <row r="10695" spans="7:7">
      <c r="G10695"/>
    </row>
    <row r="10696" spans="7:7">
      <c r="G10696"/>
    </row>
    <row r="10697" spans="7:7">
      <c r="G10697"/>
    </row>
    <row r="10698" spans="7:7">
      <c r="G10698"/>
    </row>
    <row r="10699" spans="7:7">
      <c r="G10699"/>
    </row>
    <row r="10700" spans="7:7">
      <c r="G10700"/>
    </row>
    <row r="10701" spans="7:7">
      <c r="G10701"/>
    </row>
    <row r="10702" spans="7:7">
      <c r="G10702"/>
    </row>
    <row r="10703" spans="7:7">
      <c r="G10703"/>
    </row>
    <row r="10704" spans="7:7">
      <c r="G10704"/>
    </row>
    <row r="10705" spans="7:7">
      <c r="G10705"/>
    </row>
    <row r="10706" spans="7:7">
      <c r="G10706"/>
    </row>
    <row r="10707" spans="7:7">
      <c r="G10707"/>
    </row>
    <row r="10708" spans="7:7">
      <c r="G10708"/>
    </row>
    <row r="10709" spans="7:7">
      <c r="G10709"/>
    </row>
    <row r="10710" spans="7:7">
      <c r="G10710"/>
    </row>
    <row r="10711" spans="7:7">
      <c r="G10711"/>
    </row>
    <row r="10712" spans="7:7">
      <c r="G10712"/>
    </row>
    <row r="10713" spans="7:7">
      <c r="G10713"/>
    </row>
    <row r="10714" spans="7:7">
      <c r="G10714"/>
    </row>
    <row r="10715" spans="7:7">
      <c r="G10715"/>
    </row>
    <row r="10716" spans="7:7">
      <c r="G10716"/>
    </row>
    <row r="10717" spans="7:7">
      <c r="G10717"/>
    </row>
    <row r="10718" spans="7:7">
      <c r="G10718"/>
    </row>
    <row r="10719" spans="7:7">
      <c r="G10719"/>
    </row>
    <row r="10720" spans="7:7">
      <c r="G10720"/>
    </row>
    <row r="10721" spans="7:7">
      <c r="G10721"/>
    </row>
    <row r="10722" spans="7:7">
      <c r="G10722"/>
    </row>
    <row r="10723" spans="7:7">
      <c r="G10723"/>
    </row>
    <row r="10724" spans="7:7">
      <c r="G10724"/>
    </row>
    <row r="10725" spans="7:7">
      <c r="G10725"/>
    </row>
    <row r="10726" spans="7:7">
      <c r="G10726"/>
    </row>
    <row r="10727" spans="7:7">
      <c r="G10727"/>
    </row>
    <row r="10728" spans="7:7">
      <c r="G10728"/>
    </row>
    <row r="10729" spans="7:7">
      <c r="G10729"/>
    </row>
    <row r="10730" spans="7:7">
      <c r="G10730"/>
    </row>
    <row r="10731" spans="7:7">
      <c r="G10731"/>
    </row>
    <row r="10732" spans="7:7">
      <c r="G10732"/>
    </row>
    <row r="10733" spans="7:7">
      <c r="G10733"/>
    </row>
    <row r="10734" spans="7:7">
      <c r="G10734"/>
    </row>
    <row r="10735" spans="7:7">
      <c r="G10735"/>
    </row>
    <row r="10736" spans="7:7">
      <c r="G10736"/>
    </row>
    <row r="10737" spans="7:7">
      <c r="G10737"/>
    </row>
    <row r="10738" spans="7:7">
      <c r="G10738"/>
    </row>
    <row r="10739" spans="7:7">
      <c r="G10739"/>
    </row>
    <row r="10740" spans="7:7">
      <c r="G10740"/>
    </row>
    <row r="10741" spans="7:7">
      <c r="G10741"/>
    </row>
    <row r="10742" spans="7:7">
      <c r="G10742"/>
    </row>
    <row r="10743" spans="7:7">
      <c r="G10743"/>
    </row>
    <row r="10744" spans="7:7">
      <c r="G10744"/>
    </row>
    <row r="10745" spans="7:7">
      <c r="G10745"/>
    </row>
    <row r="10746" spans="7:7">
      <c r="G10746"/>
    </row>
    <row r="10747" spans="7:7">
      <c r="G10747"/>
    </row>
    <row r="10748" spans="7:7">
      <c r="G10748"/>
    </row>
    <row r="10749" spans="7:7">
      <c r="G10749"/>
    </row>
    <row r="10750" spans="7:7">
      <c r="G10750"/>
    </row>
    <row r="10751" spans="7:7">
      <c r="G10751"/>
    </row>
    <row r="10752" spans="7:7">
      <c r="G10752"/>
    </row>
    <row r="10753" spans="7:7">
      <c r="G10753"/>
    </row>
    <row r="10754" spans="7:7">
      <c r="G10754"/>
    </row>
    <row r="10755" spans="7:7">
      <c r="G10755"/>
    </row>
    <row r="10756" spans="7:7">
      <c r="G10756"/>
    </row>
    <row r="10757" spans="7:7">
      <c r="G10757"/>
    </row>
    <row r="10758" spans="7:7">
      <c r="G10758"/>
    </row>
    <row r="10759" spans="7:7">
      <c r="G10759"/>
    </row>
    <row r="10760" spans="7:7">
      <c r="G10760"/>
    </row>
    <row r="10761" spans="7:7">
      <c r="G10761"/>
    </row>
    <row r="10762" spans="7:7">
      <c r="G10762"/>
    </row>
    <row r="10763" spans="7:7">
      <c r="G10763"/>
    </row>
    <row r="10764" spans="7:7">
      <c r="G10764"/>
    </row>
    <row r="10765" spans="7:7">
      <c r="G10765"/>
    </row>
    <row r="10766" spans="7:7">
      <c r="G10766"/>
    </row>
    <row r="10767" spans="7:7">
      <c r="G10767"/>
    </row>
    <row r="10768" spans="7:7">
      <c r="G10768"/>
    </row>
    <row r="10769" spans="7:7">
      <c r="G10769"/>
    </row>
    <row r="10770" spans="7:7">
      <c r="G10770"/>
    </row>
    <row r="10771" spans="7:7">
      <c r="G10771"/>
    </row>
    <row r="10772" spans="7:7">
      <c r="G10772"/>
    </row>
    <row r="10773" spans="7:7">
      <c r="G10773"/>
    </row>
    <row r="10774" spans="7:7">
      <c r="G10774"/>
    </row>
    <row r="10775" spans="7:7">
      <c r="G10775"/>
    </row>
    <row r="10776" spans="7:7">
      <c r="G10776"/>
    </row>
    <row r="10777" spans="7:7">
      <c r="G10777"/>
    </row>
    <row r="10778" spans="7:7">
      <c r="G10778"/>
    </row>
    <row r="10779" spans="7:7">
      <c r="G10779"/>
    </row>
    <row r="10780" spans="7:7">
      <c r="G10780"/>
    </row>
    <row r="10781" spans="7:7">
      <c r="G10781"/>
    </row>
    <row r="10782" spans="7:7">
      <c r="G10782"/>
    </row>
    <row r="10783" spans="7:7">
      <c r="G10783"/>
    </row>
    <row r="10784" spans="7:7">
      <c r="G10784"/>
    </row>
    <row r="10785" spans="7:7">
      <c r="G10785"/>
    </row>
    <row r="10786" spans="7:7">
      <c r="G10786"/>
    </row>
    <row r="10787" spans="7:7">
      <c r="G10787"/>
    </row>
    <row r="10788" spans="7:7">
      <c r="G10788"/>
    </row>
    <row r="10789" spans="7:7">
      <c r="G10789"/>
    </row>
    <row r="10790" spans="7:7">
      <c r="G10790"/>
    </row>
    <row r="10791" spans="7:7">
      <c r="G10791"/>
    </row>
    <row r="10792" spans="7:7">
      <c r="G10792"/>
    </row>
    <row r="10793" spans="7:7">
      <c r="G10793"/>
    </row>
    <row r="10794" spans="7:7">
      <c r="G10794"/>
    </row>
    <row r="10795" spans="7:7">
      <c r="G10795"/>
    </row>
    <row r="10796" spans="7:7">
      <c r="G10796"/>
    </row>
    <row r="10797" spans="7:7">
      <c r="G10797"/>
    </row>
    <row r="10798" spans="7:7">
      <c r="G10798"/>
    </row>
    <row r="10799" spans="7:7">
      <c r="G10799"/>
    </row>
    <row r="10800" spans="7:7">
      <c r="G10800"/>
    </row>
    <row r="10801" spans="7:7">
      <c r="G10801"/>
    </row>
    <row r="10802" spans="7:7">
      <c r="G10802"/>
    </row>
    <row r="10803" spans="7:7">
      <c r="G10803"/>
    </row>
    <row r="10804" spans="7:7">
      <c r="G10804"/>
    </row>
    <row r="10805" spans="7:7">
      <c r="G10805"/>
    </row>
    <row r="10806" spans="7:7">
      <c r="G10806"/>
    </row>
    <row r="10807" spans="7:7">
      <c r="G10807"/>
    </row>
    <row r="10808" spans="7:7">
      <c r="G10808"/>
    </row>
    <row r="10809" spans="7:7">
      <c r="G10809"/>
    </row>
    <row r="10810" spans="7:7">
      <c r="G10810"/>
    </row>
    <row r="10811" spans="7:7">
      <c r="G10811"/>
    </row>
    <row r="10812" spans="7:7">
      <c r="G10812"/>
    </row>
    <row r="10813" spans="7:7">
      <c r="G10813"/>
    </row>
    <row r="10814" spans="7:7">
      <c r="G10814"/>
    </row>
    <row r="10815" spans="7:7">
      <c r="G10815"/>
    </row>
    <row r="10816" spans="7:7">
      <c r="G10816"/>
    </row>
    <row r="10817" spans="7:7">
      <c r="G10817"/>
    </row>
    <row r="10818" spans="7:7">
      <c r="G10818"/>
    </row>
    <row r="10819" spans="7:7">
      <c r="G10819"/>
    </row>
    <row r="10820" spans="7:7">
      <c r="G10820"/>
    </row>
    <row r="10821" spans="7:7">
      <c r="G10821"/>
    </row>
    <row r="10822" spans="7:7">
      <c r="G10822"/>
    </row>
    <row r="10823" spans="7:7">
      <c r="G10823"/>
    </row>
    <row r="10824" spans="7:7">
      <c r="G10824"/>
    </row>
    <row r="10825" spans="7:7">
      <c r="G10825"/>
    </row>
    <row r="10826" spans="7:7">
      <c r="G10826"/>
    </row>
    <row r="10827" spans="7:7">
      <c r="G10827"/>
    </row>
    <row r="10828" spans="7:7">
      <c r="G10828"/>
    </row>
    <row r="10829" spans="7:7">
      <c r="G10829"/>
    </row>
    <row r="10830" spans="7:7">
      <c r="G10830"/>
    </row>
    <row r="10831" spans="7:7">
      <c r="G10831"/>
    </row>
    <row r="10832" spans="7:7">
      <c r="G10832"/>
    </row>
    <row r="10833" spans="7:7">
      <c r="G10833"/>
    </row>
    <row r="10834" spans="7:7">
      <c r="G10834"/>
    </row>
    <row r="10835" spans="7:7">
      <c r="G10835"/>
    </row>
    <row r="10836" spans="7:7">
      <c r="G10836"/>
    </row>
    <row r="10837" spans="7:7">
      <c r="G10837"/>
    </row>
    <row r="10838" spans="7:7">
      <c r="G10838"/>
    </row>
    <row r="10839" spans="7:7">
      <c r="G10839"/>
    </row>
    <row r="10840" spans="7:7">
      <c r="G10840"/>
    </row>
    <row r="10841" spans="7:7">
      <c r="G10841"/>
    </row>
    <row r="10842" spans="7:7">
      <c r="G10842"/>
    </row>
    <row r="10843" spans="7:7">
      <c r="G10843"/>
    </row>
    <row r="10844" spans="7:7">
      <c r="G10844"/>
    </row>
    <row r="10845" spans="7:7">
      <c r="G10845"/>
    </row>
    <row r="10846" spans="7:7">
      <c r="G10846"/>
    </row>
    <row r="10847" spans="7:7">
      <c r="G10847"/>
    </row>
    <row r="10848" spans="7:7">
      <c r="G10848"/>
    </row>
    <row r="10849" spans="7:7">
      <c r="G10849"/>
    </row>
    <row r="10850" spans="7:7">
      <c r="G10850"/>
    </row>
    <row r="10851" spans="7:7">
      <c r="G10851"/>
    </row>
    <row r="10852" spans="7:7">
      <c r="G10852"/>
    </row>
    <row r="10853" spans="7:7">
      <c r="G10853"/>
    </row>
    <row r="10854" spans="7:7">
      <c r="G10854"/>
    </row>
    <row r="10855" spans="7:7">
      <c r="G10855"/>
    </row>
    <row r="10856" spans="7:7">
      <c r="G10856"/>
    </row>
    <row r="10857" spans="7:7">
      <c r="G10857"/>
    </row>
    <row r="10858" spans="7:7">
      <c r="G10858"/>
    </row>
    <row r="10859" spans="7:7">
      <c r="G10859"/>
    </row>
    <row r="10860" spans="7:7">
      <c r="G10860"/>
    </row>
    <row r="10861" spans="7:7">
      <c r="G10861"/>
    </row>
    <row r="10862" spans="7:7">
      <c r="G10862"/>
    </row>
    <row r="10863" spans="7:7">
      <c r="G10863"/>
    </row>
    <row r="10864" spans="7:7">
      <c r="G10864"/>
    </row>
    <row r="10865" spans="7:7">
      <c r="G10865"/>
    </row>
    <row r="10866" spans="7:7">
      <c r="G10866"/>
    </row>
    <row r="10867" spans="7:7">
      <c r="G10867"/>
    </row>
    <row r="10868" spans="7:7">
      <c r="G10868"/>
    </row>
    <row r="10869" spans="7:7">
      <c r="G10869"/>
    </row>
    <row r="10870" spans="7:7">
      <c r="G10870"/>
    </row>
    <row r="10871" spans="7:7">
      <c r="G10871"/>
    </row>
    <row r="10872" spans="7:7">
      <c r="G10872"/>
    </row>
    <row r="10873" spans="7:7">
      <c r="G10873"/>
    </row>
    <row r="10874" spans="7:7">
      <c r="G10874"/>
    </row>
    <row r="10875" spans="7:7">
      <c r="G10875"/>
    </row>
    <row r="10876" spans="7:7">
      <c r="G10876"/>
    </row>
    <row r="10877" spans="7:7">
      <c r="G10877"/>
    </row>
    <row r="10878" spans="7:7">
      <c r="G10878"/>
    </row>
    <row r="10879" spans="7:7">
      <c r="G10879"/>
    </row>
    <row r="10880" spans="7:7">
      <c r="G10880"/>
    </row>
    <row r="10881" spans="7:7">
      <c r="G10881"/>
    </row>
    <row r="10882" spans="7:7">
      <c r="G10882"/>
    </row>
    <row r="10883" spans="7:7">
      <c r="G10883"/>
    </row>
    <row r="10884" spans="7:7">
      <c r="G10884"/>
    </row>
    <row r="10885" spans="7:7">
      <c r="G10885"/>
    </row>
    <row r="10886" spans="7:7">
      <c r="G10886"/>
    </row>
    <row r="10887" spans="7:7">
      <c r="G10887"/>
    </row>
    <row r="10888" spans="7:7">
      <c r="G10888"/>
    </row>
    <row r="10889" spans="7:7">
      <c r="G10889"/>
    </row>
    <row r="10890" spans="7:7">
      <c r="G10890"/>
    </row>
    <row r="10891" spans="7:7">
      <c r="G10891"/>
    </row>
    <row r="10892" spans="7:7">
      <c r="G10892"/>
    </row>
    <row r="10893" spans="7:7">
      <c r="G10893"/>
    </row>
    <row r="10894" spans="7:7">
      <c r="G10894"/>
    </row>
    <row r="10895" spans="7:7">
      <c r="G10895"/>
    </row>
    <row r="10896" spans="7:7">
      <c r="G10896"/>
    </row>
    <row r="10897" spans="7:7">
      <c r="G10897"/>
    </row>
    <row r="10898" spans="7:7">
      <c r="G10898"/>
    </row>
    <row r="10899" spans="7:7">
      <c r="G10899"/>
    </row>
    <row r="10900" spans="7:7">
      <c r="G10900"/>
    </row>
    <row r="10901" spans="7:7">
      <c r="G10901"/>
    </row>
    <row r="10902" spans="7:7">
      <c r="G10902"/>
    </row>
    <row r="10903" spans="7:7">
      <c r="G10903"/>
    </row>
    <row r="10904" spans="7:7">
      <c r="G10904"/>
    </row>
    <row r="10905" spans="7:7">
      <c r="G10905"/>
    </row>
    <row r="10906" spans="7:7">
      <c r="G10906"/>
    </row>
    <row r="10907" spans="7:7">
      <c r="G10907"/>
    </row>
    <row r="10908" spans="7:7">
      <c r="G10908"/>
    </row>
    <row r="10909" spans="7:7">
      <c r="G10909"/>
    </row>
    <row r="10910" spans="7:7">
      <c r="G10910"/>
    </row>
    <row r="10911" spans="7:7">
      <c r="G10911"/>
    </row>
    <row r="10912" spans="7:7">
      <c r="G10912"/>
    </row>
    <row r="10913" spans="7:7">
      <c r="G10913"/>
    </row>
    <row r="10914" spans="7:7">
      <c r="G10914"/>
    </row>
    <row r="10915" spans="7:7">
      <c r="G10915"/>
    </row>
    <row r="10916" spans="7:7">
      <c r="G10916"/>
    </row>
    <row r="10917" spans="7:7">
      <c r="G10917"/>
    </row>
    <row r="10918" spans="7:7">
      <c r="G10918"/>
    </row>
    <row r="10919" spans="7:7">
      <c r="G10919"/>
    </row>
    <row r="10920" spans="7:7">
      <c r="G10920"/>
    </row>
    <row r="10921" spans="7:7">
      <c r="G10921"/>
    </row>
    <row r="10922" spans="7:7">
      <c r="G10922"/>
    </row>
    <row r="10923" spans="7:7">
      <c r="G10923"/>
    </row>
    <row r="10924" spans="7:7">
      <c r="G10924"/>
    </row>
    <row r="10925" spans="7:7">
      <c r="G10925"/>
    </row>
    <row r="10926" spans="7:7">
      <c r="G10926"/>
    </row>
    <row r="10927" spans="7:7">
      <c r="G10927"/>
    </row>
    <row r="10928" spans="7:7">
      <c r="G10928"/>
    </row>
    <row r="10929" spans="7:7">
      <c r="G10929"/>
    </row>
    <row r="10930" spans="7:7">
      <c r="G10930"/>
    </row>
    <row r="10931" spans="7:7">
      <c r="G10931"/>
    </row>
    <row r="10932" spans="7:7">
      <c r="G10932"/>
    </row>
    <row r="10933" spans="7:7">
      <c r="G10933"/>
    </row>
    <row r="10934" spans="7:7">
      <c r="G10934"/>
    </row>
    <row r="10935" spans="7:7">
      <c r="G10935"/>
    </row>
    <row r="10936" spans="7:7">
      <c r="G10936"/>
    </row>
    <row r="10937" spans="7:7">
      <c r="G10937"/>
    </row>
    <row r="10938" spans="7:7">
      <c r="G10938"/>
    </row>
    <row r="10939" spans="7:7">
      <c r="G10939"/>
    </row>
    <row r="10940" spans="7:7">
      <c r="G10940"/>
    </row>
    <row r="10941" spans="7:7">
      <c r="G10941"/>
    </row>
    <row r="10942" spans="7:7">
      <c r="G10942"/>
    </row>
    <row r="10943" spans="7:7">
      <c r="G10943"/>
    </row>
    <row r="10944" spans="7:7">
      <c r="G10944"/>
    </row>
    <row r="10945" spans="7:7">
      <c r="G10945"/>
    </row>
    <row r="10946" spans="7:7">
      <c r="G10946"/>
    </row>
    <row r="10947" spans="7:7">
      <c r="G10947"/>
    </row>
    <row r="10948" spans="7:7">
      <c r="G10948"/>
    </row>
    <row r="10949" spans="7:7">
      <c r="G10949"/>
    </row>
    <row r="10950" spans="7:7">
      <c r="G10950"/>
    </row>
    <row r="10951" spans="7:7">
      <c r="G10951"/>
    </row>
    <row r="10952" spans="7:7">
      <c r="G10952"/>
    </row>
    <row r="10953" spans="7:7">
      <c r="G10953"/>
    </row>
    <row r="10954" spans="7:7">
      <c r="G10954"/>
    </row>
    <row r="10955" spans="7:7">
      <c r="G10955"/>
    </row>
    <row r="10956" spans="7:7">
      <c r="G10956"/>
    </row>
    <row r="10957" spans="7:7">
      <c r="G10957"/>
    </row>
    <row r="10958" spans="7:7">
      <c r="G10958"/>
    </row>
    <row r="10959" spans="7:7">
      <c r="G10959"/>
    </row>
    <row r="10960" spans="7:7">
      <c r="G10960"/>
    </row>
    <row r="10961" spans="7:7">
      <c r="G10961"/>
    </row>
    <row r="10962" spans="7:7">
      <c r="G10962"/>
    </row>
    <row r="10963" spans="7:7">
      <c r="G10963"/>
    </row>
    <row r="10964" spans="7:7">
      <c r="G10964"/>
    </row>
    <row r="10965" spans="7:7">
      <c r="G10965"/>
    </row>
    <row r="10966" spans="7:7">
      <c r="G10966"/>
    </row>
    <row r="10967" spans="7:7">
      <c r="G10967"/>
    </row>
    <row r="10968" spans="7:7">
      <c r="G10968"/>
    </row>
    <row r="10969" spans="7:7">
      <c r="G10969"/>
    </row>
    <row r="10970" spans="7:7">
      <c r="G10970"/>
    </row>
    <row r="10971" spans="7:7">
      <c r="G10971"/>
    </row>
    <row r="10972" spans="7:7">
      <c r="G10972"/>
    </row>
    <row r="10973" spans="7:7">
      <c r="G10973"/>
    </row>
    <row r="10974" spans="7:7">
      <c r="G10974"/>
    </row>
    <row r="10975" spans="7:7">
      <c r="G10975"/>
    </row>
    <row r="10976" spans="7:7">
      <c r="G10976"/>
    </row>
    <row r="10977" spans="7:7">
      <c r="G10977"/>
    </row>
    <row r="10978" spans="7:7">
      <c r="G10978"/>
    </row>
    <row r="10979" spans="7:7">
      <c r="G10979"/>
    </row>
    <row r="10980" spans="7:7">
      <c r="G10980"/>
    </row>
    <row r="10981" spans="7:7">
      <c r="G10981"/>
    </row>
    <row r="10982" spans="7:7">
      <c r="G10982"/>
    </row>
    <row r="10983" spans="7:7">
      <c r="G10983"/>
    </row>
    <row r="10984" spans="7:7">
      <c r="G10984"/>
    </row>
    <row r="10985" spans="7:7">
      <c r="G10985"/>
    </row>
    <row r="10986" spans="7:7">
      <c r="G10986"/>
    </row>
    <row r="10987" spans="7:7">
      <c r="G10987"/>
    </row>
    <row r="10988" spans="7:7">
      <c r="G10988"/>
    </row>
    <row r="10989" spans="7:7">
      <c r="G10989"/>
    </row>
    <row r="10990" spans="7:7">
      <c r="G10990"/>
    </row>
    <row r="10991" spans="7:7">
      <c r="G10991"/>
    </row>
    <row r="10992" spans="7:7">
      <c r="G10992"/>
    </row>
    <row r="10993" spans="7:7">
      <c r="G10993"/>
    </row>
    <row r="10994" spans="7:7">
      <c r="G10994"/>
    </row>
    <row r="10995" spans="7:7">
      <c r="G10995"/>
    </row>
    <row r="10996" spans="7:7">
      <c r="G10996"/>
    </row>
    <row r="10997" spans="7:7">
      <c r="G10997"/>
    </row>
    <row r="10998" spans="7:7">
      <c r="G10998"/>
    </row>
    <row r="10999" spans="7:7">
      <c r="G10999"/>
    </row>
    <row r="11000" spans="7:7">
      <c r="G11000"/>
    </row>
    <row r="11001" spans="7:7">
      <c r="G11001"/>
    </row>
    <row r="11002" spans="7:7">
      <c r="G11002"/>
    </row>
    <row r="11003" spans="7:7">
      <c r="G11003"/>
    </row>
    <row r="11004" spans="7:7">
      <c r="G11004"/>
    </row>
    <row r="11005" spans="7:7">
      <c r="G11005"/>
    </row>
    <row r="11006" spans="7:7">
      <c r="G11006"/>
    </row>
    <row r="11007" spans="7:7">
      <c r="G11007"/>
    </row>
    <row r="11008" spans="7:7">
      <c r="G11008"/>
    </row>
    <row r="11009" spans="7:7">
      <c r="G11009"/>
    </row>
    <row r="11010" spans="7:7">
      <c r="G11010"/>
    </row>
    <row r="11011" spans="7:7">
      <c r="G11011"/>
    </row>
    <row r="11012" spans="7:7">
      <c r="G11012"/>
    </row>
    <row r="11013" spans="7:7">
      <c r="G11013"/>
    </row>
    <row r="11014" spans="7:7">
      <c r="G11014"/>
    </row>
    <row r="11015" spans="7:7">
      <c r="G11015"/>
    </row>
    <row r="11016" spans="7:7">
      <c r="G11016"/>
    </row>
    <row r="11017" spans="7:7">
      <c r="G11017"/>
    </row>
    <row r="11018" spans="7:7">
      <c r="G11018"/>
    </row>
    <row r="11019" spans="7:7">
      <c r="G11019"/>
    </row>
    <row r="11020" spans="7:7">
      <c r="G11020"/>
    </row>
    <row r="11021" spans="7:7">
      <c r="G11021"/>
    </row>
    <row r="11022" spans="7:7">
      <c r="G11022"/>
    </row>
    <row r="11023" spans="7:7">
      <c r="G11023"/>
    </row>
    <row r="11024" spans="7:7">
      <c r="G11024"/>
    </row>
    <row r="11025" spans="7:7">
      <c r="G11025"/>
    </row>
    <row r="11026" spans="7:7">
      <c r="G11026"/>
    </row>
    <row r="11027" spans="7:7">
      <c r="G11027"/>
    </row>
    <row r="11028" spans="7:7">
      <c r="G11028"/>
    </row>
    <row r="11029" spans="7:7">
      <c r="G11029"/>
    </row>
    <row r="11030" spans="7:7">
      <c r="G11030"/>
    </row>
    <row r="11031" spans="7:7">
      <c r="G11031"/>
    </row>
    <row r="11032" spans="7:7">
      <c r="G11032"/>
    </row>
    <row r="11033" spans="7:7">
      <c r="G11033"/>
    </row>
    <row r="11034" spans="7:7">
      <c r="G11034"/>
    </row>
    <row r="11035" spans="7:7">
      <c r="G11035"/>
    </row>
    <row r="11036" spans="7:7">
      <c r="G11036"/>
    </row>
    <row r="11037" spans="7:7">
      <c r="G11037"/>
    </row>
    <row r="11038" spans="7:7">
      <c r="G11038"/>
    </row>
    <row r="11039" spans="7:7">
      <c r="G11039"/>
    </row>
    <row r="11040" spans="7:7">
      <c r="G11040"/>
    </row>
    <row r="11041" spans="7:7">
      <c r="G11041"/>
    </row>
    <row r="11042" spans="7:7">
      <c r="G11042"/>
    </row>
    <row r="11043" spans="7:7">
      <c r="G11043"/>
    </row>
    <row r="11044" spans="7:7">
      <c r="G11044"/>
    </row>
    <row r="11045" spans="7:7">
      <c r="G11045"/>
    </row>
    <row r="11046" spans="7:7">
      <c r="G11046"/>
    </row>
    <row r="11047" spans="7:7">
      <c r="G11047"/>
    </row>
    <row r="11048" spans="7:7">
      <c r="G11048"/>
    </row>
    <row r="11049" spans="7:7">
      <c r="G11049"/>
    </row>
    <row r="11050" spans="7:7">
      <c r="G11050"/>
    </row>
    <row r="11051" spans="7:7">
      <c r="G11051"/>
    </row>
    <row r="11052" spans="7:7">
      <c r="G11052"/>
    </row>
    <row r="11053" spans="7:7">
      <c r="G11053"/>
    </row>
    <row r="11054" spans="7:7">
      <c r="G11054"/>
    </row>
    <row r="11055" spans="7:7">
      <c r="G11055"/>
    </row>
    <row r="11056" spans="7:7">
      <c r="G11056"/>
    </row>
    <row r="11057" spans="7:7">
      <c r="G11057"/>
    </row>
    <row r="11058" spans="7:7">
      <c r="G11058"/>
    </row>
    <row r="11059" spans="7:7">
      <c r="G11059"/>
    </row>
    <row r="11060" spans="7:7">
      <c r="G11060"/>
    </row>
    <row r="11061" spans="7:7">
      <c r="G11061"/>
    </row>
    <row r="11062" spans="7:7">
      <c r="G11062"/>
    </row>
    <row r="11063" spans="7:7">
      <c r="G11063"/>
    </row>
    <row r="11064" spans="7:7">
      <c r="G11064"/>
    </row>
    <row r="11065" spans="7:7">
      <c r="G11065"/>
    </row>
    <row r="11066" spans="7:7">
      <c r="G11066"/>
    </row>
    <row r="11067" spans="7:7">
      <c r="G11067"/>
    </row>
    <row r="11068" spans="7:7">
      <c r="G11068"/>
    </row>
    <row r="11069" spans="7:7">
      <c r="G11069"/>
    </row>
    <row r="11070" spans="7:7">
      <c r="G11070"/>
    </row>
    <row r="11071" spans="7:7">
      <c r="G11071"/>
    </row>
    <row r="11072" spans="7:7">
      <c r="G11072"/>
    </row>
    <row r="11073" spans="7:7">
      <c r="G11073"/>
    </row>
    <row r="11074" spans="7:7">
      <c r="G11074"/>
    </row>
    <row r="11075" spans="7:7">
      <c r="G11075"/>
    </row>
    <row r="11076" spans="7:7">
      <c r="G11076"/>
    </row>
    <row r="11077" spans="7:7">
      <c r="G11077"/>
    </row>
    <row r="11078" spans="7:7">
      <c r="G11078"/>
    </row>
    <row r="11079" spans="7:7">
      <c r="G11079"/>
    </row>
    <row r="11080" spans="7:7">
      <c r="G11080"/>
    </row>
    <row r="11081" spans="7:7">
      <c r="G11081"/>
    </row>
    <row r="11082" spans="7:7">
      <c r="G11082"/>
    </row>
    <row r="11083" spans="7:7">
      <c r="G11083"/>
    </row>
    <row r="11084" spans="7:7">
      <c r="G11084"/>
    </row>
    <row r="11085" spans="7:7">
      <c r="G11085"/>
    </row>
    <row r="11086" spans="7:7">
      <c r="G11086"/>
    </row>
    <row r="11087" spans="7:7">
      <c r="G11087"/>
    </row>
    <row r="11088" spans="7:7">
      <c r="G11088"/>
    </row>
    <row r="11089" spans="7:7">
      <c r="G11089"/>
    </row>
    <row r="11090" spans="7:7">
      <c r="G11090"/>
    </row>
    <row r="11091" spans="7:7">
      <c r="G11091"/>
    </row>
    <row r="11092" spans="7:7">
      <c r="G11092"/>
    </row>
    <row r="11093" spans="7:7">
      <c r="G11093"/>
    </row>
    <row r="11094" spans="7:7">
      <c r="G11094"/>
    </row>
    <row r="11095" spans="7:7">
      <c r="G11095"/>
    </row>
    <row r="11096" spans="7:7">
      <c r="G11096"/>
    </row>
    <row r="11097" spans="7:7">
      <c r="G11097"/>
    </row>
    <row r="11098" spans="7:7">
      <c r="G11098"/>
    </row>
    <row r="11099" spans="7:7">
      <c r="G11099"/>
    </row>
    <row r="11100" spans="7:7">
      <c r="G11100"/>
    </row>
    <row r="11101" spans="7:7">
      <c r="G11101"/>
    </row>
    <row r="11102" spans="7:7">
      <c r="G11102"/>
    </row>
    <row r="11103" spans="7:7">
      <c r="G11103"/>
    </row>
    <row r="11104" spans="7:7">
      <c r="G11104"/>
    </row>
    <row r="11105" spans="7:7">
      <c r="G11105"/>
    </row>
    <row r="11106" spans="7:7">
      <c r="G11106"/>
    </row>
    <row r="11107" spans="7:7">
      <c r="G11107"/>
    </row>
    <row r="11108" spans="7:7">
      <c r="G11108"/>
    </row>
    <row r="11109" spans="7:7">
      <c r="G11109"/>
    </row>
    <row r="11110" spans="7:7">
      <c r="G11110"/>
    </row>
    <row r="11111" spans="7:7">
      <c r="G11111"/>
    </row>
    <row r="11112" spans="7:7">
      <c r="G11112"/>
    </row>
    <row r="11113" spans="7:7">
      <c r="G11113"/>
    </row>
    <row r="11114" spans="7:7">
      <c r="G11114"/>
    </row>
    <row r="11115" spans="7:7">
      <c r="G11115"/>
    </row>
    <row r="11116" spans="7:7">
      <c r="G11116"/>
    </row>
    <row r="11117" spans="7:7">
      <c r="G11117"/>
    </row>
    <row r="11118" spans="7:7">
      <c r="G11118"/>
    </row>
    <row r="11119" spans="7:7">
      <c r="G11119"/>
    </row>
    <row r="11120" spans="7:7">
      <c r="G11120"/>
    </row>
    <row r="11121" spans="7:7">
      <c r="G11121"/>
    </row>
    <row r="11122" spans="7:7">
      <c r="G11122"/>
    </row>
    <row r="11123" spans="7:7">
      <c r="G11123"/>
    </row>
    <row r="11124" spans="7:7">
      <c r="G11124"/>
    </row>
    <row r="11125" spans="7:7">
      <c r="G11125"/>
    </row>
    <row r="11126" spans="7:7">
      <c r="G11126"/>
    </row>
    <row r="11127" spans="7:7">
      <c r="G11127"/>
    </row>
    <row r="11128" spans="7:7">
      <c r="G11128"/>
    </row>
    <row r="11129" spans="7:7">
      <c r="G11129"/>
    </row>
    <row r="11130" spans="7:7">
      <c r="G11130"/>
    </row>
    <row r="11131" spans="7:7">
      <c r="G11131"/>
    </row>
    <row r="11132" spans="7:7">
      <c r="G11132"/>
    </row>
    <row r="11133" spans="7:7">
      <c r="G11133"/>
    </row>
    <row r="11134" spans="7:7">
      <c r="G11134"/>
    </row>
    <row r="11135" spans="7:7">
      <c r="G11135"/>
    </row>
    <row r="11136" spans="7:7">
      <c r="G11136"/>
    </row>
    <row r="11137" spans="7:7">
      <c r="G11137"/>
    </row>
    <row r="11138" spans="7:7">
      <c r="G11138"/>
    </row>
    <row r="11139" spans="7:7">
      <c r="G11139"/>
    </row>
    <row r="11140" spans="7:7">
      <c r="G11140"/>
    </row>
    <row r="11141" spans="7:7">
      <c r="G11141"/>
    </row>
    <row r="11142" spans="7:7">
      <c r="G11142"/>
    </row>
    <row r="11143" spans="7:7">
      <c r="G11143"/>
    </row>
    <row r="11144" spans="7:7">
      <c r="G11144"/>
    </row>
    <row r="11145" spans="7:7">
      <c r="G11145"/>
    </row>
    <row r="11146" spans="7:7">
      <c r="G11146"/>
    </row>
    <row r="11147" spans="7:7">
      <c r="G11147"/>
    </row>
    <row r="11148" spans="7:7">
      <c r="G11148"/>
    </row>
    <row r="11149" spans="7:7">
      <c r="G11149"/>
    </row>
    <row r="11150" spans="7:7">
      <c r="G11150"/>
    </row>
    <row r="11151" spans="7:7">
      <c r="G11151"/>
    </row>
    <row r="11152" spans="7:7">
      <c r="G11152"/>
    </row>
    <row r="11153" spans="7:7">
      <c r="G11153"/>
    </row>
    <row r="11154" spans="7:7">
      <c r="G11154"/>
    </row>
    <row r="11155" spans="7:7">
      <c r="G11155"/>
    </row>
    <row r="11156" spans="7:7">
      <c r="G11156"/>
    </row>
    <row r="11157" spans="7:7">
      <c r="G11157"/>
    </row>
    <row r="11158" spans="7:7">
      <c r="G11158"/>
    </row>
    <row r="11159" spans="7:7">
      <c r="G11159"/>
    </row>
    <row r="11160" spans="7:7">
      <c r="G11160"/>
    </row>
    <row r="11161" spans="7:7">
      <c r="G11161"/>
    </row>
    <row r="11162" spans="7:7">
      <c r="G11162"/>
    </row>
    <row r="11163" spans="7:7">
      <c r="G11163"/>
    </row>
    <row r="11164" spans="7:7">
      <c r="G11164"/>
    </row>
    <row r="11165" spans="7:7">
      <c r="G11165"/>
    </row>
    <row r="11166" spans="7:7">
      <c r="G11166"/>
    </row>
    <row r="11167" spans="7:7">
      <c r="G11167"/>
    </row>
    <row r="11168" spans="7:7">
      <c r="G11168"/>
    </row>
    <row r="11169" spans="7:7">
      <c r="G11169"/>
    </row>
    <row r="11170" spans="7:7">
      <c r="G11170"/>
    </row>
    <row r="11171" spans="7:7">
      <c r="G11171"/>
    </row>
    <row r="11172" spans="7:7">
      <c r="G11172"/>
    </row>
    <row r="11173" spans="7:7">
      <c r="G11173"/>
    </row>
    <row r="11174" spans="7:7">
      <c r="G11174"/>
    </row>
    <row r="11175" spans="7:7">
      <c r="G11175"/>
    </row>
    <row r="11176" spans="7:7">
      <c r="G11176"/>
    </row>
    <row r="11177" spans="7:7">
      <c r="G11177"/>
    </row>
    <row r="11178" spans="7:7">
      <c r="G11178"/>
    </row>
    <row r="11179" spans="7:7">
      <c r="G11179"/>
    </row>
    <row r="11180" spans="7:7">
      <c r="G11180"/>
    </row>
    <row r="11181" spans="7:7">
      <c r="G11181"/>
    </row>
    <row r="11182" spans="7:7">
      <c r="G11182"/>
    </row>
    <row r="11183" spans="7:7">
      <c r="G11183"/>
    </row>
    <row r="11184" spans="7:7">
      <c r="G11184"/>
    </row>
    <row r="11185" spans="7:7">
      <c r="G11185"/>
    </row>
    <row r="11186" spans="7:7">
      <c r="G11186"/>
    </row>
    <row r="11187" spans="7:7">
      <c r="G11187"/>
    </row>
    <row r="11188" spans="7:7">
      <c r="G11188"/>
    </row>
    <row r="11189" spans="7:7">
      <c r="G11189"/>
    </row>
    <row r="11190" spans="7:7">
      <c r="G11190"/>
    </row>
    <row r="11191" spans="7:7">
      <c r="G11191"/>
    </row>
    <row r="11192" spans="7:7">
      <c r="G11192"/>
    </row>
    <row r="11193" spans="7:7">
      <c r="G11193"/>
    </row>
    <row r="11194" spans="7:7">
      <c r="G11194"/>
    </row>
    <row r="11195" spans="7:7">
      <c r="G11195"/>
    </row>
    <row r="11196" spans="7:7">
      <c r="G11196"/>
    </row>
    <row r="11197" spans="7:7">
      <c r="G11197"/>
    </row>
    <row r="11198" spans="7:7">
      <c r="G11198"/>
    </row>
    <row r="11199" spans="7:7">
      <c r="G11199"/>
    </row>
    <row r="11200" spans="7:7">
      <c r="G11200"/>
    </row>
    <row r="11201" spans="7:7">
      <c r="G11201"/>
    </row>
    <row r="11202" spans="7:7">
      <c r="G11202"/>
    </row>
    <row r="11203" spans="7:7">
      <c r="G11203"/>
    </row>
    <row r="11204" spans="7:7">
      <c r="G11204"/>
    </row>
    <row r="11205" spans="7:7">
      <c r="G11205"/>
    </row>
    <row r="11206" spans="7:7">
      <c r="G11206"/>
    </row>
    <row r="11207" spans="7:7">
      <c r="G11207"/>
    </row>
    <row r="11208" spans="7:7">
      <c r="G11208"/>
    </row>
    <row r="11209" spans="7:7">
      <c r="G11209"/>
    </row>
    <row r="11210" spans="7:7">
      <c r="G11210"/>
    </row>
    <row r="11211" spans="7:7">
      <c r="G11211"/>
    </row>
    <row r="11212" spans="7:7">
      <c r="G11212"/>
    </row>
    <row r="11213" spans="7:7">
      <c r="G11213"/>
    </row>
    <row r="11214" spans="7:7">
      <c r="G11214"/>
    </row>
    <row r="11215" spans="7:7">
      <c r="G11215"/>
    </row>
    <row r="11216" spans="7:7">
      <c r="G11216"/>
    </row>
    <row r="11217" spans="7:7">
      <c r="G11217"/>
    </row>
    <row r="11218" spans="7:7">
      <c r="G11218"/>
    </row>
    <row r="11219" spans="7:7">
      <c r="G11219"/>
    </row>
    <row r="11220" spans="7:7">
      <c r="G11220"/>
    </row>
    <row r="11221" spans="7:7">
      <c r="G11221"/>
    </row>
    <row r="11222" spans="7:7">
      <c r="G11222"/>
    </row>
    <row r="11223" spans="7:7">
      <c r="G11223"/>
    </row>
    <row r="11224" spans="7:7">
      <c r="G11224"/>
    </row>
    <row r="11225" spans="7:7">
      <c r="G11225"/>
    </row>
    <row r="11226" spans="7:7">
      <c r="G11226"/>
    </row>
    <row r="11227" spans="7:7">
      <c r="G11227"/>
    </row>
    <row r="11228" spans="7:7">
      <c r="G11228"/>
    </row>
    <row r="11229" spans="7:7">
      <c r="G11229"/>
    </row>
    <row r="11230" spans="7:7">
      <c r="G11230"/>
    </row>
    <row r="11231" spans="7:7">
      <c r="G11231"/>
    </row>
    <row r="11232" spans="7:7">
      <c r="G11232"/>
    </row>
    <row r="11233" spans="7:7">
      <c r="G11233"/>
    </row>
    <row r="11234" spans="7:7">
      <c r="G11234"/>
    </row>
    <row r="11235" spans="7:7">
      <c r="G11235"/>
    </row>
    <row r="11236" spans="7:7">
      <c r="G11236"/>
    </row>
    <row r="11237" spans="7:7">
      <c r="G11237"/>
    </row>
    <row r="11238" spans="7:7">
      <c r="G11238"/>
    </row>
    <row r="11239" spans="7:7">
      <c r="G11239"/>
    </row>
    <row r="11240" spans="7:7">
      <c r="G11240"/>
    </row>
    <row r="11241" spans="7:7">
      <c r="G11241"/>
    </row>
    <row r="11242" spans="7:7">
      <c r="G11242"/>
    </row>
    <row r="11243" spans="7:7">
      <c r="G11243"/>
    </row>
    <row r="11244" spans="7:7">
      <c r="G11244"/>
    </row>
    <row r="11245" spans="7:7">
      <c r="G11245"/>
    </row>
    <row r="11246" spans="7:7">
      <c r="G11246"/>
    </row>
    <row r="11247" spans="7:7">
      <c r="G11247"/>
    </row>
    <row r="11248" spans="7:7">
      <c r="G11248"/>
    </row>
    <row r="11249" spans="7:7">
      <c r="G11249"/>
    </row>
    <row r="11250" spans="7:7">
      <c r="G11250"/>
    </row>
    <row r="11251" spans="7:7">
      <c r="G11251"/>
    </row>
    <row r="11252" spans="7:7">
      <c r="G11252"/>
    </row>
    <row r="11253" spans="7:7">
      <c r="G11253"/>
    </row>
    <row r="11254" spans="7:7">
      <c r="G11254"/>
    </row>
    <row r="11255" spans="7:7">
      <c r="G11255"/>
    </row>
    <row r="11256" spans="7:7">
      <c r="G11256"/>
    </row>
    <row r="11257" spans="7:7">
      <c r="G11257"/>
    </row>
    <row r="11258" spans="7:7">
      <c r="G11258"/>
    </row>
    <row r="11259" spans="7:7">
      <c r="G11259"/>
    </row>
    <row r="11260" spans="7:7">
      <c r="G11260"/>
    </row>
    <row r="11261" spans="7:7">
      <c r="G11261"/>
    </row>
    <row r="11262" spans="7:7">
      <c r="G11262"/>
    </row>
    <row r="11263" spans="7:7">
      <c r="G11263"/>
    </row>
    <row r="11264" spans="7:7">
      <c r="G11264"/>
    </row>
    <row r="11265" spans="7:7">
      <c r="G11265"/>
    </row>
    <row r="11266" spans="7:7">
      <c r="G11266"/>
    </row>
    <row r="11267" spans="7:7">
      <c r="G11267"/>
    </row>
    <row r="11268" spans="7:7">
      <c r="G11268"/>
    </row>
    <row r="11269" spans="7:7">
      <c r="G11269"/>
    </row>
    <row r="11270" spans="7:7">
      <c r="G11270"/>
    </row>
    <row r="11271" spans="7:7">
      <c r="G11271"/>
    </row>
    <row r="11272" spans="7:7">
      <c r="G11272"/>
    </row>
    <row r="11273" spans="7:7">
      <c r="G11273"/>
    </row>
    <row r="11274" spans="7:7">
      <c r="G11274"/>
    </row>
    <row r="11275" spans="7:7">
      <c r="G11275"/>
    </row>
    <row r="11276" spans="7:7">
      <c r="G11276"/>
    </row>
    <row r="11277" spans="7:7">
      <c r="G11277"/>
    </row>
    <row r="11278" spans="7:7">
      <c r="G11278"/>
    </row>
    <row r="11279" spans="7:7">
      <c r="G11279"/>
    </row>
    <row r="11280" spans="7:7">
      <c r="G11280"/>
    </row>
    <row r="11281" spans="7:7">
      <c r="G11281"/>
    </row>
    <row r="11282" spans="7:7">
      <c r="G11282"/>
    </row>
    <row r="11283" spans="7:7">
      <c r="G11283"/>
    </row>
    <row r="11284" spans="7:7">
      <c r="G11284"/>
    </row>
    <row r="11285" spans="7:7">
      <c r="G11285"/>
    </row>
    <row r="11286" spans="7:7">
      <c r="G11286"/>
    </row>
    <row r="11287" spans="7:7">
      <c r="G11287"/>
    </row>
    <row r="11288" spans="7:7">
      <c r="G11288"/>
    </row>
    <row r="11289" spans="7:7">
      <c r="G11289"/>
    </row>
    <row r="11290" spans="7:7">
      <c r="G11290"/>
    </row>
    <row r="11291" spans="7:7">
      <c r="G11291"/>
    </row>
    <row r="11292" spans="7:7">
      <c r="G11292"/>
    </row>
    <row r="11293" spans="7:7">
      <c r="G11293"/>
    </row>
    <row r="11294" spans="7:7">
      <c r="G11294"/>
    </row>
    <row r="11295" spans="7:7">
      <c r="G11295"/>
    </row>
    <row r="11296" spans="7:7">
      <c r="G11296"/>
    </row>
    <row r="11297" spans="7:7">
      <c r="G11297"/>
    </row>
    <row r="11298" spans="7:7">
      <c r="G11298"/>
    </row>
    <row r="11299" spans="7:7">
      <c r="G11299"/>
    </row>
    <row r="11300" spans="7:7">
      <c r="G11300"/>
    </row>
    <row r="11301" spans="7:7">
      <c r="G11301"/>
    </row>
    <row r="11302" spans="7:7">
      <c r="G11302"/>
    </row>
    <row r="11303" spans="7:7">
      <c r="G11303"/>
    </row>
    <row r="11304" spans="7:7">
      <c r="G11304"/>
    </row>
    <row r="11305" spans="7:7">
      <c r="G11305"/>
    </row>
    <row r="11306" spans="7:7">
      <c r="G11306"/>
    </row>
    <row r="11307" spans="7:7">
      <c r="G11307"/>
    </row>
    <row r="11308" spans="7:7">
      <c r="G11308"/>
    </row>
    <row r="11309" spans="7:7">
      <c r="G11309"/>
    </row>
    <row r="11310" spans="7:7">
      <c r="G11310"/>
    </row>
    <row r="11311" spans="7:7">
      <c r="G11311"/>
    </row>
    <row r="11312" spans="7:7">
      <c r="G11312"/>
    </row>
    <row r="11313" spans="7:7">
      <c r="G11313"/>
    </row>
    <row r="11314" spans="7:7">
      <c r="G11314"/>
    </row>
    <row r="11315" spans="7:7">
      <c r="G11315"/>
    </row>
    <row r="11316" spans="7:7">
      <c r="G11316"/>
    </row>
    <row r="11317" spans="7:7">
      <c r="G11317"/>
    </row>
    <row r="11318" spans="7:7">
      <c r="G11318"/>
    </row>
    <row r="11319" spans="7:7">
      <c r="G11319"/>
    </row>
    <row r="11320" spans="7:7">
      <c r="G11320"/>
    </row>
    <row r="11321" spans="7:7">
      <c r="G11321"/>
    </row>
    <row r="11322" spans="7:7">
      <c r="G11322"/>
    </row>
    <row r="11323" spans="7:7">
      <c r="G11323"/>
    </row>
    <row r="11324" spans="7:7">
      <c r="G11324"/>
    </row>
    <row r="11325" spans="7:7">
      <c r="G11325"/>
    </row>
    <row r="11326" spans="7:7">
      <c r="G11326"/>
    </row>
    <row r="11327" spans="7:7">
      <c r="G11327"/>
    </row>
    <row r="11328" spans="7:7">
      <c r="G11328"/>
    </row>
    <row r="11329" spans="7:7">
      <c r="G11329"/>
    </row>
    <row r="11330" spans="7:7">
      <c r="G11330"/>
    </row>
    <row r="11331" spans="7:7">
      <c r="G11331"/>
    </row>
    <row r="11332" spans="7:7">
      <c r="G11332"/>
    </row>
    <row r="11333" spans="7:7">
      <c r="G11333"/>
    </row>
    <row r="11334" spans="7:7">
      <c r="G11334"/>
    </row>
    <row r="11335" spans="7:7">
      <c r="G11335"/>
    </row>
    <row r="11336" spans="7:7">
      <c r="G11336"/>
    </row>
    <row r="11337" spans="7:7">
      <c r="G11337"/>
    </row>
    <row r="11338" spans="7:7">
      <c r="G11338"/>
    </row>
    <row r="11339" spans="7:7">
      <c r="G11339"/>
    </row>
    <row r="11340" spans="7:7">
      <c r="G11340"/>
    </row>
    <row r="11341" spans="7:7">
      <c r="G11341"/>
    </row>
    <row r="11342" spans="7:7">
      <c r="G11342"/>
    </row>
    <row r="11343" spans="7:7">
      <c r="G11343"/>
    </row>
    <row r="11344" spans="7:7">
      <c r="G11344"/>
    </row>
    <row r="11345" spans="7:7">
      <c r="G11345"/>
    </row>
    <row r="11346" spans="7:7">
      <c r="G11346"/>
    </row>
    <row r="11347" spans="7:7">
      <c r="G11347"/>
    </row>
    <row r="11348" spans="7:7">
      <c r="G11348"/>
    </row>
    <row r="11349" spans="7:7">
      <c r="G11349"/>
    </row>
    <row r="11350" spans="7:7">
      <c r="G11350"/>
    </row>
    <row r="11351" spans="7:7">
      <c r="G11351"/>
    </row>
    <row r="11352" spans="7:7">
      <c r="G11352"/>
    </row>
    <row r="11353" spans="7:7">
      <c r="G11353"/>
    </row>
    <row r="11354" spans="7:7">
      <c r="G11354"/>
    </row>
    <row r="11355" spans="7:7">
      <c r="G11355"/>
    </row>
    <row r="11356" spans="7:7">
      <c r="G11356"/>
    </row>
    <row r="11357" spans="7:7">
      <c r="G11357"/>
    </row>
    <row r="11358" spans="7:7">
      <c r="G11358"/>
    </row>
    <row r="11359" spans="7:7">
      <c r="G11359"/>
    </row>
    <row r="11360" spans="7:7">
      <c r="G11360"/>
    </row>
    <row r="11361" spans="7:7">
      <c r="G11361"/>
    </row>
    <row r="11362" spans="7:7">
      <c r="G11362"/>
    </row>
    <row r="11363" spans="7:7">
      <c r="G11363"/>
    </row>
    <row r="11364" spans="7:7">
      <c r="G11364"/>
    </row>
    <row r="11365" spans="7:7">
      <c r="G11365"/>
    </row>
    <row r="11366" spans="7:7">
      <c r="G11366"/>
    </row>
    <row r="11367" spans="7:7">
      <c r="G11367"/>
    </row>
    <row r="11368" spans="7:7">
      <c r="G11368"/>
    </row>
    <row r="11369" spans="7:7">
      <c r="G11369"/>
    </row>
    <row r="11370" spans="7:7">
      <c r="G11370"/>
    </row>
    <row r="11371" spans="7:7">
      <c r="G11371"/>
    </row>
    <row r="11372" spans="7:7">
      <c r="G11372"/>
    </row>
    <row r="11373" spans="7:7">
      <c r="G11373"/>
    </row>
    <row r="11374" spans="7:7">
      <c r="G11374"/>
    </row>
    <row r="11375" spans="7:7">
      <c r="G11375"/>
    </row>
    <row r="11376" spans="7:7">
      <c r="G11376"/>
    </row>
    <row r="11377" spans="7:7">
      <c r="G11377"/>
    </row>
    <row r="11378" spans="7:7">
      <c r="G11378"/>
    </row>
    <row r="11379" spans="7:7">
      <c r="G11379"/>
    </row>
    <row r="11380" spans="7:7">
      <c r="G11380"/>
    </row>
    <row r="11381" spans="7:7">
      <c r="G11381"/>
    </row>
    <row r="11382" spans="7:7">
      <c r="G11382"/>
    </row>
    <row r="11383" spans="7:7">
      <c r="G11383"/>
    </row>
    <row r="11384" spans="7:7">
      <c r="G11384"/>
    </row>
    <row r="11385" spans="7:7">
      <c r="G11385"/>
    </row>
    <row r="11386" spans="7:7">
      <c r="G11386"/>
    </row>
    <row r="11387" spans="7:7">
      <c r="G11387"/>
    </row>
    <row r="11388" spans="7:7">
      <c r="G11388"/>
    </row>
    <row r="11389" spans="7:7">
      <c r="G11389"/>
    </row>
    <row r="11390" spans="7:7">
      <c r="G11390"/>
    </row>
    <row r="11391" spans="7:7">
      <c r="G11391"/>
    </row>
    <row r="11392" spans="7:7">
      <c r="G11392"/>
    </row>
    <row r="11393" spans="7:7">
      <c r="G11393"/>
    </row>
    <row r="11394" spans="7:7">
      <c r="G11394"/>
    </row>
    <row r="11395" spans="7:7">
      <c r="G11395"/>
    </row>
    <row r="11396" spans="7:7">
      <c r="G11396"/>
    </row>
    <row r="11397" spans="7:7">
      <c r="G11397"/>
    </row>
    <row r="11398" spans="7:7">
      <c r="G11398"/>
    </row>
    <row r="11399" spans="7:7">
      <c r="G11399"/>
    </row>
    <row r="11400" spans="7:7">
      <c r="G11400"/>
    </row>
    <row r="11401" spans="7:7">
      <c r="G11401"/>
    </row>
    <row r="11402" spans="7:7">
      <c r="G11402"/>
    </row>
    <row r="11403" spans="7:7">
      <c r="G11403"/>
    </row>
    <row r="11404" spans="7:7">
      <c r="G11404"/>
    </row>
    <row r="11405" spans="7:7">
      <c r="G11405"/>
    </row>
    <row r="11406" spans="7:7">
      <c r="G11406"/>
    </row>
    <row r="11407" spans="7:7">
      <c r="G11407"/>
    </row>
    <row r="11408" spans="7:7">
      <c r="G11408"/>
    </row>
    <row r="11409" spans="7:7">
      <c r="G11409"/>
    </row>
    <row r="11410" spans="7:7">
      <c r="G11410"/>
    </row>
    <row r="11411" spans="7:7">
      <c r="G11411"/>
    </row>
    <row r="11412" spans="7:7">
      <c r="G11412"/>
    </row>
    <row r="11413" spans="7:7">
      <c r="G11413"/>
    </row>
    <row r="11414" spans="7:7">
      <c r="G11414"/>
    </row>
    <row r="11415" spans="7:7">
      <c r="G11415"/>
    </row>
    <row r="11416" spans="7:7">
      <c r="G11416"/>
    </row>
    <row r="11417" spans="7:7">
      <c r="G11417"/>
    </row>
    <row r="11418" spans="7:7">
      <c r="G11418"/>
    </row>
    <row r="11419" spans="7:7">
      <c r="G11419"/>
    </row>
    <row r="11420" spans="7:7">
      <c r="G11420"/>
    </row>
    <row r="11421" spans="7:7">
      <c r="G11421"/>
    </row>
    <row r="11422" spans="7:7">
      <c r="G11422"/>
    </row>
    <row r="11423" spans="7:7">
      <c r="G11423"/>
    </row>
    <row r="11424" spans="7:7">
      <c r="G11424"/>
    </row>
    <row r="11425" spans="7:7">
      <c r="G11425"/>
    </row>
    <row r="11426" spans="7:7">
      <c r="G11426"/>
    </row>
    <row r="11427" spans="7:7">
      <c r="G11427"/>
    </row>
    <row r="11428" spans="7:7">
      <c r="G11428"/>
    </row>
    <row r="11429" spans="7:7">
      <c r="G11429"/>
    </row>
    <row r="11430" spans="7:7">
      <c r="G11430"/>
    </row>
    <row r="11431" spans="7:7">
      <c r="G11431"/>
    </row>
    <row r="11432" spans="7:7">
      <c r="G11432"/>
    </row>
    <row r="11433" spans="7:7">
      <c r="G11433"/>
    </row>
    <row r="11434" spans="7:7">
      <c r="G11434"/>
    </row>
    <row r="11435" spans="7:7">
      <c r="G11435"/>
    </row>
    <row r="11436" spans="7:7">
      <c r="G11436"/>
    </row>
    <row r="11437" spans="7:7">
      <c r="G11437"/>
    </row>
    <row r="11438" spans="7:7">
      <c r="G11438"/>
    </row>
    <row r="11439" spans="7:7">
      <c r="G11439"/>
    </row>
    <row r="11440" spans="7:7">
      <c r="G11440"/>
    </row>
    <row r="11441" spans="7:7">
      <c r="G11441"/>
    </row>
    <row r="11442" spans="7:7">
      <c r="G11442"/>
    </row>
    <row r="11443" spans="7:7">
      <c r="G11443"/>
    </row>
    <row r="11444" spans="7:7">
      <c r="G11444"/>
    </row>
    <row r="11445" spans="7:7">
      <c r="G11445"/>
    </row>
    <row r="11446" spans="7:7">
      <c r="G11446"/>
    </row>
    <row r="11447" spans="7:7">
      <c r="G11447"/>
    </row>
    <row r="11448" spans="7:7">
      <c r="G11448"/>
    </row>
    <row r="11449" spans="7:7">
      <c r="G11449"/>
    </row>
    <row r="11450" spans="7:7">
      <c r="G11450"/>
    </row>
    <row r="11451" spans="7:7">
      <c r="G11451"/>
    </row>
    <row r="11452" spans="7:7">
      <c r="G11452"/>
    </row>
    <row r="11453" spans="7:7">
      <c r="G11453"/>
    </row>
    <row r="11454" spans="7:7">
      <c r="G11454"/>
    </row>
    <row r="11455" spans="7:7">
      <c r="G11455"/>
    </row>
    <row r="11456" spans="7:7">
      <c r="G11456"/>
    </row>
    <row r="11457" spans="7:7">
      <c r="G11457"/>
    </row>
    <row r="11458" spans="7:7">
      <c r="G11458"/>
    </row>
    <row r="11459" spans="7:7">
      <c r="G11459"/>
    </row>
    <row r="11460" spans="7:7">
      <c r="G11460"/>
    </row>
    <row r="11461" spans="7:7">
      <c r="G11461"/>
    </row>
    <row r="11462" spans="7:7">
      <c r="G11462"/>
    </row>
    <row r="11463" spans="7:7">
      <c r="G11463"/>
    </row>
    <row r="11464" spans="7:7">
      <c r="G11464"/>
    </row>
    <row r="11465" spans="7:7">
      <c r="G11465"/>
    </row>
    <row r="11466" spans="7:7">
      <c r="G11466"/>
    </row>
    <row r="11467" spans="7:7">
      <c r="G11467"/>
    </row>
    <row r="11468" spans="7:7">
      <c r="G11468"/>
    </row>
    <row r="11469" spans="7:7">
      <c r="G11469"/>
    </row>
    <row r="11470" spans="7:7">
      <c r="G11470"/>
    </row>
    <row r="11471" spans="7:7">
      <c r="G11471"/>
    </row>
    <row r="11472" spans="7:7">
      <c r="G11472"/>
    </row>
    <row r="11473" spans="7:7">
      <c r="G11473"/>
    </row>
    <row r="11474" spans="7:7">
      <c r="G11474"/>
    </row>
    <row r="11475" spans="7:7">
      <c r="G11475"/>
    </row>
    <row r="11476" spans="7:7">
      <c r="G11476"/>
    </row>
    <row r="11477" spans="7:7">
      <c r="G11477"/>
    </row>
    <row r="11478" spans="7:7">
      <c r="G11478"/>
    </row>
    <row r="11479" spans="7:7">
      <c r="G11479"/>
    </row>
    <row r="11480" spans="7:7">
      <c r="G11480"/>
    </row>
    <row r="11481" spans="7:7">
      <c r="G11481"/>
    </row>
    <row r="11482" spans="7:7">
      <c r="G11482"/>
    </row>
    <row r="11483" spans="7:7">
      <c r="G11483"/>
    </row>
    <row r="11484" spans="7:7">
      <c r="G11484"/>
    </row>
    <row r="11485" spans="7:7">
      <c r="G11485"/>
    </row>
    <row r="11486" spans="7:7">
      <c r="G11486"/>
    </row>
    <row r="11487" spans="7:7">
      <c r="G11487"/>
    </row>
    <row r="11488" spans="7:7">
      <c r="G11488"/>
    </row>
    <row r="11489" spans="7:7">
      <c r="G11489"/>
    </row>
    <row r="11490" spans="7:7">
      <c r="G11490"/>
    </row>
    <row r="11491" spans="7:7">
      <c r="G11491"/>
    </row>
    <row r="11492" spans="7:7">
      <c r="G11492"/>
    </row>
    <row r="11493" spans="7:7">
      <c r="G11493"/>
    </row>
    <row r="11494" spans="7:7">
      <c r="G11494"/>
    </row>
    <row r="11495" spans="7:7">
      <c r="G11495"/>
    </row>
    <row r="11496" spans="7:7">
      <c r="G11496"/>
    </row>
    <row r="11497" spans="7:7">
      <c r="G11497"/>
    </row>
    <row r="11498" spans="7:7">
      <c r="G11498"/>
    </row>
    <row r="11499" spans="7:7">
      <c r="G11499"/>
    </row>
    <row r="11500" spans="7:7">
      <c r="G11500"/>
    </row>
    <row r="11501" spans="7:7">
      <c r="G11501"/>
    </row>
    <row r="11502" spans="7:7">
      <c r="G11502"/>
    </row>
    <row r="11503" spans="7:7">
      <c r="G11503"/>
    </row>
    <row r="11504" spans="7:7">
      <c r="G11504"/>
    </row>
    <row r="11505" spans="7:7">
      <c r="G11505"/>
    </row>
    <row r="11506" spans="7:7">
      <c r="G11506"/>
    </row>
    <row r="11507" spans="7:7">
      <c r="G11507"/>
    </row>
    <row r="11508" spans="7:7">
      <c r="G11508"/>
    </row>
    <row r="11509" spans="7:7">
      <c r="G11509"/>
    </row>
    <row r="11510" spans="7:7">
      <c r="G11510"/>
    </row>
    <row r="11511" spans="7:7">
      <c r="G11511"/>
    </row>
    <row r="11512" spans="7:7">
      <c r="G11512"/>
    </row>
    <row r="11513" spans="7:7">
      <c r="G11513"/>
    </row>
    <row r="11514" spans="7:7">
      <c r="G11514"/>
    </row>
    <row r="11515" spans="7:7">
      <c r="G11515"/>
    </row>
    <row r="11516" spans="7:7">
      <c r="G11516"/>
    </row>
    <row r="11517" spans="7:7">
      <c r="G11517"/>
    </row>
    <row r="11518" spans="7:7">
      <c r="G11518"/>
    </row>
    <row r="11519" spans="7:7">
      <c r="G11519"/>
    </row>
    <row r="11520" spans="7:7">
      <c r="G11520"/>
    </row>
    <row r="11521" spans="7:7">
      <c r="G11521"/>
    </row>
    <row r="11522" spans="7:7">
      <c r="G11522"/>
    </row>
    <row r="11523" spans="7:7">
      <c r="G11523"/>
    </row>
    <row r="11524" spans="7:7">
      <c r="G11524"/>
    </row>
    <row r="11525" spans="7:7">
      <c r="G11525"/>
    </row>
    <row r="11526" spans="7:7">
      <c r="G11526"/>
    </row>
    <row r="11527" spans="7:7">
      <c r="G11527"/>
    </row>
    <row r="11528" spans="7:7">
      <c r="G11528"/>
    </row>
    <row r="11529" spans="7:7">
      <c r="G11529"/>
    </row>
    <row r="11530" spans="7:7">
      <c r="G11530"/>
    </row>
    <row r="11531" spans="7:7">
      <c r="G11531"/>
    </row>
    <row r="11532" spans="7:7">
      <c r="G11532"/>
    </row>
    <row r="11533" spans="7:7">
      <c r="G11533"/>
    </row>
    <row r="11534" spans="7:7">
      <c r="G11534"/>
    </row>
    <row r="11535" spans="7:7">
      <c r="G11535"/>
    </row>
    <row r="11536" spans="7:7">
      <c r="G11536"/>
    </row>
    <row r="11537" spans="7:7">
      <c r="G11537"/>
    </row>
    <row r="11538" spans="7:7">
      <c r="G11538"/>
    </row>
    <row r="11539" spans="7:7">
      <c r="G11539"/>
    </row>
    <row r="11540" spans="7:7">
      <c r="G11540"/>
    </row>
    <row r="11541" spans="7:7">
      <c r="G11541"/>
    </row>
    <row r="11542" spans="7:7">
      <c r="G11542"/>
    </row>
    <row r="11543" spans="7:7">
      <c r="G11543"/>
    </row>
    <row r="11544" spans="7:7">
      <c r="G11544"/>
    </row>
    <row r="11545" spans="7:7">
      <c r="G11545"/>
    </row>
    <row r="11546" spans="7:7">
      <c r="G11546"/>
    </row>
    <row r="11547" spans="7:7">
      <c r="G11547"/>
    </row>
    <row r="11548" spans="7:7">
      <c r="G11548"/>
    </row>
    <row r="11549" spans="7:7">
      <c r="G11549"/>
    </row>
    <row r="11550" spans="7:7">
      <c r="G11550"/>
    </row>
    <row r="11551" spans="7:7">
      <c r="G11551"/>
    </row>
    <row r="11552" spans="7:7">
      <c r="G11552"/>
    </row>
    <row r="11553" spans="7:7">
      <c r="G11553"/>
    </row>
    <row r="11554" spans="7:7">
      <c r="G11554"/>
    </row>
    <row r="11555" spans="7:7">
      <c r="G11555"/>
    </row>
    <row r="11556" spans="7:7">
      <c r="G11556"/>
    </row>
    <row r="11557" spans="7:7">
      <c r="G11557"/>
    </row>
    <row r="11558" spans="7:7">
      <c r="G11558"/>
    </row>
    <row r="11559" spans="7:7">
      <c r="G11559"/>
    </row>
    <row r="11560" spans="7:7">
      <c r="G11560"/>
    </row>
    <row r="11561" spans="7:7">
      <c r="G11561"/>
    </row>
    <row r="11562" spans="7:7">
      <c r="G11562"/>
    </row>
    <row r="11563" spans="7:7">
      <c r="G11563"/>
    </row>
    <row r="11564" spans="7:7">
      <c r="G11564"/>
    </row>
    <row r="11565" spans="7:7">
      <c r="G11565"/>
    </row>
    <row r="11566" spans="7:7">
      <c r="G11566"/>
    </row>
    <row r="11567" spans="7:7">
      <c r="G11567"/>
    </row>
    <row r="11568" spans="7:7">
      <c r="G11568"/>
    </row>
    <row r="11569" spans="7:7">
      <c r="G11569"/>
    </row>
    <row r="11570" spans="7:7">
      <c r="G11570"/>
    </row>
    <row r="11571" spans="7:7">
      <c r="G11571"/>
    </row>
    <row r="11572" spans="7:7">
      <c r="G11572"/>
    </row>
    <row r="11573" spans="7:7">
      <c r="G11573"/>
    </row>
    <row r="11574" spans="7:7">
      <c r="G11574"/>
    </row>
    <row r="11575" spans="7:7">
      <c r="G11575"/>
    </row>
    <row r="11576" spans="7:7">
      <c r="G11576"/>
    </row>
    <row r="11577" spans="7:7">
      <c r="G11577"/>
    </row>
    <row r="11578" spans="7:7">
      <c r="G11578"/>
    </row>
    <row r="11579" spans="7:7">
      <c r="G11579"/>
    </row>
    <row r="11580" spans="7:7">
      <c r="G11580"/>
    </row>
    <row r="11581" spans="7:7">
      <c r="G11581"/>
    </row>
    <row r="11582" spans="7:7">
      <c r="G11582"/>
    </row>
    <row r="11583" spans="7:7">
      <c r="G11583"/>
    </row>
    <row r="11584" spans="7:7">
      <c r="G11584"/>
    </row>
    <row r="11585" spans="7:7">
      <c r="G11585"/>
    </row>
    <row r="11586" spans="7:7">
      <c r="G11586"/>
    </row>
    <row r="11587" spans="7:7">
      <c r="G11587"/>
    </row>
    <row r="11588" spans="7:7">
      <c r="G11588"/>
    </row>
    <row r="11589" spans="7:7">
      <c r="G11589"/>
    </row>
    <row r="11590" spans="7:7">
      <c r="G11590"/>
    </row>
    <row r="11591" spans="7:7">
      <c r="G11591"/>
    </row>
    <row r="11592" spans="7:7">
      <c r="G11592"/>
    </row>
    <row r="11593" spans="7:7">
      <c r="G11593"/>
    </row>
    <row r="11594" spans="7:7">
      <c r="G11594"/>
    </row>
    <row r="11595" spans="7:7">
      <c r="G11595"/>
    </row>
    <row r="11596" spans="7:7">
      <c r="G11596"/>
    </row>
    <row r="11597" spans="7:7">
      <c r="G11597"/>
    </row>
    <row r="11598" spans="7:7">
      <c r="G11598"/>
    </row>
    <row r="11599" spans="7:7">
      <c r="G11599"/>
    </row>
    <row r="11600" spans="7:7">
      <c r="G11600"/>
    </row>
    <row r="11601" spans="7:7">
      <c r="G11601"/>
    </row>
    <row r="11602" spans="7:7">
      <c r="G11602"/>
    </row>
    <row r="11603" spans="7:7">
      <c r="G11603"/>
    </row>
    <row r="11604" spans="7:7">
      <c r="G11604"/>
    </row>
    <row r="11605" spans="7:7">
      <c r="G11605"/>
    </row>
    <row r="11606" spans="7:7">
      <c r="G11606"/>
    </row>
    <row r="11607" spans="7:7">
      <c r="G11607"/>
    </row>
    <row r="11608" spans="7:7">
      <c r="G11608"/>
    </row>
    <row r="11609" spans="7:7">
      <c r="G11609"/>
    </row>
    <row r="11610" spans="7:7">
      <c r="G11610"/>
    </row>
    <row r="11611" spans="7:7">
      <c r="G11611"/>
    </row>
    <row r="11612" spans="7:7">
      <c r="G11612"/>
    </row>
    <row r="11613" spans="7:7">
      <c r="G11613"/>
    </row>
    <row r="11614" spans="7:7">
      <c r="G11614"/>
    </row>
    <row r="11615" spans="7:7">
      <c r="G11615"/>
    </row>
    <row r="11616" spans="7:7">
      <c r="G11616"/>
    </row>
    <row r="11617" spans="7:7">
      <c r="G11617"/>
    </row>
    <row r="11618" spans="7:7">
      <c r="G11618"/>
    </row>
    <row r="11619" spans="7:7">
      <c r="G11619"/>
    </row>
    <row r="11620" spans="7:7">
      <c r="G11620"/>
    </row>
    <row r="11621" spans="7:7">
      <c r="G11621"/>
    </row>
    <row r="11622" spans="7:7">
      <c r="G11622"/>
    </row>
    <row r="11623" spans="7:7">
      <c r="G11623"/>
    </row>
    <row r="11624" spans="7:7">
      <c r="G11624"/>
    </row>
    <row r="11625" spans="7:7">
      <c r="G11625"/>
    </row>
    <row r="11626" spans="7:7">
      <c r="G11626"/>
    </row>
    <row r="11627" spans="7:7">
      <c r="G11627"/>
    </row>
    <row r="11628" spans="7:7">
      <c r="G11628"/>
    </row>
    <row r="11629" spans="7:7">
      <c r="G11629"/>
    </row>
    <row r="11630" spans="7:7">
      <c r="G11630"/>
    </row>
    <row r="11631" spans="7:7">
      <c r="G11631"/>
    </row>
    <row r="11632" spans="7:7">
      <c r="G11632"/>
    </row>
    <row r="11633" spans="7:7">
      <c r="G11633"/>
    </row>
    <row r="11634" spans="7:7">
      <c r="G11634"/>
    </row>
    <row r="11635" spans="7:7">
      <c r="G11635"/>
    </row>
    <row r="11636" spans="7:7">
      <c r="G11636"/>
    </row>
    <row r="11637" spans="7:7">
      <c r="G11637"/>
    </row>
    <row r="11638" spans="7:7">
      <c r="G11638"/>
    </row>
    <row r="11639" spans="7:7">
      <c r="G11639"/>
    </row>
    <row r="11640" spans="7:7">
      <c r="G11640"/>
    </row>
    <row r="11641" spans="7:7">
      <c r="G11641"/>
    </row>
    <row r="11642" spans="7:7">
      <c r="G11642"/>
    </row>
    <row r="11643" spans="7:7">
      <c r="G11643"/>
    </row>
    <row r="11644" spans="7:7">
      <c r="G11644"/>
    </row>
    <row r="11645" spans="7:7">
      <c r="G11645"/>
    </row>
    <row r="11646" spans="7:7">
      <c r="G11646"/>
    </row>
    <row r="11647" spans="7:7">
      <c r="G11647"/>
    </row>
    <row r="11648" spans="7:7">
      <c r="G11648"/>
    </row>
    <row r="11649" spans="7:7">
      <c r="G11649"/>
    </row>
    <row r="11650" spans="7:7">
      <c r="G11650"/>
    </row>
    <row r="11651" spans="7:7">
      <c r="G11651"/>
    </row>
    <row r="11652" spans="7:7">
      <c r="G11652"/>
    </row>
    <row r="11653" spans="7:7">
      <c r="G11653"/>
    </row>
    <row r="11654" spans="7:7">
      <c r="G11654"/>
    </row>
    <row r="11655" spans="7:7">
      <c r="G11655"/>
    </row>
    <row r="11656" spans="7:7">
      <c r="G11656"/>
    </row>
    <row r="11657" spans="7:7">
      <c r="G11657"/>
    </row>
    <row r="11658" spans="7:7">
      <c r="G11658"/>
    </row>
    <row r="11659" spans="7:7">
      <c r="G11659"/>
    </row>
    <row r="11660" spans="7:7">
      <c r="G11660"/>
    </row>
    <row r="11661" spans="7:7">
      <c r="G11661"/>
    </row>
    <row r="11662" spans="7:7">
      <c r="G11662"/>
    </row>
    <row r="11663" spans="7:7">
      <c r="G11663"/>
    </row>
    <row r="11664" spans="7:7">
      <c r="G11664"/>
    </row>
    <row r="11665" spans="7:7">
      <c r="G11665"/>
    </row>
    <row r="11666" spans="7:7">
      <c r="G11666"/>
    </row>
    <row r="11667" spans="7:7">
      <c r="G11667"/>
    </row>
    <row r="11668" spans="7:7">
      <c r="G11668"/>
    </row>
    <row r="11669" spans="7:7">
      <c r="G11669"/>
    </row>
    <row r="11670" spans="7:7">
      <c r="G11670"/>
    </row>
    <row r="11671" spans="7:7">
      <c r="G11671"/>
    </row>
    <row r="11672" spans="7:7">
      <c r="G11672"/>
    </row>
    <row r="11673" spans="7:7">
      <c r="G11673"/>
    </row>
    <row r="11674" spans="7:7">
      <c r="G11674"/>
    </row>
    <row r="11675" spans="7:7">
      <c r="G11675"/>
    </row>
    <row r="11676" spans="7:7">
      <c r="G11676"/>
    </row>
    <row r="11677" spans="7:7">
      <c r="G11677"/>
    </row>
    <row r="11678" spans="7:7">
      <c r="G11678"/>
    </row>
    <row r="11679" spans="7:7">
      <c r="G11679"/>
    </row>
    <row r="11680" spans="7:7">
      <c r="G11680"/>
    </row>
    <row r="11681" spans="7:7">
      <c r="G11681"/>
    </row>
    <row r="11682" spans="7:7">
      <c r="G11682"/>
    </row>
    <row r="11683" spans="7:7">
      <c r="G11683"/>
    </row>
    <row r="11684" spans="7:7">
      <c r="G11684"/>
    </row>
    <row r="11685" spans="7:7">
      <c r="G11685"/>
    </row>
    <row r="11686" spans="7:7">
      <c r="G11686"/>
    </row>
    <row r="11687" spans="7:7">
      <c r="G11687"/>
    </row>
    <row r="11688" spans="7:7">
      <c r="G11688"/>
    </row>
    <row r="11689" spans="7:7">
      <c r="G11689"/>
    </row>
    <row r="11690" spans="7:7">
      <c r="G11690"/>
    </row>
    <row r="11691" spans="7:7">
      <c r="G11691"/>
    </row>
    <row r="11692" spans="7:7">
      <c r="G11692"/>
    </row>
    <row r="11693" spans="7:7">
      <c r="G11693"/>
    </row>
    <row r="11694" spans="7:7">
      <c r="G11694"/>
    </row>
    <row r="11695" spans="7:7">
      <c r="G11695"/>
    </row>
    <row r="11696" spans="7:7">
      <c r="G11696"/>
    </row>
    <row r="11697" spans="7:7">
      <c r="G11697"/>
    </row>
    <row r="11698" spans="7:7">
      <c r="G11698"/>
    </row>
    <row r="11699" spans="7:7">
      <c r="G11699"/>
    </row>
    <row r="11700" spans="7:7">
      <c r="G11700"/>
    </row>
    <row r="11701" spans="7:7">
      <c r="G11701"/>
    </row>
    <row r="11702" spans="7:7">
      <c r="G11702"/>
    </row>
    <row r="11703" spans="7:7">
      <c r="G11703"/>
    </row>
    <row r="11704" spans="7:7">
      <c r="G11704"/>
    </row>
    <row r="11705" spans="7:7">
      <c r="G11705"/>
    </row>
    <row r="11706" spans="7:7">
      <c r="G11706"/>
    </row>
    <row r="11707" spans="7:7">
      <c r="G11707"/>
    </row>
    <row r="11708" spans="7:7">
      <c r="G11708"/>
    </row>
    <row r="11709" spans="7:7">
      <c r="G11709"/>
    </row>
    <row r="11710" spans="7:7">
      <c r="G11710"/>
    </row>
    <row r="11711" spans="7:7">
      <c r="G11711"/>
    </row>
    <row r="11712" spans="7:7">
      <c r="G11712"/>
    </row>
    <row r="11713" spans="7:7">
      <c r="G11713"/>
    </row>
    <row r="11714" spans="7:7">
      <c r="G11714"/>
    </row>
    <row r="11715" spans="7:7">
      <c r="G11715"/>
    </row>
    <row r="11716" spans="7:7">
      <c r="G11716"/>
    </row>
    <row r="11717" spans="7:7">
      <c r="G11717"/>
    </row>
    <row r="11718" spans="7:7">
      <c r="G11718"/>
    </row>
    <row r="11719" spans="7:7">
      <c r="G11719"/>
    </row>
    <row r="11720" spans="7:7">
      <c r="G11720"/>
    </row>
    <row r="11721" spans="7:7">
      <c r="G11721"/>
    </row>
    <row r="11722" spans="7:7">
      <c r="G11722"/>
    </row>
    <row r="11723" spans="7:7">
      <c r="G11723"/>
    </row>
    <row r="11724" spans="7:7">
      <c r="G11724"/>
    </row>
    <row r="11725" spans="7:7">
      <c r="G11725"/>
    </row>
    <row r="11726" spans="7:7">
      <c r="G11726"/>
    </row>
    <row r="11727" spans="7:7">
      <c r="G11727"/>
    </row>
    <row r="11728" spans="7:7">
      <c r="G11728"/>
    </row>
    <row r="11729" spans="7:7">
      <c r="G11729"/>
    </row>
    <row r="11730" spans="7:7">
      <c r="G11730"/>
    </row>
    <row r="11731" spans="7:7">
      <c r="G11731"/>
    </row>
    <row r="11732" spans="7:7">
      <c r="G11732"/>
    </row>
    <row r="11733" spans="7:7">
      <c r="G11733"/>
    </row>
    <row r="11734" spans="7:7">
      <c r="G11734"/>
    </row>
    <row r="11735" spans="7:7">
      <c r="G11735"/>
    </row>
    <row r="11736" spans="7:7">
      <c r="G11736"/>
    </row>
    <row r="11737" spans="7:7">
      <c r="G11737"/>
    </row>
    <row r="11738" spans="7:7">
      <c r="G11738"/>
    </row>
    <row r="11739" spans="7:7">
      <c r="G11739"/>
    </row>
    <row r="11740" spans="7:7">
      <c r="G11740"/>
    </row>
    <row r="11741" spans="7:7">
      <c r="G11741"/>
    </row>
    <row r="11742" spans="7:7">
      <c r="G11742"/>
    </row>
    <row r="11743" spans="7:7">
      <c r="G11743"/>
    </row>
    <row r="11744" spans="7:7">
      <c r="G11744"/>
    </row>
    <row r="11745" spans="7:7">
      <c r="G11745"/>
    </row>
    <row r="11746" spans="7:7">
      <c r="G11746"/>
    </row>
    <row r="11747" spans="7:7">
      <c r="G11747"/>
    </row>
    <row r="11748" spans="7:7">
      <c r="G11748"/>
    </row>
    <row r="11749" spans="7:7">
      <c r="G11749"/>
    </row>
    <row r="11750" spans="7:7">
      <c r="G11750"/>
    </row>
    <row r="11751" spans="7:7">
      <c r="G11751"/>
    </row>
    <row r="11752" spans="7:7">
      <c r="G11752"/>
    </row>
    <row r="11753" spans="7:7">
      <c r="G11753"/>
    </row>
    <row r="11754" spans="7:7">
      <c r="G11754"/>
    </row>
    <row r="11755" spans="7:7">
      <c r="G11755"/>
    </row>
    <row r="11756" spans="7:7">
      <c r="G11756"/>
    </row>
    <row r="11757" spans="7:7">
      <c r="G11757"/>
    </row>
    <row r="11758" spans="7:7">
      <c r="G11758"/>
    </row>
    <row r="11759" spans="7:7">
      <c r="G11759"/>
    </row>
    <row r="11760" spans="7:7">
      <c r="G11760"/>
    </row>
    <row r="11761" spans="7:7">
      <c r="G11761"/>
    </row>
    <row r="11762" spans="7:7">
      <c r="G11762"/>
    </row>
    <row r="11763" spans="7:7">
      <c r="G11763"/>
    </row>
    <row r="11764" spans="7:7">
      <c r="G11764"/>
    </row>
    <row r="11765" spans="7:7">
      <c r="G11765"/>
    </row>
    <row r="11766" spans="7:7">
      <c r="G11766"/>
    </row>
    <row r="11767" spans="7:7">
      <c r="G11767"/>
    </row>
    <row r="11768" spans="7:7">
      <c r="G11768"/>
    </row>
    <row r="11769" spans="7:7">
      <c r="G11769"/>
    </row>
    <row r="11770" spans="7:7">
      <c r="G11770"/>
    </row>
    <row r="11771" spans="7:7">
      <c r="G11771"/>
    </row>
    <row r="11772" spans="7:7">
      <c r="G11772"/>
    </row>
    <row r="11773" spans="7:7">
      <c r="G11773"/>
    </row>
    <row r="11774" spans="7:7">
      <c r="G11774"/>
    </row>
    <row r="11775" spans="7:7">
      <c r="G11775"/>
    </row>
    <row r="11776" spans="7:7">
      <c r="G11776"/>
    </row>
    <row r="11777" spans="7:7">
      <c r="G11777"/>
    </row>
    <row r="11778" spans="7:7">
      <c r="G11778"/>
    </row>
    <row r="11779" spans="7:7">
      <c r="G11779"/>
    </row>
    <row r="11780" spans="7:7">
      <c r="G11780"/>
    </row>
    <row r="11781" spans="7:7">
      <c r="G11781"/>
    </row>
    <row r="11782" spans="7:7">
      <c r="G11782"/>
    </row>
    <row r="11783" spans="7:7">
      <c r="G11783"/>
    </row>
    <row r="11784" spans="7:7">
      <c r="G11784"/>
    </row>
    <row r="11785" spans="7:7">
      <c r="G11785"/>
    </row>
    <row r="11786" spans="7:7">
      <c r="G11786"/>
    </row>
    <row r="11787" spans="7:7">
      <c r="G11787"/>
    </row>
    <row r="11788" spans="7:7">
      <c r="G11788"/>
    </row>
    <row r="11789" spans="7:7">
      <c r="G11789"/>
    </row>
    <row r="11790" spans="7:7">
      <c r="G11790"/>
    </row>
    <row r="11791" spans="7:7">
      <c r="G11791"/>
    </row>
    <row r="11792" spans="7:7">
      <c r="G11792"/>
    </row>
    <row r="11793" spans="7:7">
      <c r="G11793"/>
    </row>
    <row r="11794" spans="7:7">
      <c r="G11794"/>
    </row>
    <row r="11795" spans="7:7">
      <c r="G11795"/>
    </row>
    <row r="11796" spans="7:7">
      <c r="G11796"/>
    </row>
    <row r="11797" spans="7:7">
      <c r="G11797"/>
    </row>
    <row r="11798" spans="7:7">
      <c r="G11798"/>
    </row>
    <row r="11799" spans="7:7">
      <c r="G11799"/>
    </row>
    <row r="11800" spans="7:7">
      <c r="G11800"/>
    </row>
    <row r="11801" spans="7:7">
      <c r="G11801"/>
    </row>
    <row r="11802" spans="7:7">
      <c r="G11802"/>
    </row>
    <row r="11803" spans="7:7">
      <c r="G11803"/>
    </row>
    <row r="11804" spans="7:7">
      <c r="G11804"/>
    </row>
    <row r="11805" spans="7:7">
      <c r="G11805"/>
    </row>
    <row r="11806" spans="7:7">
      <c r="G11806"/>
    </row>
    <row r="11807" spans="7:7">
      <c r="G11807"/>
    </row>
    <row r="11808" spans="7:7">
      <c r="G11808"/>
    </row>
    <row r="11809" spans="7:7">
      <c r="G11809"/>
    </row>
    <row r="11810" spans="7:7">
      <c r="G11810"/>
    </row>
    <row r="11811" spans="7:7">
      <c r="G11811"/>
    </row>
    <row r="11812" spans="7:7">
      <c r="G11812"/>
    </row>
    <row r="11813" spans="7:7">
      <c r="G11813"/>
    </row>
    <row r="11814" spans="7:7">
      <c r="G11814"/>
    </row>
    <row r="11815" spans="7:7">
      <c r="G11815"/>
    </row>
    <row r="11816" spans="7:7">
      <c r="G11816"/>
    </row>
    <row r="11817" spans="7:7">
      <c r="G11817"/>
    </row>
    <row r="11818" spans="7:7">
      <c r="G11818"/>
    </row>
    <row r="11819" spans="7:7">
      <c r="G11819"/>
    </row>
    <row r="11820" spans="7:7">
      <c r="G11820"/>
    </row>
    <row r="11821" spans="7:7">
      <c r="G11821"/>
    </row>
    <row r="11822" spans="7:7">
      <c r="G11822"/>
    </row>
    <row r="11823" spans="7:7">
      <c r="G11823"/>
    </row>
    <row r="11824" spans="7:7">
      <c r="G11824"/>
    </row>
    <row r="11825" spans="7:7">
      <c r="G11825"/>
    </row>
    <row r="11826" spans="7:7">
      <c r="G11826"/>
    </row>
    <row r="11827" spans="7:7">
      <c r="G11827"/>
    </row>
    <row r="11828" spans="7:7">
      <c r="G11828"/>
    </row>
    <row r="11829" spans="7:7">
      <c r="G11829"/>
    </row>
    <row r="11830" spans="7:7">
      <c r="G11830"/>
    </row>
    <row r="11831" spans="7:7">
      <c r="G11831"/>
    </row>
    <row r="11832" spans="7:7">
      <c r="G11832"/>
    </row>
    <row r="11833" spans="7:7">
      <c r="G11833"/>
    </row>
    <row r="11834" spans="7:7">
      <c r="G11834"/>
    </row>
    <row r="11835" spans="7:7">
      <c r="G11835"/>
    </row>
    <row r="11836" spans="7:7">
      <c r="G11836"/>
    </row>
    <row r="11837" spans="7:7">
      <c r="G11837"/>
    </row>
    <row r="11838" spans="7:7">
      <c r="G11838"/>
    </row>
    <row r="11839" spans="7:7">
      <c r="G11839"/>
    </row>
    <row r="11840" spans="7:7">
      <c r="G11840"/>
    </row>
    <row r="11841" spans="7:7">
      <c r="G11841"/>
    </row>
    <row r="11842" spans="7:7">
      <c r="G11842"/>
    </row>
    <row r="11843" spans="7:7">
      <c r="G11843"/>
    </row>
    <row r="11844" spans="7:7">
      <c r="G11844"/>
    </row>
    <row r="11845" spans="7:7">
      <c r="G11845"/>
    </row>
    <row r="11846" spans="7:7">
      <c r="G11846"/>
    </row>
    <row r="11847" spans="7:7">
      <c r="G11847"/>
    </row>
    <row r="11848" spans="7:7">
      <c r="G11848"/>
    </row>
    <row r="11849" spans="7:7">
      <c r="G11849"/>
    </row>
    <row r="11850" spans="7:7">
      <c r="G11850"/>
    </row>
    <row r="11851" spans="7:7">
      <c r="G11851"/>
    </row>
    <row r="11852" spans="7:7">
      <c r="G11852"/>
    </row>
    <row r="11853" spans="7:7">
      <c r="G11853"/>
    </row>
    <row r="11854" spans="7:7">
      <c r="G11854"/>
    </row>
    <row r="11855" spans="7:7">
      <c r="G11855"/>
    </row>
    <row r="11856" spans="7:7">
      <c r="G11856"/>
    </row>
    <row r="11857" spans="7:7">
      <c r="G11857"/>
    </row>
    <row r="11858" spans="7:7">
      <c r="G11858"/>
    </row>
    <row r="11859" spans="7:7">
      <c r="G11859"/>
    </row>
    <row r="11860" spans="7:7">
      <c r="G11860"/>
    </row>
    <row r="11861" spans="7:7">
      <c r="G11861"/>
    </row>
    <row r="11862" spans="7:7">
      <c r="G11862"/>
    </row>
    <row r="11863" spans="7:7">
      <c r="G11863"/>
    </row>
    <row r="11864" spans="7:7">
      <c r="G11864"/>
    </row>
    <row r="11865" spans="7:7">
      <c r="G11865"/>
    </row>
    <row r="11866" spans="7:7">
      <c r="G11866"/>
    </row>
    <row r="11867" spans="7:7">
      <c r="G11867"/>
    </row>
    <row r="11868" spans="7:7">
      <c r="G11868"/>
    </row>
    <row r="11869" spans="7:7">
      <c r="G11869"/>
    </row>
    <row r="11870" spans="7:7">
      <c r="G11870"/>
    </row>
    <row r="11871" spans="7:7">
      <c r="G11871"/>
    </row>
    <row r="11872" spans="7:7">
      <c r="G11872"/>
    </row>
    <row r="11873" spans="7:7">
      <c r="G11873"/>
    </row>
    <row r="11874" spans="7:7">
      <c r="G11874"/>
    </row>
    <row r="11875" spans="7:7">
      <c r="G11875"/>
    </row>
    <row r="11876" spans="7:7">
      <c r="G11876"/>
    </row>
    <row r="11877" spans="7:7">
      <c r="G11877"/>
    </row>
    <row r="11878" spans="7:7">
      <c r="G11878"/>
    </row>
    <row r="11879" spans="7:7">
      <c r="G11879"/>
    </row>
    <row r="11880" spans="7:7">
      <c r="G11880"/>
    </row>
    <row r="11881" spans="7:7">
      <c r="G11881"/>
    </row>
    <row r="11882" spans="7:7">
      <c r="G11882"/>
    </row>
    <row r="11883" spans="7:7">
      <c r="G11883"/>
    </row>
    <row r="11884" spans="7:7">
      <c r="G11884"/>
    </row>
    <row r="11885" spans="7:7">
      <c r="G11885"/>
    </row>
    <row r="11886" spans="7:7">
      <c r="G11886"/>
    </row>
    <row r="11887" spans="7:7">
      <c r="G11887"/>
    </row>
    <row r="11888" spans="7:7">
      <c r="G11888"/>
    </row>
    <row r="11889" spans="7:7">
      <c r="G11889"/>
    </row>
    <row r="11890" spans="7:7">
      <c r="G11890"/>
    </row>
    <row r="11891" spans="7:7">
      <c r="G11891"/>
    </row>
    <row r="11892" spans="7:7">
      <c r="G11892"/>
    </row>
    <row r="11893" spans="7:7">
      <c r="G11893"/>
    </row>
    <row r="11894" spans="7:7">
      <c r="G11894"/>
    </row>
    <row r="11895" spans="7:7">
      <c r="G11895"/>
    </row>
    <row r="11896" spans="7:7">
      <c r="G11896"/>
    </row>
    <row r="11897" spans="7:7">
      <c r="G11897"/>
    </row>
    <row r="11898" spans="7:7">
      <c r="G11898"/>
    </row>
    <row r="11899" spans="7:7">
      <c r="G11899"/>
    </row>
    <row r="11900" spans="7:7">
      <c r="G11900"/>
    </row>
    <row r="11901" spans="7:7">
      <c r="G11901"/>
    </row>
    <row r="11902" spans="7:7">
      <c r="G11902"/>
    </row>
    <row r="11903" spans="7:7">
      <c r="G11903"/>
    </row>
    <row r="11904" spans="7:7">
      <c r="G11904"/>
    </row>
    <row r="11905" spans="7:7">
      <c r="G11905"/>
    </row>
    <row r="11906" spans="7:7">
      <c r="G11906"/>
    </row>
    <row r="11907" spans="7:7">
      <c r="G11907"/>
    </row>
    <row r="11908" spans="7:7">
      <c r="G11908"/>
    </row>
    <row r="11909" spans="7:7">
      <c r="G11909"/>
    </row>
    <row r="11910" spans="7:7">
      <c r="G11910"/>
    </row>
    <row r="11911" spans="7:7">
      <c r="G11911"/>
    </row>
    <row r="11912" spans="7:7">
      <c r="G11912"/>
    </row>
    <row r="11913" spans="7:7">
      <c r="G11913"/>
    </row>
    <row r="11914" spans="7:7">
      <c r="G11914"/>
    </row>
    <row r="11915" spans="7:7">
      <c r="G11915"/>
    </row>
    <row r="11916" spans="7:7">
      <c r="G11916"/>
    </row>
    <row r="11917" spans="7:7">
      <c r="G11917"/>
    </row>
    <row r="11918" spans="7:7">
      <c r="G11918"/>
    </row>
    <row r="11919" spans="7:7">
      <c r="G11919"/>
    </row>
    <row r="11920" spans="7:7">
      <c r="G11920"/>
    </row>
    <row r="11921" spans="7:7">
      <c r="G11921"/>
    </row>
    <row r="11922" spans="7:7">
      <c r="G11922"/>
    </row>
    <row r="11923" spans="7:7">
      <c r="G11923"/>
    </row>
    <row r="11924" spans="7:7">
      <c r="G11924"/>
    </row>
    <row r="11925" spans="7:7">
      <c r="G11925"/>
    </row>
    <row r="11926" spans="7:7">
      <c r="G11926"/>
    </row>
    <row r="11927" spans="7:7">
      <c r="G11927"/>
    </row>
    <row r="11928" spans="7:7">
      <c r="G11928"/>
    </row>
    <row r="11929" spans="7:7">
      <c r="G11929"/>
    </row>
    <row r="11930" spans="7:7">
      <c r="G11930"/>
    </row>
    <row r="11931" spans="7:7">
      <c r="G11931"/>
    </row>
    <row r="11932" spans="7:7">
      <c r="G11932"/>
    </row>
    <row r="11933" spans="7:7">
      <c r="G11933"/>
    </row>
    <row r="11934" spans="7:7">
      <c r="G11934"/>
    </row>
    <row r="11935" spans="7:7">
      <c r="G11935"/>
    </row>
    <row r="11936" spans="7:7">
      <c r="G11936"/>
    </row>
    <row r="11937" spans="7:7">
      <c r="G11937"/>
    </row>
    <row r="11938" spans="7:7">
      <c r="G11938"/>
    </row>
    <row r="11939" spans="7:7">
      <c r="G11939"/>
    </row>
    <row r="11940" spans="7:7">
      <c r="G11940"/>
    </row>
    <row r="11941" spans="7:7">
      <c r="G11941"/>
    </row>
    <row r="11942" spans="7:7">
      <c r="G11942"/>
    </row>
    <row r="11943" spans="7:7">
      <c r="G11943"/>
    </row>
    <row r="11944" spans="7:7">
      <c r="G11944"/>
    </row>
    <row r="11945" spans="7:7">
      <c r="G11945"/>
    </row>
    <row r="11946" spans="7:7">
      <c r="G11946"/>
    </row>
    <row r="11947" spans="7:7">
      <c r="G11947"/>
    </row>
    <row r="11948" spans="7:7">
      <c r="G11948"/>
    </row>
    <row r="11949" spans="7:7">
      <c r="G11949"/>
    </row>
    <row r="11950" spans="7:7">
      <c r="G11950"/>
    </row>
    <row r="11951" spans="7:7">
      <c r="G11951"/>
    </row>
    <row r="11952" spans="7:7">
      <c r="G11952"/>
    </row>
    <row r="11953" spans="7:7">
      <c r="G11953"/>
    </row>
    <row r="11954" spans="7:7">
      <c r="G11954"/>
    </row>
    <row r="11955" spans="7:7">
      <c r="G11955"/>
    </row>
    <row r="11956" spans="7:7">
      <c r="G11956"/>
    </row>
    <row r="11957" spans="7:7">
      <c r="G11957"/>
    </row>
    <row r="11958" spans="7:7">
      <c r="G11958"/>
    </row>
    <row r="11959" spans="7:7">
      <c r="G11959"/>
    </row>
    <row r="11960" spans="7:7">
      <c r="G11960"/>
    </row>
    <row r="11961" spans="7:7">
      <c r="G11961"/>
    </row>
    <row r="11962" spans="7:7">
      <c r="G11962"/>
    </row>
    <row r="11963" spans="7:7">
      <c r="G11963"/>
    </row>
    <row r="11964" spans="7:7">
      <c r="G11964"/>
    </row>
    <row r="11965" spans="7:7">
      <c r="G11965"/>
    </row>
    <row r="11966" spans="7:7">
      <c r="G11966"/>
    </row>
    <row r="11967" spans="7:7">
      <c r="G11967"/>
    </row>
    <row r="11968" spans="7:7">
      <c r="G11968"/>
    </row>
    <row r="11969" spans="7:7">
      <c r="G11969"/>
    </row>
    <row r="11970" spans="7:7">
      <c r="G11970"/>
    </row>
    <row r="11971" spans="7:7">
      <c r="G11971"/>
    </row>
    <row r="11972" spans="7:7">
      <c r="G11972"/>
    </row>
    <row r="11973" spans="7:7">
      <c r="G11973"/>
    </row>
    <row r="11974" spans="7:7">
      <c r="G11974"/>
    </row>
    <row r="11975" spans="7:7">
      <c r="G11975"/>
    </row>
    <row r="11976" spans="7:7">
      <c r="G11976"/>
    </row>
    <row r="11977" spans="7:7">
      <c r="G11977"/>
    </row>
    <row r="11978" spans="7:7">
      <c r="G11978"/>
    </row>
    <row r="11979" spans="7:7">
      <c r="G11979"/>
    </row>
    <row r="11980" spans="7:7">
      <c r="G11980"/>
    </row>
    <row r="11981" spans="7:7">
      <c r="G11981"/>
    </row>
    <row r="11982" spans="7:7">
      <c r="G11982"/>
    </row>
    <row r="11983" spans="7:7">
      <c r="G11983"/>
    </row>
    <row r="11984" spans="7:7">
      <c r="G11984"/>
    </row>
    <row r="11985" spans="7:7">
      <c r="G11985"/>
    </row>
    <row r="11986" spans="7:7">
      <c r="G11986"/>
    </row>
    <row r="11987" spans="7:7">
      <c r="G11987"/>
    </row>
    <row r="11988" spans="7:7">
      <c r="G11988"/>
    </row>
    <row r="11989" spans="7:7">
      <c r="G11989"/>
    </row>
    <row r="11990" spans="7:7">
      <c r="G11990"/>
    </row>
    <row r="11991" spans="7:7">
      <c r="G11991"/>
    </row>
    <row r="11992" spans="7:7">
      <c r="G11992"/>
    </row>
    <row r="11993" spans="7:7">
      <c r="G11993"/>
    </row>
    <row r="11994" spans="7:7">
      <c r="G11994"/>
    </row>
    <row r="11995" spans="7:7">
      <c r="G11995"/>
    </row>
    <row r="11996" spans="7:7">
      <c r="G11996"/>
    </row>
    <row r="11997" spans="7:7">
      <c r="G11997"/>
    </row>
    <row r="11998" spans="7:7">
      <c r="G11998"/>
    </row>
    <row r="11999" spans="7:7">
      <c r="G11999"/>
    </row>
    <row r="12000" spans="7:7">
      <c r="G12000"/>
    </row>
    <row r="12001" spans="7:7">
      <c r="G12001"/>
    </row>
    <row r="12002" spans="7:7">
      <c r="G12002"/>
    </row>
    <row r="12003" spans="7:7">
      <c r="G12003"/>
    </row>
    <row r="12004" spans="7:7">
      <c r="G12004"/>
    </row>
    <row r="12005" spans="7:7">
      <c r="G12005"/>
    </row>
    <row r="12006" spans="7:7">
      <c r="G12006"/>
    </row>
    <row r="12007" spans="7:7">
      <c r="G12007"/>
    </row>
    <row r="12008" spans="7:7">
      <c r="G12008"/>
    </row>
    <row r="12009" spans="7:7">
      <c r="G12009"/>
    </row>
    <row r="12010" spans="7:7">
      <c r="G12010"/>
    </row>
    <row r="12011" spans="7:7">
      <c r="G12011"/>
    </row>
    <row r="12012" spans="7:7">
      <c r="G12012"/>
    </row>
    <row r="12013" spans="7:7">
      <c r="G12013"/>
    </row>
    <row r="12014" spans="7:7">
      <c r="G12014"/>
    </row>
    <row r="12015" spans="7:7">
      <c r="G12015"/>
    </row>
    <row r="12016" spans="7:7">
      <c r="G12016"/>
    </row>
    <row r="12017" spans="7:7">
      <c r="G12017"/>
    </row>
    <row r="12018" spans="7:7">
      <c r="G12018"/>
    </row>
    <row r="12019" spans="7:7">
      <c r="G12019"/>
    </row>
    <row r="12020" spans="7:7">
      <c r="G12020"/>
    </row>
    <row r="12021" spans="7:7">
      <c r="G12021"/>
    </row>
    <row r="12022" spans="7:7">
      <c r="G12022"/>
    </row>
    <row r="12023" spans="7:7">
      <c r="G12023"/>
    </row>
    <row r="12024" spans="7:7">
      <c r="G12024"/>
    </row>
    <row r="12025" spans="7:7">
      <c r="G12025"/>
    </row>
    <row r="12026" spans="7:7">
      <c r="G12026"/>
    </row>
    <row r="12027" spans="7:7">
      <c r="G12027"/>
    </row>
    <row r="12028" spans="7:7">
      <c r="G12028"/>
    </row>
    <row r="12029" spans="7:7">
      <c r="G12029"/>
    </row>
    <row r="12030" spans="7:7">
      <c r="G12030"/>
    </row>
    <row r="12031" spans="7:7">
      <c r="G12031"/>
    </row>
    <row r="12032" spans="7:7">
      <c r="G12032"/>
    </row>
    <row r="12033" spans="7:7">
      <c r="G12033"/>
    </row>
    <row r="12034" spans="7:7">
      <c r="G12034"/>
    </row>
    <row r="12035" spans="7:7">
      <c r="G12035"/>
    </row>
    <row r="12036" spans="7:7">
      <c r="G12036"/>
    </row>
    <row r="12037" spans="7:7">
      <c r="G12037"/>
    </row>
    <row r="12038" spans="7:7">
      <c r="G12038"/>
    </row>
    <row r="12039" spans="7:7">
      <c r="G12039"/>
    </row>
    <row r="12040" spans="7:7">
      <c r="G12040"/>
    </row>
    <row r="12041" spans="7:7">
      <c r="G12041"/>
    </row>
    <row r="12042" spans="7:7">
      <c r="G12042"/>
    </row>
    <row r="12043" spans="7:7">
      <c r="G12043"/>
    </row>
    <row r="12044" spans="7:7">
      <c r="G12044"/>
    </row>
    <row r="12045" spans="7:7">
      <c r="G12045"/>
    </row>
    <row r="12046" spans="7:7">
      <c r="G12046"/>
    </row>
    <row r="12047" spans="7:7">
      <c r="G12047"/>
    </row>
    <row r="12048" spans="7:7">
      <c r="G12048"/>
    </row>
    <row r="12049" spans="7:7">
      <c r="G12049"/>
    </row>
    <row r="12050" spans="7:7">
      <c r="G12050"/>
    </row>
    <row r="12051" spans="7:7">
      <c r="G12051"/>
    </row>
    <row r="12052" spans="7:7">
      <c r="G12052"/>
    </row>
    <row r="12053" spans="7:7">
      <c r="G12053"/>
    </row>
    <row r="12054" spans="7:7">
      <c r="G12054"/>
    </row>
    <row r="12055" spans="7:7">
      <c r="G12055"/>
    </row>
    <row r="12056" spans="7:7">
      <c r="G12056"/>
    </row>
    <row r="12057" spans="7:7">
      <c r="G12057"/>
    </row>
    <row r="12058" spans="7:7">
      <c r="G12058"/>
    </row>
    <row r="12059" spans="7:7">
      <c r="G12059"/>
    </row>
    <row r="12060" spans="7:7">
      <c r="G12060"/>
    </row>
    <row r="12061" spans="7:7">
      <c r="G12061"/>
    </row>
    <row r="12062" spans="7:7">
      <c r="G12062"/>
    </row>
    <row r="12063" spans="7:7">
      <c r="G12063"/>
    </row>
    <row r="12064" spans="7:7">
      <c r="G12064"/>
    </row>
    <row r="12065" spans="7:7">
      <c r="G12065"/>
    </row>
    <row r="12066" spans="7:7">
      <c r="G12066"/>
    </row>
    <row r="12067" spans="7:7">
      <c r="G12067"/>
    </row>
    <row r="12068" spans="7:7">
      <c r="G12068"/>
    </row>
    <row r="12069" spans="7:7">
      <c r="G12069"/>
    </row>
    <row r="12070" spans="7:7">
      <c r="G12070"/>
    </row>
    <row r="12071" spans="7:7">
      <c r="G12071"/>
    </row>
    <row r="12072" spans="7:7">
      <c r="G12072"/>
    </row>
    <row r="12073" spans="7:7">
      <c r="G12073"/>
    </row>
    <row r="12074" spans="7:7">
      <c r="G12074"/>
    </row>
    <row r="12075" spans="7:7">
      <c r="G12075"/>
    </row>
    <row r="12076" spans="7:7">
      <c r="G12076"/>
    </row>
    <row r="12077" spans="7:7">
      <c r="G12077"/>
    </row>
    <row r="12078" spans="7:7">
      <c r="G12078"/>
    </row>
    <row r="12079" spans="7:7">
      <c r="G12079"/>
    </row>
    <row r="12080" spans="7:7">
      <c r="G12080"/>
    </row>
    <row r="12081" spans="7:7">
      <c r="G12081"/>
    </row>
    <row r="12082" spans="7:7">
      <c r="G12082"/>
    </row>
    <row r="12083" spans="7:7">
      <c r="G12083"/>
    </row>
    <row r="12084" spans="7:7">
      <c r="G12084"/>
    </row>
    <row r="12085" spans="7:7">
      <c r="G12085"/>
    </row>
    <row r="12086" spans="7:7">
      <c r="G12086"/>
    </row>
    <row r="12087" spans="7:7">
      <c r="G12087"/>
    </row>
    <row r="12088" spans="7:7">
      <c r="G12088"/>
    </row>
    <row r="12089" spans="7:7">
      <c r="G12089"/>
    </row>
    <row r="12090" spans="7:7">
      <c r="G12090"/>
    </row>
    <row r="12091" spans="7:7">
      <c r="G12091"/>
    </row>
    <row r="12092" spans="7:7">
      <c r="G12092"/>
    </row>
    <row r="12093" spans="7:7">
      <c r="G12093"/>
    </row>
    <row r="12094" spans="7:7">
      <c r="G12094"/>
    </row>
    <row r="12095" spans="7:7">
      <c r="G12095"/>
    </row>
    <row r="12096" spans="7:7">
      <c r="G12096"/>
    </row>
    <row r="12097" spans="7:7">
      <c r="G12097"/>
    </row>
    <row r="12098" spans="7:7">
      <c r="G12098"/>
    </row>
    <row r="12099" spans="7:7">
      <c r="G12099"/>
    </row>
    <row r="12100" spans="7:7">
      <c r="G12100"/>
    </row>
    <row r="12101" spans="7:7">
      <c r="G12101"/>
    </row>
    <row r="12102" spans="7:7">
      <c r="G12102"/>
    </row>
    <row r="12103" spans="7:7">
      <c r="G12103"/>
    </row>
    <row r="12104" spans="7:7">
      <c r="G12104"/>
    </row>
    <row r="12105" spans="7:7">
      <c r="G12105"/>
    </row>
    <row r="12106" spans="7:7">
      <c r="G12106"/>
    </row>
    <row r="12107" spans="7:7">
      <c r="G12107"/>
    </row>
    <row r="12108" spans="7:7">
      <c r="G12108"/>
    </row>
    <row r="12109" spans="7:7">
      <c r="G12109"/>
    </row>
    <row r="12110" spans="7:7">
      <c r="G12110"/>
    </row>
    <row r="12111" spans="7:7">
      <c r="G12111"/>
    </row>
    <row r="12112" spans="7:7">
      <c r="G12112"/>
    </row>
    <row r="12113" spans="7:7">
      <c r="G12113"/>
    </row>
    <row r="12114" spans="7:7">
      <c r="G12114"/>
    </row>
    <row r="12115" spans="7:7">
      <c r="G12115"/>
    </row>
    <row r="12116" spans="7:7">
      <c r="G12116"/>
    </row>
    <row r="12117" spans="7:7">
      <c r="G12117"/>
    </row>
    <row r="12118" spans="7:7">
      <c r="G12118"/>
    </row>
    <row r="12119" spans="7:7">
      <c r="G12119"/>
    </row>
    <row r="12120" spans="7:7">
      <c r="G12120"/>
    </row>
    <row r="12121" spans="7:7">
      <c r="G12121"/>
    </row>
    <row r="12122" spans="7:7">
      <c r="G12122"/>
    </row>
    <row r="12123" spans="7:7">
      <c r="G12123"/>
    </row>
    <row r="12124" spans="7:7">
      <c r="G12124"/>
    </row>
    <row r="12125" spans="7:7">
      <c r="G12125"/>
    </row>
    <row r="12126" spans="7:7">
      <c r="G12126"/>
    </row>
    <row r="12127" spans="7:7">
      <c r="G12127"/>
    </row>
    <row r="12128" spans="7:7">
      <c r="G12128"/>
    </row>
    <row r="12129" spans="7:7">
      <c r="G12129"/>
    </row>
    <row r="12130" spans="7:7">
      <c r="G12130"/>
    </row>
    <row r="12131" spans="7:7">
      <c r="G12131"/>
    </row>
    <row r="12132" spans="7:7">
      <c r="G12132"/>
    </row>
    <row r="12133" spans="7:7">
      <c r="G12133"/>
    </row>
    <row r="12134" spans="7:7">
      <c r="G12134"/>
    </row>
    <row r="12135" spans="7:7">
      <c r="G12135"/>
    </row>
    <row r="12136" spans="7:7">
      <c r="G12136"/>
    </row>
    <row r="12137" spans="7:7">
      <c r="G12137"/>
    </row>
    <row r="12138" spans="7:7">
      <c r="G12138"/>
    </row>
    <row r="12139" spans="7:7">
      <c r="G12139"/>
    </row>
    <row r="12140" spans="7:7">
      <c r="G12140"/>
    </row>
    <row r="12141" spans="7:7">
      <c r="G12141"/>
    </row>
    <row r="12142" spans="7:7">
      <c r="G12142"/>
    </row>
    <row r="12143" spans="7:7">
      <c r="G12143"/>
    </row>
    <row r="12144" spans="7:7">
      <c r="G12144"/>
    </row>
    <row r="12145" spans="7:7">
      <c r="G12145"/>
    </row>
    <row r="12146" spans="7:7">
      <c r="G12146"/>
    </row>
    <row r="12147" spans="7:7">
      <c r="G12147"/>
    </row>
    <row r="12148" spans="7:7">
      <c r="G12148"/>
    </row>
    <row r="12149" spans="7:7">
      <c r="G12149"/>
    </row>
    <row r="12150" spans="7:7">
      <c r="G12150"/>
    </row>
    <row r="12151" spans="7:7">
      <c r="G12151"/>
    </row>
    <row r="12152" spans="7:7">
      <c r="G12152"/>
    </row>
    <row r="12153" spans="7:7">
      <c r="G12153"/>
    </row>
    <row r="12154" spans="7:7">
      <c r="G12154"/>
    </row>
    <row r="12155" spans="7:7">
      <c r="G12155"/>
    </row>
    <row r="12156" spans="7:7">
      <c r="G12156"/>
    </row>
    <row r="12157" spans="7:7">
      <c r="G12157"/>
    </row>
    <row r="12158" spans="7:7">
      <c r="G12158"/>
    </row>
    <row r="12159" spans="7:7">
      <c r="G12159"/>
    </row>
    <row r="12160" spans="7:7">
      <c r="G12160"/>
    </row>
    <row r="12161" spans="7:7">
      <c r="G12161"/>
    </row>
    <row r="12162" spans="7:7">
      <c r="G12162"/>
    </row>
    <row r="12163" spans="7:7">
      <c r="G12163"/>
    </row>
    <row r="12164" spans="7:7">
      <c r="G12164"/>
    </row>
    <row r="12165" spans="7:7">
      <c r="G12165"/>
    </row>
    <row r="12166" spans="7:7">
      <c r="G12166"/>
    </row>
    <row r="12167" spans="7:7">
      <c r="G12167"/>
    </row>
    <row r="12168" spans="7:7">
      <c r="G12168"/>
    </row>
    <row r="12169" spans="7:7">
      <c r="G12169"/>
    </row>
    <row r="12170" spans="7:7">
      <c r="G12170"/>
    </row>
    <row r="12171" spans="7:7">
      <c r="G12171"/>
    </row>
    <row r="12172" spans="7:7">
      <c r="G12172"/>
    </row>
    <row r="12173" spans="7:7">
      <c r="G12173"/>
    </row>
    <row r="12174" spans="7:7">
      <c r="G12174"/>
    </row>
    <row r="12175" spans="7:7">
      <c r="G12175"/>
    </row>
    <row r="12176" spans="7:7">
      <c r="G12176"/>
    </row>
    <row r="12177" spans="7:7">
      <c r="G12177"/>
    </row>
    <row r="12178" spans="7:7">
      <c r="G12178"/>
    </row>
    <row r="12179" spans="7:7">
      <c r="G12179"/>
    </row>
    <row r="12180" spans="7:7">
      <c r="G12180"/>
    </row>
    <row r="12181" spans="7:7">
      <c r="G12181"/>
    </row>
    <row r="12182" spans="7:7">
      <c r="G12182"/>
    </row>
    <row r="12183" spans="7:7">
      <c r="G12183"/>
    </row>
    <row r="12184" spans="7:7">
      <c r="G12184"/>
    </row>
    <row r="12185" spans="7:7">
      <c r="G12185"/>
    </row>
    <row r="12186" spans="7:7">
      <c r="G12186"/>
    </row>
    <row r="12187" spans="7:7">
      <c r="G12187"/>
    </row>
    <row r="12188" spans="7:7">
      <c r="G12188"/>
    </row>
    <row r="12189" spans="7:7">
      <c r="G12189"/>
    </row>
    <row r="12190" spans="7:7">
      <c r="G12190"/>
    </row>
    <row r="12191" spans="7:7">
      <c r="G12191"/>
    </row>
    <row r="12192" spans="7:7">
      <c r="G12192"/>
    </row>
    <row r="12193" spans="7:7">
      <c r="G12193"/>
    </row>
    <row r="12194" spans="7:7">
      <c r="G12194"/>
    </row>
    <row r="12195" spans="7:7">
      <c r="G12195"/>
    </row>
    <row r="12196" spans="7:7">
      <c r="G12196"/>
    </row>
    <row r="12197" spans="7:7">
      <c r="G12197"/>
    </row>
    <row r="12198" spans="7:7">
      <c r="G12198"/>
    </row>
    <row r="12199" spans="7:7">
      <c r="G12199"/>
    </row>
    <row r="12200" spans="7:7">
      <c r="G12200"/>
    </row>
    <row r="12201" spans="7:7">
      <c r="G12201"/>
    </row>
    <row r="12202" spans="7:7">
      <c r="G12202"/>
    </row>
    <row r="12203" spans="7:7">
      <c r="G12203"/>
    </row>
    <row r="12204" spans="7:7">
      <c r="G12204"/>
    </row>
    <row r="12205" spans="7:7">
      <c r="G12205"/>
    </row>
    <row r="12206" spans="7:7">
      <c r="G12206"/>
    </row>
    <row r="12207" spans="7:7">
      <c r="G12207"/>
    </row>
    <row r="12208" spans="7:7">
      <c r="G12208"/>
    </row>
    <row r="12209" spans="7:7">
      <c r="G12209"/>
    </row>
    <row r="12210" spans="7:7">
      <c r="G12210"/>
    </row>
    <row r="12211" spans="7:7">
      <c r="G12211"/>
    </row>
    <row r="12212" spans="7:7">
      <c r="G12212"/>
    </row>
    <row r="12213" spans="7:7">
      <c r="G12213"/>
    </row>
    <row r="12214" spans="7:7">
      <c r="G12214"/>
    </row>
    <row r="12215" spans="7:7">
      <c r="G12215"/>
    </row>
    <row r="12216" spans="7:7">
      <c r="G12216"/>
    </row>
    <row r="12217" spans="7:7">
      <c r="G12217"/>
    </row>
    <row r="12218" spans="7:7">
      <c r="G12218"/>
    </row>
    <row r="12219" spans="7:7">
      <c r="G12219"/>
    </row>
    <row r="12220" spans="7:7">
      <c r="G12220"/>
    </row>
    <row r="12221" spans="7:7">
      <c r="G12221"/>
    </row>
    <row r="12222" spans="7:7">
      <c r="G12222"/>
    </row>
    <row r="12223" spans="7:7">
      <c r="G12223"/>
    </row>
    <row r="12224" spans="7:7">
      <c r="G12224"/>
    </row>
    <row r="12225" spans="7:7">
      <c r="G12225"/>
    </row>
    <row r="12226" spans="7:7">
      <c r="G12226"/>
    </row>
    <row r="12227" spans="7:7">
      <c r="G12227"/>
    </row>
    <row r="12228" spans="7:7">
      <c r="G12228"/>
    </row>
    <row r="12229" spans="7:7">
      <c r="G12229"/>
    </row>
    <row r="12230" spans="7:7">
      <c r="G12230"/>
    </row>
    <row r="12231" spans="7:7">
      <c r="G12231"/>
    </row>
    <row r="12232" spans="7:7">
      <c r="G12232"/>
    </row>
    <row r="12233" spans="7:7">
      <c r="G12233"/>
    </row>
    <row r="12234" spans="7:7">
      <c r="G12234"/>
    </row>
    <row r="12235" spans="7:7">
      <c r="G12235"/>
    </row>
    <row r="12236" spans="7:7">
      <c r="G12236"/>
    </row>
    <row r="12237" spans="7:7">
      <c r="G12237"/>
    </row>
    <row r="12238" spans="7:7">
      <c r="G12238"/>
    </row>
    <row r="12239" spans="7:7">
      <c r="G12239"/>
    </row>
    <row r="12240" spans="7:7">
      <c r="G12240"/>
    </row>
    <row r="12241" spans="7:7">
      <c r="G12241"/>
    </row>
    <row r="12242" spans="7:7">
      <c r="G12242"/>
    </row>
    <row r="12243" spans="7:7">
      <c r="G12243"/>
    </row>
    <row r="12244" spans="7:7">
      <c r="G12244"/>
    </row>
    <row r="12245" spans="7:7">
      <c r="G12245"/>
    </row>
    <row r="12246" spans="7:7">
      <c r="G12246"/>
    </row>
    <row r="12247" spans="7:7">
      <c r="G12247"/>
    </row>
    <row r="12248" spans="7:7">
      <c r="G12248"/>
    </row>
    <row r="12249" spans="7:7">
      <c r="G12249"/>
    </row>
    <row r="12250" spans="7:7">
      <c r="G12250"/>
    </row>
    <row r="12251" spans="7:7">
      <c r="G12251"/>
    </row>
    <row r="12252" spans="7:7">
      <c r="G12252"/>
    </row>
    <row r="12253" spans="7:7">
      <c r="G12253"/>
    </row>
    <row r="12254" spans="7:7">
      <c r="G12254"/>
    </row>
    <row r="12255" spans="7:7">
      <c r="G12255"/>
    </row>
    <row r="12256" spans="7:7">
      <c r="G12256"/>
    </row>
    <row r="12257" spans="7:7">
      <c r="G12257"/>
    </row>
    <row r="12258" spans="7:7">
      <c r="G12258"/>
    </row>
    <row r="12259" spans="7:7">
      <c r="G12259"/>
    </row>
    <row r="12260" spans="7:7">
      <c r="G12260"/>
    </row>
    <row r="12261" spans="7:7">
      <c r="G12261"/>
    </row>
    <row r="12262" spans="7:7">
      <c r="G12262"/>
    </row>
    <row r="12263" spans="7:7">
      <c r="G12263"/>
    </row>
    <row r="12264" spans="7:7">
      <c r="G12264"/>
    </row>
    <row r="12265" spans="7:7">
      <c r="G12265"/>
    </row>
    <row r="12266" spans="7:7">
      <c r="G12266"/>
    </row>
    <row r="12267" spans="7:7">
      <c r="G12267"/>
    </row>
    <row r="12268" spans="7:7">
      <c r="G12268"/>
    </row>
    <row r="12269" spans="7:7">
      <c r="G12269"/>
    </row>
    <row r="12270" spans="7:7">
      <c r="G12270"/>
    </row>
    <row r="12271" spans="7:7">
      <c r="G12271"/>
    </row>
    <row r="12272" spans="7:7">
      <c r="G12272"/>
    </row>
    <row r="12273" spans="7:7">
      <c r="G12273"/>
    </row>
    <row r="12274" spans="7:7">
      <c r="G12274"/>
    </row>
    <row r="12275" spans="7:7">
      <c r="G12275"/>
    </row>
    <row r="12276" spans="7:7">
      <c r="G12276"/>
    </row>
    <row r="12277" spans="7:7">
      <c r="G12277"/>
    </row>
    <row r="12278" spans="7:7">
      <c r="G12278"/>
    </row>
    <row r="12279" spans="7:7">
      <c r="G12279"/>
    </row>
    <row r="12280" spans="7:7">
      <c r="G12280"/>
    </row>
    <row r="12281" spans="7:7">
      <c r="G12281"/>
    </row>
    <row r="12282" spans="7:7">
      <c r="G12282"/>
    </row>
    <row r="12283" spans="7:7">
      <c r="G12283"/>
    </row>
    <row r="12284" spans="7:7">
      <c r="G12284"/>
    </row>
    <row r="12285" spans="7:7">
      <c r="G12285"/>
    </row>
    <row r="12286" spans="7:7">
      <c r="G12286"/>
    </row>
    <row r="12287" spans="7:7">
      <c r="G12287"/>
    </row>
    <row r="12288" spans="7:7">
      <c r="G12288"/>
    </row>
    <row r="12289" spans="7:7">
      <c r="G12289"/>
    </row>
    <row r="12290" spans="7:7">
      <c r="G12290"/>
    </row>
    <row r="12291" spans="7:7">
      <c r="G12291"/>
    </row>
    <row r="12292" spans="7:7">
      <c r="G12292"/>
    </row>
    <row r="12293" spans="7:7">
      <c r="G12293"/>
    </row>
    <row r="12294" spans="7:7">
      <c r="G12294"/>
    </row>
    <row r="12295" spans="7:7">
      <c r="G12295"/>
    </row>
    <row r="12296" spans="7:7">
      <c r="G12296"/>
    </row>
    <row r="12297" spans="7:7">
      <c r="G12297"/>
    </row>
    <row r="12298" spans="7:7">
      <c r="G12298"/>
    </row>
    <row r="12299" spans="7:7">
      <c r="G12299"/>
    </row>
    <row r="12300" spans="7:7">
      <c r="G12300"/>
    </row>
    <row r="12301" spans="7:7">
      <c r="G12301"/>
    </row>
    <row r="12302" spans="7:7">
      <c r="G12302"/>
    </row>
    <row r="12303" spans="7:7">
      <c r="G12303"/>
    </row>
    <row r="12304" spans="7:7">
      <c r="G12304"/>
    </row>
    <row r="12305" spans="7:7">
      <c r="G12305"/>
    </row>
    <row r="12306" spans="7:7">
      <c r="G12306"/>
    </row>
    <row r="12307" spans="7:7">
      <c r="G12307"/>
    </row>
    <row r="12308" spans="7:7">
      <c r="G12308"/>
    </row>
    <row r="12309" spans="7:7">
      <c r="G12309"/>
    </row>
    <row r="12310" spans="7:7">
      <c r="G12310"/>
    </row>
    <row r="12311" spans="7:7">
      <c r="G12311"/>
    </row>
    <row r="12312" spans="7:7">
      <c r="G12312"/>
    </row>
    <row r="12313" spans="7:7">
      <c r="G12313"/>
    </row>
    <row r="12314" spans="7:7">
      <c r="G12314"/>
    </row>
    <row r="12315" spans="7:7">
      <c r="G12315"/>
    </row>
    <row r="12316" spans="7:7">
      <c r="G12316"/>
    </row>
    <row r="12317" spans="7:7">
      <c r="G12317"/>
    </row>
    <row r="12318" spans="7:7">
      <c r="G12318"/>
    </row>
    <row r="12319" spans="7:7">
      <c r="G12319"/>
    </row>
    <row r="12320" spans="7:7">
      <c r="G12320"/>
    </row>
    <row r="12321" spans="7:7">
      <c r="G12321"/>
    </row>
    <row r="12322" spans="7:7">
      <c r="G12322"/>
    </row>
    <row r="12323" spans="7:7">
      <c r="G12323"/>
    </row>
    <row r="12324" spans="7:7">
      <c r="G12324"/>
    </row>
    <row r="12325" spans="7:7">
      <c r="G12325"/>
    </row>
    <row r="12326" spans="7:7">
      <c r="G12326"/>
    </row>
    <row r="12327" spans="7:7">
      <c r="G12327"/>
    </row>
    <row r="12328" spans="7:7">
      <c r="G12328"/>
    </row>
    <row r="12329" spans="7:7">
      <c r="G12329"/>
    </row>
    <row r="12330" spans="7:7">
      <c r="G12330"/>
    </row>
    <row r="12331" spans="7:7">
      <c r="G12331"/>
    </row>
    <row r="12332" spans="7:7">
      <c r="G12332"/>
    </row>
    <row r="12333" spans="7:7">
      <c r="G12333"/>
    </row>
    <row r="12334" spans="7:7">
      <c r="G12334"/>
    </row>
    <row r="12335" spans="7:7">
      <c r="G12335"/>
    </row>
    <row r="12336" spans="7:7">
      <c r="G12336"/>
    </row>
    <row r="12337" spans="7:7">
      <c r="G12337"/>
    </row>
    <row r="12338" spans="7:7">
      <c r="G12338"/>
    </row>
    <row r="12339" spans="7:7">
      <c r="G12339"/>
    </row>
    <row r="12340" spans="7:7">
      <c r="G12340"/>
    </row>
    <row r="12341" spans="7:7">
      <c r="G12341"/>
    </row>
    <row r="12342" spans="7:7">
      <c r="G12342"/>
    </row>
    <row r="12343" spans="7:7">
      <c r="G12343"/>
    </row>
    <row r="12344" spans="7:7">
      <c r="G12344"/>
    </row>
    <row r="12345" spans="7:7">
      <c r="G12345"/>
    </row>
    <row r="12346" spans="7:7">
      <c r="G12346"/>
    </row>
    <row r="12347" spans="7:7">
      <c r="G12347"/>
    </row>
    <row r="12348" spans="7:7">
      <c r="G12348"/>
    </row>
    <row r="12349" spans="7:7">
      <c r="G12349"/>
    </row>
    <row r="12350" spans="7:7">
      <c r="G12350"/>
    </row>
    <row r="12351" spans="7:7">
      <c r="G12351"/>
    </row>
    <row r="12352" spans="7:7">
      <c r="G12352"/>
    </row>
    <row r="12353" spans="7:7">
      <c r="G12353"/>
    </row>
    <row r="12354" spans="7:7">
      <c r="G12354"/>
    </row>
    <row r="12355" spans="7:7">
      <c r="G12355"/>
    </row>
    <row r="12356" spans="7:7">
      <c r="G12356"/>
    </row>
    <row r="12357" spans="7:7">
      <c r="G12357"/>
    </row>
    <row r="12358" spans="7:7">
      <c r="G12358"/>
    </row>
    <row r="12359" spans="7:7">
      <c r="G12359"/>
    </row>
    <row r="12360" spans="7:7">
      <c r="G12360"/>
    </row>
    <row r="12361" spans="7:7">
      <c r="G12361"/>
    </row>
    <row r="12362" spans="7:7">
      <c r="G12362"/>
    </row>
    <row r="12363" spans="7:7">
      <c r="G12363"/>
    </row>
    <row r="12364" spans="7:7">
      <c r="G12364"/>
    </row>
    <row r="12365" spans="7:7">
      <c r="G12365"/>
    </row>
    <row r="12366" spans="7:7">
      <c r="G12366"/>
    </row>
    <row r="12367" spans="7:7">
      <c r="G12367"/>
    </row>
    <row r="12368" spans="7:7">
      <c r="G12368"/>
    </row>
    <row r="12369" spans="7:7">
      <c r="G12369"/>
    </row>
    <row r="12370" spans="7:7">
      <c r="G12370"/>
    </row>
    <row r="12371" spans="7:7">
      <c r="G12371"/>
    </row>
    <row r="12372" spans="7:7">
      <c r="G12372"/>
    </row>
    <row r="12373" spans="7:7">
      <c r="G12373"/>
    </row>
    <row r="12374" spans="7:7">
      <c r="G12374"/>
    </row>
    <row r="12375" spans="7:7">
      <c r="G12375"/>
    </row>
    <row r="12376" spans="7:7">
      <c r="G12376"/>
    </row>
    <row r="12377" spans="7:7">
      <c r="G12377"/>
    </row>
    <row r="12378" spans="7:7">
      <c r="G12378"/>
    </row>
    <row r="12379" spans="7:7">
      <c r="G12379"/>
    </row>
    <row r="12380" spans="7:7">
      <c r="G12380"/>
    </row>
    <row r="12381" spans="7:7">
      <c r="G12381"/>
    </row>
    <row r="12382" spans="7:7">
      <c r="G12382"/>
    </row>
    <row r="12383" spans="7:7">
      <c r="G12383"/>
    </row>
    <row r="12384" spans="7:7">
      <c r="G12384"/>
    </row>
    <row r="12385" spans="7:7">
      <c r="G12385"/>
    </row>
    <row r="12386" spans="7:7">
      <c r="G12386"/>
    </row>
    <row r="12387" spans="7:7">
      <c r="G12387"/>
    </row>
    <row r="12388" spans="7:7">
      <c r="G12388"/>
    </row>
    <row r="12389" spans="7:7">
      <c r="G12389"/>
    </row>
    <row r="12390" spans="7:7">
      <c r="G12390"/>
    </row>
    <row r="12391" spans="7:7">
      <c r="G12391"/>
    </row>
    <row r="12392" spans="7:7">
      <c r="G12392"/>
    </row>
    <row r="12393" spans="7:7">
      <c r="G12393"/>
    </row>
    <row r="12394" spans="7:7">
      <c r="G12394"/>
    </row>
    <row r="12395" spans="7:7">
      <c r="G12395"/>
    </row>
    <row r="12396" spans="7:7">
      <c r="G12396"/>
    </row>
    <row r="12397" spans="7:7">
      <c r="G12397"/>
    </row>
    <row r="12398" spans="7:7">
      <c r="G12398"/>
    </row>
    <row r="12399" spans="7:7">
      <c r="G12399"/>
    </row>
    <row r="12400" spans="7:7">
      <c r="G12400"/>
    </row>
    <row r="12401" spans="7:7">
      <c r="G12401"/>
    </row>
    <row r="12402" spans="7:7">
      <c r="G12402"/>
    </row>
    <row r="12403" spans="7:7">
      <c r="G12403"/>
    </row>
    <row r="12404" spans="7:7">
      <c r="G12404"/>
    </row>
    <row r="12405" spans="7:7">
      <c r="G12405"/>
    </row>
    <row r="12406" spans="7:7">
      <c r="G12406"/>
    </row>
    <row r="12407" spans="7:7">
      <c r="G12407"/>
    </row>
    <row r="12408" spans="7:7">
      <c r="G12408"/>
    </row>
    <row r="12409" spans="7:7">
      <c r="G12409"/>
    </row>
    <row r="12410" spans="7:7">
      <c r="G12410"/>
    </row>
    <row r="12411" spans="7:7">
      <c r="G12411"/>
    </row>
    <row r="12412" spans="7:7">
      <c r="G12412"/>
    </row>
    <row r="12413" spans="7:7">
      <c r="G12413"/>
    </row>
    <row r="12414" spans="7:7">
      <c r="G12414"/>
    </row>
    <row r="12415" spans="7:7">
      <c r="G12415"/>
    </row>
    <row r="12416" spans="7:7">
      <c r="G12416"/>
    </row>
    <row r="12417" spans="7:7">
      <c r="G12417"/>
    </row>
    <row r="12418" spans="7:7">
      <c r="G12418"/>
    </row>
    <row r="12419" spans="7:7">
      <c r="G12419"/>
    </row>
    <row r="12420" spans="7:7">
      <c r="G12420"/>
    </row>
    <row r="12421" spans="7:7">
      <c r="G12421"/>
    </row>
    <row r="12422" spans="7:7">
      <c r="G12422"/>
    </row>
    <row r="12423" spans="7:7">
      <c r="G12423"/>
    </row>
    <row r="12424" spans="7:7">
      <c r="G12424"/>
    </row>
    <row r="12425" spans="7:7">
      <c r="G12425"/>
    </row>
    <row r="12426" spans="7:7">
      <c r="G12426"/>
    </row>
    <row r="12427" spans="7:7">
      <c r="G12427"/>
    </row>
    <row r="12428" spans="7:7">
      <c r="G12428"/>
    </row>
    <row r="12429" spans="7:7">
      <c r="G12429"/>
    </row>
    <row r="12430" spans="7:7">
      <c r="G12430"/>
    </row>
    <row r="12431" spans="7:7">
      <c r="G12431"/>
    </row>
    <row r="12432" spans="7:7">
      <c r="G12432"/>
    </row>
    <row r="12433" spans="7:7">
      <c r="G12433"/>
    </row>
    <row r="12434" spans="7:7">
      <c r="G12434"/>
    </row>
    <row r="12435" spans="7:7">
      <c r="G12435"/>
    </row>
    <row r="12436" spans="7:7">
      <c r="G12436"/>
    </row>
    <row r="12437" spans="7:7">
      <c r="G12437"/>
    </row>
    <row r="12438" spans="7:7">
      <c r="G12438"/>
    </row>
    <row r="12439" spans="7:7">
      <c r="G12439"/>
    </row>
    <row r="12440" spans="7:7">
      <c r="G12440"/>
    </row>
    <row r="12441" spans="7:7">
      <c r="G12441"/>
    </row>
    <row r="12442" spans="7:7">
      <c r="G12442"/>
    </row>
    <row r="12443" spans="7:7">
      <c r="G12443"/>
    </row>
    <row r="12444" spans="7:7">
      <c r="G12444"/>
    </row>
    <row r="12445" spans="7:7">
      <c r="G12445"/>
    </row>
    <row r="12446" spans="7:7">
      <c r="G12446"/>
    </row>
    <row r="12447" spans="7:7">
      <c r="G12447"/>
    </row>
    <row r="12448" spans="7:7">
      <c r="G12448"/>
    </row>
    <row r="12449" spans="7:7">
      <c r="G12449"/>
    </row>
    <row r="12450" spans="7:7">
      <c r="G12450"/>
    </row>
    <row r="12451" spans="7:7">
      <c r="G12451"/>
    </row>
    <row r="12452" spans="7:7">
      <c r="G12452"/>
    </row>
    <row r="12453" spans="7:7">
      <c r="G12453"/>
    </row>
    <row r="12454" spans="7:7">
      <c r="G12454"/>
    </row>
    <row r="12455" spans="7:7">
      <c r="G12455"/>
    </row>
    <row r="12456" spans="7:7">
      <c r="G12456"/>
    </row>
    <row r="12457" spans="7:7">
      <c r="G12457"/>
    </row>
    <row r="12458" spans="7:7">
      <c r="G12458"/>
    </row>
    <row r="12459" spans="7:7">
      <c r="G12459"/>
    </row>
    <row r="12460" spans="7:7">
      <c r="G12460"/>
    </row>
    <row r="12461" spans="7:7">
      <c r="G12461"/>
    </row>
    <row r="12462" spans="7:7">
      <c r="G12462"/>
    </row>
    <row r="12463" spans="7:7">
      <c r="G12463"/>
    </row>
    <row r="12464" spans="7:7">
      <c r="G12464"/>
    </row>
    <row r="12465" spans="7:7">
      <c r="G12465"/>
    </row>
    <row r="12466" spans="7:7">
      <c r="G12466"/>
    </row>
    <row r="12467" spans="7:7">
      <c r="G12467"/>
    </row>
    <row r="12468" spans="7:7">
      <c r="G12468"/>
    </row>
    <row r="12469" spans="7:7">
      <c r="G12469"/>
    </row>
    <row r="12470" spans="7:7">
      <c r="G12470"/>
    </row>
    <row r="12471" spans="7:7">
      <c r="G12471"/>
    </row>
    <row r="12472" spans="7:7">
      <c r="G12472"/>
    </row>
    <row r="12473" spans="7:7">
      <c r="G12473"/>
    </row>
    <row r="12474" spans="7:7">
      <c r="G12474"/>
    </row>
    <row r="12475" spans="7:7">
      <c r="G12475"/>
    </row>
    <row r="12476" spans="7:7">
      <c r="G12476"/>
    </row>
    <row r="12477" spans="7:7">
      <c r="G12477"/>
    </row>
    <row r="12478" spans="7:7">
      <c r="G12478"/>
    </row>
    <row r="12479" spans="7:7">
      <c r="G12479"/>
    </row>
    <row r="12480" spans="7:7">
      <c r="G12480"/>
    </row>
    <row r="12481" spans="7:7">
      <c r="G12481"/>
    </row>
    <row r="12482" spans="7:7">
      <c r="G12482"/>
    </row>
    <row r="12483" spans="7:7">
      <c r="G12483"/>
    </row>
    <row r="12484" spans="7:7">
      <c r="G12484"/>
    </row>
    <row r="12485" spans="7:7">
      <c r="G12485"/>
    </row>
    <row r="12486" spans="7:7">
      <c r="G12486"/>
    </row>
    <row r="12487" spans="7:7">
      <c r="G12487"/>
    </row>
    <row r="12488" spans="7:7">
      <c r="G12488"/>
    </row>
    <row r="12489" spans="7:7">
      <c r="G12489"/>
    </row>
    <row r="12490" spans="7:7">
      <c r="G12490"/>
    </row>
    <row r="12491" spans="7:7">
      <c r="G12491"/>
    </row>
    <row r="12492" spans="7:7">
      <c r="G12492"/>
    </row>
    <row r="12493" spans="7:7">
      <c r="G12493"/>
    </row>
    <row r="12494" spans="7:7">
      <c r="G12494"/>
    </row>
    <row r="12495" spans="7:7">
      <c r="G12495"/>
    </row>
    <row r="12496" spans="7:7">
      <c r="G12496"/>
    </row>
    <row r="12497" spans="7:7">
      <c r="G12497"/>
    </row>
    <row r="12498" spans="7:7">
      <c r="G12498"/>
    </row>
    <row r="12499" spans="7:7">
      <c r="G12499"/>
    </row>
    <row r="12500" spans="7:7">
      <c r="G12500"/>
    </row>
    <row r="12501" spans="7:7">
      <c r="G12501"/>
    </row>
    <row r="12502" spans="7:7">
      <c r="G12502"/>
    </row>
    <row r="12503" spans="7:7">
      <c r="G12503"/>
    </row>
    <row r="12504" spans="7:7">
      <c r="G12504"/>
    </row>
    <row r="12505" spans="7:7">
      <c r="G12505"/>
    </row>
    <row r="12506" spans="7:7">
      <c r="G12506"/>
    </row>
    <row r="12507" spans="7:7">
      <c r="G12507"/>
    </row>
    <row r="12508" spans="7:7">
      <c r="G12508"/>
    </row>
    <row r="12509" spans="7:7">
      <c r="G12509"/>
    </row>
    <row r="12510" spans="7:7">
      <c r="G12510"/>
    </row>
    <row r="12511" spans="7:7">
      <c r="G12511"/>
    </row>
    <row r="12512" spans="7:7">
      <c r="G12512"/>
    </row>
    <row r="12513" spans="7:7">
      <c r="G12513"/>
    </row>
    <row r="12514" spans="7:7">
      <c r="G12514"/>
    </row>
    <row r="12515" spans="7:7">
      <c r="G12515"/>
    </row>
    <row r="12516" spans="7:7">
      <c r="G12516"/>
    </row>
    <row r="12517" spans="7:7">
      <c r="G12517"/>
    </row>
    <row r="12518" spans="7:7">
      <c r="G12518"/>
    </row>
    <row r="12519" spans="7:7">
      <c r="G12519"/>
    </row>
    <row r="12520" spans="7:7">
      <c r="G12520"/>
    </row>
    <row r="12521" spans="7:7">
      <c r="G12521"/>
    </row>
    <row r="12522" spans="7:7">
      <c r="G12522"/>
    </row>
    <row r="12523" spans="7:7">
      <c r="G12523"/>
    </row>
    <row r="12524" spans="7:7">
      <c r="G12524"/>
    </row>
    <row r="12525" spans="7:7">
      <c r="G12525"/>
    </row>
    <row r="12526" spans="7:7">
      <c r="G12526"/>
    </row>
    <row r="12527" spans="7:7">
      <c r="G12527"/>
    </row>
    <row r="12528" spans="7:7">
      <c r="G12528"/>
    </row>
    <row r="12529" spans="7:7">
      <c r="G12529"/>
    </row>
    <row r="12530" spans="7:7">
      <c r="G12530"/>
    </row>
    <row r="12531" spans="7:7">
      <c r="G12531"/>
    </row>
    <row r="12532" spans="7:7">
      <c r="G12532"/>
    </row>
    <row r="12533" spans="7:7">
      <c r="G12533"/>
    </row>
    <row r="12534" spans="7:7">
      <c r="G12534"/>
    </row>
    <row r="12535" spans="7:7">
      <c r="G12535"/>
    </row>
    <row r="12536" spans="7:7">
      <c r="G12536"/>
    </row>
    <row r="12537" spans="7:7">
      <c r="G12537"/>
    </row>
    <row r="12538" spans="7:7">
      <c r="G12538"/>
    </row>
    <row r="12539" spans="7:7">
      <c r="G12539"/>
    </row>
    <row r="12540" spans="7:7">
      <c r="G12540"/>
    </row>
    <row r="12541" spans="7:7">
      <c r="G12541"/>
    </row>
    <row r="12542" spans="7:7">
      <c r="G12542"/>
    </row>
    <row r="12543" spans="7:7">
      <c r="G12543"/>
    </row>
    <row r="12544" spans="7:7">
      <c r="G12544"/>
    </row>
    <row r="12545" spans="7:7">
      <c r="G12545"/>
    </row>
    <row r="12546" spans="7:7">
      <c r="G12546"/>
    </row>
    <row r="12547" spans="7:7">
      <c r="G12547"/>
    </row>
    <row r="12548" spans="7:7">
      <c r="G12548"/>
    </row>
    <row r="12549" spans="7:7">
      <c r="G12549"/>
    </row>
    <row r="12550" spans="7:7">
      <c r="G12550"/>
    </row>
    <row r="12551" spans="7:7">
      <c r="G12551"/>
    </row>
    <row r="12552" spans="7:7">
      <c r="G12552"/>
    </row>
    <row r="12553" spans="7:7">
      <c r="G12553"/>
    </row>
    <row r="12554" spans="7:7">
      <c r="G12554"/>
    </row>
    <row r="12555" spans="7:7">
      <c r="G12555"/>
    </row>
    <row r="12556" spans="7:7">
      <c r="G12556"/>
    </row>
    <row r="12557" spans="7:7">
      <c r="G12557"/>
    </row>
    <row r="12558" spans="7:7">
      <c r="G12558"/>
    </row>
    <row r="12559" spans="7:7">
      <c r="G12559"/>
    </row>
    <row r="12560" spans="7:7">
      <c r="G12560"/>
    </row>
    <row r="12561" spans="7:7">
      <c r="G12561"/>
    </row>
    <row r="12562" spans="7:7">
      <c r="G12562"/>
    </row>
    <row r="12563" spans="7:7">
      <c r="G12563"/>
    </row>
    <row r="12564" spans="7:7">
      <c r="G12564"/>
    </row>
    <row r="12565" spans="7:7">
      <c r="G12565"/>
    </row>
    <row r="12566" spans="7:7">
      <c r="G12566"/>
    </row>
    <row r="12567" spans="7:7">
      <c r="G12567"/>
    </row>
    <row r="12568" spans="7:7">
      <c r="G12568"/>
    </row>
    <row r="12569" spans="7:7">
      <c r="G12569"/>
    </row>
    <row r="12570" spans="7:7">
      <c r="G12570"/>
    </row>
    <row r="12571" spans="7:7">
      <c r="G12571"/>
    </row>
    <row r="12572" spans="7:7">
      <c r="G12572"/>
    </row>
    <row r="12573" spans="7:7">
      <c r="G12573"/>
    </row>
    <row r="12574" spans="7:7">
      <c r="G12574"/>
    </row>
    <row r="12575" spans="7:7">
      <c r="G12575"/>
    </row>
    <row r="12576" spans="7:7">
      <c r="G12576"/>
    </row>
    <row r="12577" spans="7:7">
      <c r="G12577"/>
    </row>
    <row r="12578" spans="7:7">
      <c r="G12578"/>
    </row>
    <row r="12579" spans="7:7">
      <c r="G12579"/>
    </row>
    <row r="12580" spans="7:7">
      <c r="G12580"/>
    </row>
    <row r="12581" spans="7:7">
      <c r="G12581"/>
    </row>
    <row r="12582" spans="7:7">
      <c r="G12582"/>
    </row>
    <row r="12583" spans="7:7">
      <c r="G12583"/>
    </row>
    <row r="12584" spans="7:7">
      <c r="G12584"/>
    </row>
    <row r="12585" spans="7:7">
      <c r="G12585"/>
    </row>
    <row r="12586" spans="7:7">
      <c r="G12586"/>
    </row>
    <row r="12587" spans="7:7">
      <c r="G12587"/>
    </row>
    <row r="12588" spans="7:7">
      <c r="G12588"/>
    </row>
    <row r="12589" spans="7:7">
      <c r="G12589"/>
    </row>
    <row r="12590" spans="7:7">
      <c r="G12590"/>
    </row>
    <row r="12591" spans="7:7">
      <c r="G12591"/>
    </row>
    <row r="12592" spans="7:7">
      <c r="G12592"/>
    </row>
    <row r="12593" spans="7:7">
      <c r="G12593"/>
    </row>
    <row r="12594" spans="7:7">
      <c r="G12594"/>
    </row>
    <row r="12595" spans="7:7">
      <c r="G12595"/>
    </row>
    <row r="12596" spans="7:7">
      <c r="G12596"/>
    </row>
    <row r="12597" spans="7:7">
      <c r="G12597"/>
    </row>
    <row r="12598" spans="7:7">
      <c r="G12598"/>
    </row>
    <row r="12599" spans="7:7">
      <c r="G12599"/>
    </row>
    <row r="12600" spans="7:7">
      <c r="G12600"/>
    </row>
    <row r="12601" spans="7:7">
      <c r="G12601"/>
    </row>
    <row r="12602" spans="7:7">
      <c r="G12602"/>
    </row>
    <row r="12603" spans="7:7">
      <c r="G12603"/>
    </row>
    <row r="12604" spans="7:7">
      <c r="G12604"/>
    </row>
    <row r="12605" spans="7:7">
      <c r="G12605"/>
    </row>
    <row r="12606" spans="7:7">
      <c r="G12606"/>
    </row>
    <row r="12607" spans="7:7">
      <c r="G12607"/>
    </row>
    <row r="12608" spans="7:7">
      <c r="G12608"/>
    </row>
    <row r="12609" spans="7:7">
      <c r="G12609"/>
    </row>
    <row r="12610" spans="7:7">
      <c r="G12610"/>
    </row>
    <row r="12611" spans="7:7">
      <c r="G12611"/>
    </row>
    <row r="12612" spans="7:7">
      <c r="G12612"/>
    </row>
    <row r="12613" spans="7:7">
      <c r="G12613"/>
    </row>
    <row r="12614" spans="7:7">
      <c r="G12614"/>
    </row>
    <row r="12615" spans="7:7">
      <c r="G12615"/>
    </row>
    <row r="12616" spans="7:7">
      <c r="G12616"/>
    </row>
    <row r="12617" spans="7:7">
      <c r="G12617"/>
    </row>
    <row r="12618" spans="7:7">
      <c r="G12618"/>
    </row>
    <row r="12619" spans="7:7">
      <c r="G12619"/>
    </row>
    <row r="12620" spans="7:7">
      <c r="G12620"/>
    </row>
    <row r="12621" spans="7:7">
      <c r="G12621"/>
    </row>
    <row r="12622" spans="7:7">
      <c r="G12622"/>
    </row>
    <row r="12623" spans="7:7">
      <c r="G12623"/>
    </row>
    <row r="12624" spans="7:7">
      <c r="G12624"/>
    </row>
    <row r="12625" spans="7:7">
      <c r="G12625"/>
    </row>
    <row r="12626" spans="7:7">
      <c r="G12626"/>
    </row>
    <row r="12627" spans="7:7">
      <c r="G12627"/>
    </row>
    <row r="12628" spans="7:7">
      <c r="G12628"/>
    </row>
    <row r="12629" spans="7:7">
      <c r="G12629"/>
    </row>
    <row r="12630" spans="7:7">
      <c r="G12630"/>
    </row>
    <row r="12631" spans="7:7">
      <c r="G12631"/>
    </row>
    <row r="12632" spans="7:7">
      <c r="G12632"/>
    </row>
    <row r="12633" spans="7:7">
      <c r="G12633"/>
    </row>
    <row r="12634" spans="7:7">
      <c r="G12634"/>
    </row>
    <row r="12635" spans="7:7">
      <c r="G12635"/>
    </row>
    <row r="12636" spans="7:7">
      <c r="G12636"/>
    </row>
    <row r="12637" spans="7:7">
      <c r="G12637"/>
    </row>
    <row r="12638" spans="7:7">
      <c r="G12638"/>
    </row>
    <row r="12639" spans="7:7">
      <c r="G12639"/>
    </row>
    <row r="12640" spans="7:7">
      <c r="G12640"/>
    </row>
    <row r="12641" spans="7:7">
      <c r="G12641"/>
    </row>
    <row r="12642" spans="7:7">
      <c r="G12642"/>
    </row>
    <row r="12643" spans="7:7">
      <c r="G12643"/>
    </row>
    <row r="12644" spans="7:7">
      <c r="G12644"/>
    </row>
    <row r="12645" spans="7:7">
      <c r="G12645"/>
    </row>
    <row r="12646" spans="7:7">
      <c r="G12646"/>
    </row>
    <row r="12647" spans="7:7">
      <c r="G12647"/>
    </row>
    <row r="12648" spans="7:7">
      <c r="G12648"/>
    </row>
    <row r="12649" spans="7:7">
      <c r="G12649"/>
    </row>
    <row r="12650" spans="7:7">
      <c r="G12650"/>
    </row>
    <row r="12651" spans="7:7">
      <c r="G12651"/>
    </row>
    <row r="12652" spans="7:7">
      <c r="G12652"/>
    </row>
    <row r="12653" spans="7:7">
      <c r="G12653"/>
    </row>
    <row r="12654" spans="7:7">
      <c r="G12654"/>
    </row>
    <row r="12655" spans="7:7">
      <c r="G12655"/>
    </row>
    <row r="12656" spans="7:7">
      <c r="G12656"/>
    </row>
    <row r="12657" spans="7:7">
      <c r="G12657"/>
    </row>
    <row r="12658" spans="7:7">
      <c r="G12658"/>
    </row>
    <row r="12659" spans="7:7">
      <c r="G12659"/>
    </row>
    <row r="12660" spans="7:7">
      <c r="G12660"/>
    </row>
    <row r="12661" spans="7:7">
      <c r="G12661"/>
    </row>
    <row r="12662" spans="7:7">
      <c r="G12662"/>
    </row>
    <row r="12663" spans="7:7">
      <c r="G12663"/>
    </row>
    <row r="12664" spans="7:7">
      <c r="G12664"/>
    </row>
    <row r="12665" spans="7:7">
      <c r="G12665"/>
    </row>
    <row r="12666" spans="7:7">
      <c r="G12666"/>
    </row>
    <row r="12667" spans="7:7">
      <c r="G12667"/>
    </row>
    <row r="12668" spans="7:7">
      <c r="G12668"/>
    </row>
    <row r="12669" spans="7:7">
      <c r="G12669"/>
    </row>
    <row r="12670" spans="7:7">
      <c r="G12670"/>
    </row>
    <row r="12671" spans="7:7">
      <c r="G12671"/>
    </row>
    <row r="12672" spans="7:7">
      <c r="G12672"/>
    </row>
    <row r="12673" spans="7:7">
      <c r="G12673"/>
    </row>
    <row r="12674" spans="7:7">
      <c r="G12674"/>
    </row>
    <row r="12675" spans="7:7">
      <c r="G12675"/>
    </row>
    <row r="12676" spans="7:7">
      <c r="G12676"/>
    </row>
    <row r="12677" spans="7:7">
      <c r="G12677"/>
    </row>
    <row r="12678" spans="7:7">
      <c r="G12678"/>
    </row>
    <row r="12679" spans="7:7">
      <c r="G12679"/>
    </row>
    <row r="12680" spans="7:7">
      <c r="G12680"/>
    </row>
    <row r="12681" spans="7:7">
      <c r="G12681"/>
    </row>
    <row r="12682" spans="7:7">
      <c r="G12682"/>
    </row>
    <row r="12683" spans="7:7">
      <c r="G12683"/>
    </row>
    <row r="12684" spans="7:7">
      <c r="G12684"/>
    </row>
    <row r="12685" spans="7:7">
      <c r="G12685"/>
    </row>
    <row r="12686" spans="7:7">
      <c r="G12686"/>
    </row>
    <row r="12687" spans="7:7">
      <c r="G12687"/>
    </row>
    <row r="12688" spans="7:7">
      <c r="G12688"/>
    </row>
    <row r="12689" spans="7:7">
      <c r="G12689"/>
    </row>
    <row r="12690" spans="7:7">
      <c r="G12690"/>
    </row>
    <row r="12691" spans="7:7">
      <c r="G12691"/>
    </row>
    <row r="12692" spans="7:7">
      <c r="G12692"/>
    </row>
    <row r="12693" spans="7:7">
      <c r="G12693"/>
    </row>
    <row r="12694" spans="7:7">
      <c r="G12694"/>
    </row>
    <row r="12695" spans="7:7">
      <c r="G12695"/>
    </row>
    <row r="12696" spans="7:7">
      <c r="G12696"/>
    </row>
    <row r="12697" spans="7:7">
      <c r="G12697"/>
    </row>
    <row r="12698" spans="7:7">
      <c r="G12698"/>
    </row>
    <row r="12699" spans="7:7">
      <c r="G12699"/>
    </row>
    <row r="12700" spans="7:7">
      <c r="G12700"/>
    </row>
    <row r="12701" spans="7:7">
      <c r="G12701"/>
    </row>
    <row r="12702" spans="7:7">
      <c r="G12702"/>
    </row>
    <row r="12703" spans="7:7">
      <c r="G12703"/>
    </row>
    <row r="12704" spans="7:7">
      <c r="G12704"/>
    </row>
    <row r="12705" spans="7:7">
      <c r="G12705"/>
    </row>
    <row r="12706" spans="7:7">
      <c r="G12706"/>
    </row>
    <row r="12707" spans="7:7">
      <c r="G12707"/>
    </row>
    <row r="12708" spans="7:7">
      <c r="G12708"/>
    </row>
    <row r="12709" spans="7:7">
      <c r="G12709"/>
    </row>
    <row r="12710" spans="7:7">
      <c r="G12710"/>
    </row>
    <row r="12711" spans="7:7">
      <c r="G12711"/>
    </row>
    <row r="12712" spans="7:7">
      <c r="G12712"/>
    </row>
    <row r="12713" spans="7:7">
      <c r="G12713"/>
    </row>
    <row r="12714" spans="7:7">
      <c r="G12714"/>
    </row>
    <row r="12715" spans="7:7">
      <c r="G12715"/>
    </row>
    <row r="12716" spans="7:7">
      <c r="G12716"/>
    </row>
    <row r="12717" spans="7:7">
      <c r="G12717"/>
    </row>
    <row r="12718" spans="7:7">
      <c r="G12718"/>
    </row>
    <row r="12719" spans="7:7">
      <c r="G12719"/>
    </row>
    <row r="12720" spans="7:7">
      <c r="G12720"/>
    </row>
    <row r="12721" spans="7:7">
      <c r="G12721"/>
    </row>
    <row r="12722" spans="7:7">
      <c r="G12722"/>
    </row>
    <row r="12723" spans="7:7">
      <c r="G12723"/>
    </row>
    <row r="12724" spans="7:7">
      <c r="G12724"/>
    </row>
    <row r="12725" spans="7:7">
      <c r="G12725"/>
    </row>
    <row r="12726" spans="7:7">
      <c r="G12726"/>
    </row>
    <row r="12727" spans="7:7">
      <c r="G12727"/>
    </row>
    <row r="12728" spans="7:7">
      <c r="G12728"/>
    </row>
    <row r="12729" spans="7:7">
      <c r="G12729"/>
    </row>
    <row r="12730" spans="7:7">
      <c r="G12730"/>
    </row>
    <row r="12731" spans="7:7">
      <c r="G12731"/>
    </row>
    <row r="12732" spans="7:7">
      <c r="G12732"/>
    </row>
    <row r="12733" spans="7:7">
      <c r="G12733"/>
    </row>
    <row r="12734" spans="7:7">
      <c r="G12734"/>
    </row>
    <row r="12735" spans="7:7">
      <c r="G12735"/>
    </row>
    <row r="12736" spans="7:7">
      <c r="G12736"/>
    </row>
    <row r="12737" spans="7:7">
      <c r="G12737"/>
    </row>
    <row r="12738" spans="7:7">
      <c r="G12738"/>
    </row>
    <row r="12739" spans="7:7">
      <c r="G12739"/>
    </row>
    <row r="12740" spans="7:7">
      <c r="G12740"/>
    </row>
    <row r="12741" spans="7:7">
      <c r="G12741"/>
    </row>
    <row r="12742" spans="7:7">
      <c r="G12742"/>
    </row>
    <row r="12743" spans="7:7">
      <c r="G12743"/>
    </row>
    <row r="12744" spans="7:7">
      <c r="G12744"/>
    </row>
    <row r="12745" spans="7:7">
      <c r="G12745"/>
    </row>
    <row r="12746" spans="7:7">
      <c r="G12746"/>
    </row>
    <row r="12747" spans="7:7">
      <c r="G12747"/>
    </row>
    <row r="12748" spans="7:7">
      <c r="G12748"/>
    </row>
    <row r="12749" spans="7:7">
      <c r="G12749"/>
    </row>
    <row r="12750" spans="7:7">
      <c r="G12750"/>
    </row>
    <row r="12751" spans="7:7">
      <c r="G12751"/>
    </row>
    <row r="12752" spans="7:7">
      <c r="G12752"/>
    </row>
    <row r="12753" spans="7:7">
      <c r="G12753"/>
    </row>
    <row r="12754" spans="7:7">
      <c r="G12754"/>
    </row>
    <row r="12755" spans="7:7">
      <c r="G12755"/>
    </row>
    <row r="12756" spans="7:7">
      <c r="G12756"/>
    </row>
    <row r="12757" spans="7:7">
      <c r="G12757"/>
    </row>
    <row r="12758" spans="7:7">
      <c r="G12758"/>
    </row>
    <row r="12759" spans="7:7">
      <c r="G12759"/>
    </row>
    <row r="12760" spans="7:7">
      <c r="G12760"/>
    </row>
    <row r="12761" spans="7:7">
      <c r="G12761"/>
    </row>
    <row r="12762" spans="7:7">
      <c r="G12762"/>
    </row>
    <row r="12763" spans="7:7">
      <c r="G12763"/>
    </row>
    <row r="12764" spans="7:7">
      <c r="G12764"/>
    </row>
    <row r="12765" spans="7:7">
      <c r="G12765"/>
    </row>
    <row r="12766" spans="7:7">
      <c r="G12766"/>
    </row>
    <row r="12767" spans="7:7">
      <c r="G12767"/>
    </row>
    <row r="12768" spans="7:7">
      <c r="G12768"/>
    </row>
    <row r="12769" spans="7:7">
      <c r="G12769"/>
    </row>
    <row r="12770" spans="7:7">
      <c r="G12770"/>
    </row>
    <row r="12771" spans="7:7">
      <c r="G12771"/>
    </row>
    <row r="12772" spans="7:7">
      <c r="G12772"/>
    </row>
    <row r="12773" spans="7:7">
      <c r="G12773"/>
    </row>
    <row r="12774" spans="7:7">
      <c r="G12774"/>
    </row>
    <row r="12775" spans="7:7">
      <c r="G12775"/>
    </row>
    <row r="12776" spans="7:7">
      <c r="G12776"/>
    </row>
    <row r="12777" spans="7:7">
      <c r="G12777"/>
    </row>
    <row r="12778" spans="7:7">
      <c r="G12778"/>
    </row>
    <row r="12779" spans="7:7">
      <c r="G12779"/>
    </row>
    <row r="12780" spans="7:7">
      <c r="G12780"/>
    </row>
    <row r="12781" spans="7:7">
      <c r="G12781"/>
    </row>
    <row r="12782" spans="7:7">
      <c r="G12782"/>
    </row>
    <row r="12783" spans="7:7">
      <c r="G12783"/>
    </row>
    <row r="12784" spans="7:7">
      <c r="G12784"/>
    </row>
    <row r="12785" spans="7:7">
      <c r="G12785"/>
    </row>
    <row r="12786" spans="7:7">
      <c r="G12786"/>
    </row>
    <row r="12787" spans="7:7">
      <c r="G12787"/>
    </row>
    <row r="12788" spans="7:7">
      <c r="G12788"/>
    </row>
    <row r="12789" spans="7:7">
      <c r="G12789"/>
    </row>
    <row r="12790" spans="7:7">
      <c r="G12790"/>
    </row>
    <row r="12791" spans="7:7">
      <c r="G12791"/>
    </row>
    <row r="12792" spans="7:7">
      <c r="G12792"/>
    </row>
    <row r="12793" spans="7:7">
      <c r="G12793"/>
    </row>
    <row r="12794" spans="7:7">
      <c r="G12794"/>
    </row>
    <row r="12795" spans="7:7">
      <c r="G12795"/>
    </row>
    <row r="12796" spans="7:7">
      <c r="G12796"/>
    </row>
    <row r="12797" spans="7:7">
      <c r="G12797"/>
    </row>
    <row r="12798" spans="7:7">
      <c r="G12798"/>
    </row>
    <row r="12799" spans="7:7">
      <c r="G12799"/>
    </row>
    <row r="12800" spans="7:7">
      <c r="G12800"/>
    </row>
    <row r="12801" spans="7:7">
      <c r="G12801"/>
    </row>
    <row r="12802" spans="7:7">
      <c r="G12802"/>
    </row>
    <row r="12803" spans="7:7">
      <c r="G12803"/>
    </row>
    <row r="12804" spans="7:7">
      <c r="G12804"/>
    </row>
    <row r="12805" spans="7:7">
      <c r="G12805"/>
    </row>
    <row r="12806" spans="7:7">
      <c r="G12806"/>
    </row>
    <row r="12807" spans="7:7">
      <c r="G12807"/>
    </row>
    <row r="12808" spans="7:7">
      <c r="G12808"/>
    </row>
    <row r="12809" spans="7:7">
      <c r="G12809"/>
    </row>
    <row r="12810" spans="7:7">
      <c r="G12810"/>
    </row>
    <row r="12811" spans="7:7">
      <c r="G12811"/>
    </row>
    <row r="12812" spans="7:7">
      <c r="G12812"/>
    </row>
    <row r="12813" spans="7:7">
      <c r="G12813"/>
    </row>
    <row r="12814" spans="7:7">
      <c r="G12814"/>
    </row>
    <row r="12815" spans="7:7">
      <c r="G12815"/>
    </row>
    <row r="12816" spans="7:7">
      <c r="G12816"/>
    </row>
    <row r="12817" spans="7:7">
      <c r="G12817"/>
    </row>
    <row r="12818" spans="7:7">
      <c r="G12818"/>
    </row>
    <row r="12819" spans="7:7">
      <c r="G12819"/>
    </row>
    <row r="12820" spans="7:7">
      <c r="G12820"/>
    </row>
    <row r="12821" spans="7:7">
      <c r="G12821"/>
    </row>
    <row r="12822" spans="7:7">
      <c r="G12822"/>
    </row>
    <row r="12823" spans="7:7">
      <c r="G12823"/>
    </row>
    <row r="12824" spans="7:7">
      <c r="G12824"/>
    </row>
    <row r="12825" spans="7:7">
      <c r="G12825"/>
    </row>
    <row r="12826" spans="7:7">
      <c r="G12826"/>
    </row>
    <row r="12827" spans="7:7">
      <c r="G12827"/>
    </row>
    <row r="12828" spans="7:7">
      <c r="G12828"/>
    </row>
    <row r="12829" spans="7:7">
      <c r="G12829"/>
    </row>
    <row r="12830" spans="7:7">
      <c r="G12830"/>
    </row>
    <row r="12831" spans="7:7">
      <c r="G12831"/>
    </row>
    <row r="12832" spans="7:7">
      <c r="G12832"/>
    </row>
    <row r="12833" spans="7:7">
      <c r="G12833"/>
    </row>
    <row r="12834" spans="7:7">
      <c r="G12834"/>
    </row>
    <row r="12835" spans="7:7">
      <c r="G12835"/>
    </row>
    <row r="12836" spans="7:7">
      <c r="G12836"/>
    </row>
    <row r="12837" spans="7:7">
      <c r="G12837"/>
    </row>
    <row r="12838" spans="7:7">
      <c r="G12838"/>
    </row>
    <row r="12839" spans="7:7">
      <c r="G12839"/>
    </row>
    <row r="12840" spans="7:7">
      <c r="G12840"/>
    </row>
    <row r="12841" spans="7:7">
      <c r="G12841"/>
    </row>
    <row r="12842" spans="7:7">
      <c r="G12842"/>
    </row>
    <row r="12843" spans="7:7">
      <c r="G12843"/>
    </row>
    <row r="12844" spans="7:7">
      <c r="G12844"/>
    </row>
    <row r="12845" spans="7:7">
      <c r="G12845"/>
    </row>
    <row r="12846" spans="7:7">
      <c r="G12846"/>
    </row>
    <row r="12847" spans="7:7">
      <c r="G12847"/>
    </row>
    <row r="12848" spans="7:7">
      <c r="G12848"/>
    </row>
    <row r="12849" spans="7:7">
      <c r="G12849"/>
    </row>
    <row r="12850" spans="7:7">
      <c r="G12850"/>
    </row>
    <row r="12851" spans="7:7">
      <c r="G12851"/>
    </row>
    <row r="12852" spans="7:7">
      <c r="G12852"/>
    </row>
    <row r="12853" spans="7:7">
      <c r="G12853"/>
    </row>
    <row r="12854" spans="7:7">
      <c r="G12854"/>
    </row>
    <row r="12855" spans="7:7">
      <c r="G12855"/>
    </row>
    <row r="12856" spans="7:7">
      <c r="G12856"/>
    </row>
    <row r="12857" spans="7:7">
      <c r="G12857"/>
    </row>
    <row r="12858" spans="7:7">
      <c r="G12858"/>
    </row>
    <row r="12859" spans="7:7">
      <c r="G12859"/>
    </row>
    <row r="12860" spans="7:7">
      <c r="G12860"/>
    </row>
    <row r="12861" spans="7:7">
      <c r="G12861"/>
    </row>
    <row r="12862" spans="7:7">
      <c r="G12862"/>
    </row>
    <row r="12863" spans="7:7">
      <c r="G12863"/>
    </row>
    <row r="12864" spans="7:7">
      <c r="G12864"/>
    </row>
    <row r="12865" spans="7:7">
      <c r="G12865"/>
    </row>
    <row r="12866" spans="7:7">
      <c r="G12866"/>
    </row>
    <row r="12867" spans="7:7">
      <c r="G12867"/>
    </row>
    <row r="12868" spans="7:7">
      <c r="G12868"/>
    </row>
    <row r="12869" spans="7:7">
      <c r="G12869"/>
    </row>
    <row r="12870" spans="7:7">
      <c r="G12870"/>
    </row>
    <row r="12871" spans="7:7">
      <c r="G12871"/>
    </row>
    <row r="12872" spans="7:7">
      <c r="G12872"/>
    </row>
    <row r="12873" spans="7:7">
      <c r="G12873"/>
    </row>
    <row r="12874" spans="7:7">
      <c r="G12874"/>
    </row>
    <row r="12875" spans="7:7">
      <c r="G12875"/>
    </row>
    <row r="12876" spans="7:7">
      <c r="G12876"/>
    </row>
    <row r="12877" spans="7:7">
      <c r="G12877"/>
    </row>
    <row r="12878" spans="7:7">
      <c r="G12878"/>
    </row>
    <row r="12879" spans="7:7">
      <c r="G12879"/>
    </row>
    <row r="12880" spans="7:7">
      <c r="G12880"/>
    </row>
    <row r="12881" spans="7:7">
      <c r="G12881"/>
    </row>
    <row r="12882" spans="7:7">
      <c r="G12882"/>
    </row>
    <row r="12883" spans="7:7">
      <c r="G12883"/>
    </row>
    <row r="12884" spans="7:7">
      <c r="G12884"/>
    </row>
    <row r="12885" spans="7:7">
      <c r="G12885"/>
    </row>
    <row r="12886" spans="7:7">
      <c r="G12886"/>
    </row>
    <row r="12887" spans="7:7">
      <c r="G12887"/>
    </row>
    <row r="12888" spans="7:7">
      <c r="G12888"/>
    </row>
    <row r="12889" spans="7:7">
      <c r="G12889"/>
    </row>
    <row r="12890" spans="7:7">
      <c r="G12890"/>
    </row>
    <row r="12891" spans="7:7">
      <c r="G12891"/>
    </row>
    <row r="12892" spans="7:7">
      <c r="G12892"/>
    </row>
    <row r="12893" spans="7:7">
      <c r="G12893"/>
    </row>
    <row r="12894" spans="7:7">
      <c r="G12894"/>
    </row>
    <row r="12895" spans="7:7">
      <c r="G12895"/>
    </row>
    <row r="12896" spans="7:7">
      <c r="G12896"/>
    </row>
    <row r="12897" spans="7:7">
      <c r="G12897"/>
    </row>
    <row r="12898" spans="7:7">
      <c r="G12898"/>
    </row>
    <row r="12899" spans="7:7">
      <c r="G12899"/>
    </row>
    <row r="12900" spans="7:7">
      <c r="G12900"/>
    </row>
    <row r="12901" spans="7:7">
      <c r="G12901"/>
    </row>
    <row r="12902" spans="7:7">
      <c r="G12902"/>
    </row>
    <row r="12903" spans="7:7">
      <c r="G12903"/>
    </row>
    <row r="12904" spans="7:7">
      <c r="G12904"/>
    </row>
    <row r="12905" spans="7:7">
      <c r="G12905"/>
    </row>
    <row r="12906" spans="7:7">
      <c r="G12906"/>
    </row>
    <row r="12907" spans="7:7">
      <c r="G12907"/>
    </row>
    <row r="12908" spans="7:7">
      <c r="G12908"/>
    </row>
    <row r="12909" spans="7:7">
      <c r="G12909"/>
    </row>
    <row r="12910" spans="7:7">
      <c r="G12910"/>
    </row>
    <row r="12911" spans="7:7">
      <c r="G12911"/>
    </row>
    <row r="12912" spans="7:7">
      <c r="G12912"/>
    </row>
    <row r="12913" spans="7:7">
      <c r="G12913"/>
    </row>
    <row r="12914" spans="7:7">
      <c r="G12914"/>
    </row>
    <row r="12915" spans="7:7">
      <c r="G12915"/>
    </row>
    <row r="12916" spans="7:7">
      <c r="G12916"/>
    </row>
    <row r="12917" spans="7:7">
      <c r="G12917"/>
    </row>
    <row r="12918" spans="7:7">
      <c r="G12918"/>
    </row>
    <row r="12919" spans="7:7">
      <c r="G12919"/>
    </row>
    <row r="12920" spans="7:7">
      <c r="G12920"/>
    </row>
    <row r="12921" spans="7:7">
      <c r="G12921"/>
    </row>
    <row r="12922" spans="7:7">
      <c r="G12922"/>
    </row>
    <row r="12923" spans="7:7">
      <c r="G12923"/>
    </row>
    <row r="12924" spans="7:7">
      <c r="G12924"/>
    </row>
    <row r="12925" spans="7:7">
      <c r="G12925"/>
    </row>
    <row r="12926" spans="7:7">
      <c r="G12926"/>
    </row>
    <row r="12927" spans="7:7">
      <c r="G12927"/>
    </row>
    <row r="12928" spans="7:7">
      <c r="G12928"/>
    </row>
    <row r="12929" spans="7:7">
      <c r="G12929"/>
    </row>
    <row r="12930" spans="7:7">
      <c r="G12930"/>
    </row>
    <row r="12931" spans="7:7">
      <c r="G12931"/>
    </row>
    <row r="12932" spans="7:7">
      <c r="G12932"/>
    </row>
    <row r="12933" spans="7:7">
      <c r="G12933"/>
    </row>
    <row r="12934" spans="7:7">
      <c r="G12934"/>
    </row>
    <row r="12935" spans="7:7">
      <c r="G12935"/>
    </row>
    <row r="12936" spans="7:7">
      <c r="G12936"/>
    </row>
    <row r="12937" spans="7:7">
      <c r="G12937"/>
    </row>
    <row r="12938" spans="7:7">
      <c r="G12938"/>
    </row>
    <row r="12939" spans="7:7">
      <c r="G12939"/>
    </row>
    <row r="12940" spans="7:7">
      <c r="G12940"/>
    </row>
    <row r="12941" spans="7:7">
      <c r="G12941"/>
    </row>
    <row r="12942" spans="7:7">
      <c r="G12942"/>
    </row>
    <row r="12943" spans="7:7">
      <c r="G12943"/>
    </row>
    <row r="12944" spans="7:7">
      <c r="G12944"/>
    </row>
    <row r="12945" spans="7:7">
      <c r="G12945"/>
    </row>
    <row r="12946" spans="7:7">
      <c r="G12946"/>
    </row>
    <row r="12947" spans="7:7">
      <c r="G12947"/>
    </row>
    <row r="12948" spans="7:7">
      <c r="G12948"/>
    </row>
    <row r="12949" spans="7:7">
      <c r="G12949"/>
    </row>
    <row r="12950" spans="7:7">
      <c r="G12950"/>
    </row>
    <row r="12951" spans="7:7">
      <c r="G12951"/>
    </row>
    <row r="12952" spans="7:7">
      <c r="G12952"/>
    </row>
    <row r="12953" spans="7:7">
      <c r="G12953"/>
    </row>
    <row r="12954" spans="7:7">
      <c r="G12954"/>
    </row>
    <row r="12955" spans="7:7">
      <c r="G12955"/>
    </row>
    <row r="12956" spans="7:7">
      <c r="G12956"/>
    </row>
    <row r="12957" spans="7:7">
      <c r="G12957"/>
    </row>
    <row r="12958" spans="7:7">
      <c r="G12958"/>
    </row>
    <row r="12959" spans="7:7">
      <c r="G12959"/>
    </row>
    <row r="12960" spans="7:7">
      <c r="G12960"/>
    </row>
    <row r="12961" spans="7:7">
      <c r="G12961"/>
    </row>
    <row r="12962" spans="7:7">
      <c r="G12962"/>
    </row>
    <row r="12963" spans="7:7">
      <c r="G12963"/>
    </row>
    <row r="12964" spans="7:7">
      <c r="G12964"/>
    </row>
    <row r="12965" spans="7:7">
      <c r="G12965"/>
    </row>
    <row r="12966" spans="7:7">
      <c r="G12966"/>
    </row>
    <row r="12967" spans="7:7">
      <c r="G12967"/>
    </row>
    <row r="12968" spans="7:7">
      <c r="G12968"/>
    </row>
    <row r="12969" spans="7:7">
      <c r="G12969"/>
    </row>
    <row r="12970" spans="7:7">
      <c r="G12970"/>
    </row>
    <row r="12971" spans="7:7">
      <c r="G12971"/>
    </row>
    <row r="12972" spans="7:7">
      <c r="G12972"/>
    </row>
    <row r="12973" spans="7:7">
      <c r="G12973"/>
    </row>
    <row r="12974" spans="7:7">
      <c r="G12974"/>
    </row>
    <row r="12975" spans="7:7">
      <c r="G12975"/>
    </row>
    <row r="12976" spans="7:7">
      <c r="G12976"/>
    </row>
    <row r="12977" spans="7:7">
      <c r="G12977"/>
    </row>
    <row r="12978" spans="7:7">
      <c r="G12978"/>
    </row>
    <row r="12979" spans="7:7">
      <c r="G12979"/>
    </row>
    <row r="12980" spans="7:7">
      <c r="G12980"/>
    </row>
    <row r="12981" spans="7:7">
      <c r="G12981"/>
    </row>
    <row r="12982" spans="7:7">
      <c r="G12982"/>
    </row>
    <row r="12983" spans="7:7">
      <c r="G12983"/>
    </row>
    <row r="12984" spans="7:7">
      <c r="G12984"/>
    </row>
    <row r="12985" spans="7:7">
      <c r="G12985"/>
    </row>
    <row r="12986" spans="7:7">
      <c r="G12986"/>
    </row>
    <row r="12987" spans="7:7">
      <c r="G12987"/>
    </row>
    <row r="12988" spans="7:7">
      <c r="G12988"/>
    </row>
    <row r="12989" spans="7:7">
      <c r="G12989"/>
    </row>
    <row r="12990" spans="7:7">
      <c r="G12990"/>
    </row>
    <row r="12991" spans="7:7">
      <c r="G12991"/>
    </row>
    <row r="12992" spans="7:7">
      <c r="G12992"/>
    </row>
    <row r="12993" spans="7:7">
      <c r="G12993"/>
    </row>
    <row r="12994" spans="7:7">
      <c r="G12994"/>
    </row>
    <row r="12995" spans="7:7">
      <c r="G12995"/>
    </row>
    <row r="12996" spans="7:7">
      <c r="G12996"/>
    </row>
    <row r="12997" spans="7:7">
      <c r="G12997"/>
    </row>
    <row r="12998" spans="7:7">
      <c r="G12998"/>
    </row>
    <row r="12999" spans="7:7">
      <c r="G12999"/>
    </row>
    <row r="13000" spans="7:7">
      <c r="G13000"/>
    </row>
    <row r="13001" spans="7:7">
      <c r="G13001"/>
    </row>
    <row r="13002" spans="7:7">
      <c r="G13002"/>
    </row>
    <row r="13003" spans="7:7">
      <c r="G13003"/>
    </row>
    <row r="13004" spans="7:7">
      <c r="G13004"/>
    </row>
    <row r="13005" spans="7:7">
      <c r="G13005"/>
    </row>
    <row r="13006" spans="7:7">
      <c r="G13006"/>
    </row>
    <row r="13007" spans="7:7">
      <c r="G13007"/>
    </row>
    <row r="13008" spans="7:7">
      <c r="G13008"/>
    </row>
    <row r="13009" spans="7:7">
      <c r="G13009"/>
    </row>
    <row r="13010" spans="7:7">
      <c r="G13010"/>
    </row>
    <row r="13011" spans="7:7">
      <c r="G13011"/>
    </row>
    <row r="13012" spans="7:7">
      <c r="G13012"/>
    </row>
    <row r="13013" spans="7:7">
      <c r="G13013"/>
    </row>
    <row r="13014" spans="7:7">
      <c r="G13014"/>
    </row>
    <row r="13015" spans="7:7">
      <c r="G13015"/>
    </row>
    <row r="13016" spans="7:7">
      <c r="G13016"/>
    </row>
    <row r="13017" spans="7:7">
      <c r="G13017"/>
    </row>
    <row r="13018" spans="7:7">
      <c r="G13018"/>
    </row>
    <row r="13019" spans="7:7">
      <c r="G13019"/>
    </row>
    <row r="13020" spans="7:7">
      <c r="G13020"/>
    </row>
    <row r="13021" spans="7:7">
      <c r="G13021"/>
    </row>
    <row r="13022" spans="7:7">
      <c r="G13022"/>
    </row>
    <row r="13023" spans="7:7">
      <c r="G13023"/>
    </row>
    <row r="13024" spans="7:7">
      <c r="G13024"/>
    </row>
    <row r="13025" spans="7:7">
      <c r="G13025"/>
    </row>
    <row r="13026" spans="7:7">
      <c r="G13026"/>
    </row>
    <row r="13027" spans="7:7">
      <c r="G13027"/>
    </row>
    <row r="13028" spans="7:7">
      <c r="G13028"/>
    </row>
    <row r="13029" spans="7:7">
      <c r="G13029"/>
    </row>
    <row r="13030" spans="7:7">
      <c r="G13030"/>
    </row>
    <row r="13031" spans="7:7">
      <c r="G13031"/>
    </row>
    <row r="13032" spans="7:7">
      <c r="G13032"/>
    </row>
    <row r="13033" spans="7:7">
      <c r="G13033"/>
    </row>
    <row r="13034" spans="7:7">
      <c r="G13034"/>
    </row>
    <row r="13035" spans="7:7">
      <c r="G13035"/>
    </row>
    <row r="13036" spans="7:7">
      <c r="G13036"/>
    </row>
    <row r="13037" spans="7:7">
      <c r="G13037"/>
    </row>
    <row r="13038" spans="7:7">
      <c r="G13038"/>
    </row>
    <row r="13039" spans="7:7">
      <c r="G13039"/>
    </row>
    <row r="13040" spans="7:7">
      <c r="G13040"/>
    </row>
    <row r="13041" spans="7:7">
      <c r="G13041"/>
    </row>
    <row r="13042" spans="7:7">
      <c r="G13042"/>
    </row>
    <row r="13043" spans="7:7">
      <c r="G13043"/>
    </row>
    <row r="13044" spans="7:7">
      <c r="G13044"/>
    </row>
    <row r="13045" spans="7:7">
      <c r="G13045"/>
    </row>
    <row r="13046" spans="7:7">
      <c r="G13046"/>
    </row>
    <row r="13047" spans="7:7">
      <c r="G13047"/>
    </row>
    <row r="13048" spans="7:7">
      <c r="G13048"/>
    </row>
    <row r="13049" spans="7:7">
      <c r="G13049"/>
    </row>
    <row r="13050" spans="7:7">
      <c r="G13050"/>
    </row>
    <row r="13051" spans="7:7">
      <c r="G13051"/>
    </row>
    <row r="13052" spans="7:7">
      <c r="G13052"/>
    </row>
    <row r="13053" spans="7:7">
      <c r="G13053"/>
    </row>
    <row r="13054" spans="7:7">
      <c r="G13054"/>
    </row>
    <row r="13055" spans="7:7">
      <c r="G13055"/>
    </row>
    <row r="13056" spans="7:7">
      <c r="G13056"/>
    </row>
    <row r="13057" spans="7:7">
      <c r="G13057"/>
    </row>
    <row r="13058" spans="7:7">
      <c r="G13058"/>
    </row>
    <row r="13059" spans="7:7">
      <c r="G13059"/>
    </row>
    <row r="13060" spans="7:7">
      <c r="G13060"/>
    </row>
    <row r="13061" spans="7:7">
      <c r="G13061"/>
    </row>
    <row r="13062" spans="7:7">
      <c r="G13062"/>
    </row>
    <row r="13063" spans="7:7">
      <c r="G13063"/>
    </row>
    <row r="13064" spans="7:7">
      <c r="G13064"/>
    </row>
    <row r="13065" spans="7:7">
      <c r="G13065"/>
    </row>
    <row r="13066" spans="7:7">
      <c r="G13066"/>
    </row>
    <row r="13067" spans="7:7">
      <c r="G13067"/>
    </row>
    <row r="13068" spans="7:7">
      <c r="G13068"/>
    </row>
    <row r="13069" spans="7:7">
      <c r="G13069"/>
    </row>
    <row r="13070" spans="7:7">
      <c r="G13070"/>
    </row>
    <row r="13071" spans="7:7">
      <c r="G13071"/>
    </row>
    <row r="13072" spans="7:7">
      <c r="G13072"/>
    </row>
    <row r="13073" spans="7:7">
      <c r="G13073"/>
    </row>
    <row r="13074" spans="7:7">
      <c r="G13074"/>
    </row>
    <row r="13075" spans="7:7">
      <c r="G13075"/>
    </row>
    <row r="13076" spans="7:7">
      <c r="G13076"/>
    </row>
    <row r="13077" spans="7:7">
      <c r="G13077"/>
    </row>
    <row r="13078" spans="7:7">
      <c r="G13078"/>
    </row>
    <row r="13079" spans="7:7">
      <c r="G13079"/>
    </row>
    <row r="13080" spans="7:7">
      <c r="G13080"/>
    </row>
    <row r="13081" spans="7:7">
      <c r="G13081"/>
    </row>
    <row r="13082" spans="7:7">
      <c r="G13082"/>
    </row>
    <row r="13083" spans="7:7">
      <c r="G13083"/>
    </row>
    <row r="13084" spans="7:7">
      <c r="G13084"/>
    </row>
    <row r="13085" spans="7:7">
      <c r="G13085"/>
    </row>
    <row r="13086" spans="7:7">
      <c r="G13086"/>
    </row>
    <row r="13087" spans="7:7">
      <c r="G13087"/>
    </row>
    <row r="13088" spans="7:7">
      <c r="G13088"/>
    </row>
    <row r="13089" spans="7:7">
      <c r="G13089"/>
    </row>
    <row r="13090" spans="7:7">
      <c r="G13090"/>
    </row>
    <row r="13091" spans="7:7">
      <c r="G13091"/>
    </row>
    <row r="13092" spans="7:7">
      <c r="G13092"/>
    </row>
    <row r="13093" spans="7:7">
      <c r="G13093"/>
    </row>
    <row r="13094" spans="7:7">
      <c r="G13094"/>
    </row>
    <row r="13095" spans="7:7">
      <c r="G13095"/>
    </row>
    <row r="13096" spans="7:7">
      <c r="G13096"/>
    </row>
    <row r="13097" spans="7:7">
      <c r="G13097"/>
    </row>
    <row r="13098" spans="7:7">
      <c r="G13098"/>
    </row>
    <row r="13099" spans="7:7">
      <c r="G13099"/>
    </row>
    <row r="13100" spans="7:7">
      <c r="G13100"/>
    </row>
    <row r="13101" spans="7:7">
      <c r="G13101"/>
    </row>
    <row r="13102" spans="7:7">
      <c r="G13102"/>
    </row>
    <row r="13103" spans="7:7">
      <c r="G13103"/>
    </row>
    <row r="13104" spans="7:7">
      <c r="G13104"/>
    </row>
    <row r="13105" spans="7:7">
      <c r="G13105"/>
    </row>
    <row r="13106" spans="7:7">
      <c r="G13106"/>
    </row>
    <row r="13107" spans="7:7">
      <c r="G13107"/>
    </row>
    <row r="13108" spans="7:7">
      <c r="G13108"/>
    </row>
    <row r="13109" spans="7:7">
      <c r="G13109"/>
    </row>
    <row r="13110" spans="7:7">
      <c r="G13110"/>
    </row>
    <row r="13111" spans="7:7">
      <c r="G13111"/>
    </row>
    <row r="13112" spans="7:7">
      <c r="G13112"/>
    </row>
    <row r="13113" spans="7:7">
      <c r="G13113"/>
    </row>
    <row r="13114" spans="7:7">
      <c r="G13114"/>
    </row>
    <row r="13115" spans="7:7">
      <c r="G13115"/>
    </row>
    <row r="13116" spans="7:7">
      <c r="G13116"/>
    </row>
    <row r="13117" spans="7:7">
      <c r="G13117"/>
    </row>
    <row r="13118" spans="7:7">
      <c r="G13118"/>
    </row>
    <row r="13119" spans="7:7">
      <c r="G13119"/>
    </row>
    <row r="13120" spans="7:7">
      <c r="G13120"/>
    </row>
    <row r="13121" spans="7:7">
      <c r="G13121"/>
    </row>
    <row r="13122" spans="7:7">
      <c r="G13122"/>
    </row>
    <row r="13123" spans="7:7">
      <c r="G13123"/>
    </row>
    <row r="13124" spans="7:7">
      <c r="G13124"/>
    </row>
    <row r="13125" spans="7:7">
      <c r="G13125"/>
    </row>
    <row r="13126" spans="7:7">
      <c r="G13126"/>
    </row>
    <row r="13127" spans="7:7">
      <c r="G13127"/>
    </row>
    <row r="13128" spans="7:7">
      <c r="G13128"/>
    </row>
    <row r="13129" spans="7:7">
      <c r="G13129"/>
    </row>
    <row r="13130" spans="7:7">
      <c r="G13130"/>
    </row>
    <row r="13131" spans="7:7">
      <c r="G13131"/>
    </row>
    <row r="13132" spans="7:7">
      <c r="G13132"/>
    </row>
    <row r="13133" spans="7:7">
      <c r="G13133"/>
    </row>
    <row r="13134" spans="7:7">
      <c r="G13134"/>
    </row>
    <row r="13135" spans="7:7">
      <c r="G13135"/>
    </row>
    <row r="13136" spans="7:7">
      <c r="G13136"/>
    </row>
    <row r="13137" spans="7:7">
      <c r="G13137"/>
    </row>
    <row r="13138" spans="7:7">
      <c r="G13138"/>
    </row>
    <row r="13139" spans="7:7">
      <c r="G13139"/>
    </row>
    <row r="13140" spans="7:7">
      <c r="G13140"/>
    </row>
    <row r="13141" spans="7:7">
      <c r="G13141"/>
    </row>
    <row r="13142" spans="7:7">
      <c r="G13142"/>
    </row>
    <row r="13143" spans="7:7">
      <c r="G13143"/>
    </row>
    <row r="13144" spans="7:7">
      <c r="G13144"/>
    </row>
    <row r="13145" spans="7:7">
      <c r="G13145"/>
    </row>
    <row r="13146" spans="7:7">
      <c r="G13146"/>
    </row>
    <row r="13147" spans="7:7">
      <c r="G13147"/>
    </row>
    <row r="13148" spans="7:7">
      <c r="G13148"/>
    </row>
    <row r="13149" spans="7:7">
      <c r="G13149"/>
    </row>
    <row r="13150" spans="7:7">
      <c r="G13150"/>
    </row>
    <row r="13151" spans="7:7">
      <c r="G13151"/>
    </row>
    <row r="13152" spans="7:7">
      <c r="G13152"/>
    </row>
    <row r="13153" spans="7:7">
      <c r="G13153"/>
    </row>
    <row r="13154" spans="7:7">
      <c r="G13154"/>
    </row>
    <row r="13155" spans="7:7">
      <c r="G13155"/>
    </row>
    <row r="13156" spans="7:7">
      <c r="G13156"/>
    </row>
    <row r="13157" spans="7:7">
      <c r="G13157"/>
    </row>
    <row r="13158" spans="7:7">
      <c r="G13158"/>
    </row>
    <row r="13159" spans="7:7">
      <c r="G13159"/>
    </row>
    <row r="13160" spans="7:7">
      <c r="G13160"/>
    </row>
    <row r="13161" spans="7:7">
      <c r="G13161"/>
    </row>
    <row r="13162" spans="7:7">
      <c r="G13162"/>
    </row>
    <row r="13163" spans="7:7">
      <c r="G13163"/>
    </row>
    <row r="13164" spans="7:7">
      <c r="G13164"/>
    </row>
    <row r="13165" spans="7:7">
      <c r="G13165"/>
    </row>
    <row r="13166" spans="7:7">
      <c r="G13166"/>
    </row>
    <row r="13167" spans="7:7">
      <c r="G13167"/>
    </row>
    <row r="13168" spans="7:7">
      <c r="G13168"/>
    </row>
    <row r="13169" spans="7:7">
      <c r="G13169"/>
    </row>
    <row r="13170" spans="7:7">
      <c r="G13170"/>
    </row>
    <row r="13171" spans="7:7">
      <c r="G13171"/>
    </row>
    <row r="13172" spans="7:7">
      <c r="G13172"/>
    </row>
    <row r="13173" spans="7:7">
      <c r="G13173"/>
    </row>
    <row r="13174" spans="7:7">
      <c r="G13174"/>
    </row>
    <row r="13175" spans="7:7">
      <c r="G13175"/>
    </row>
    <row r="13176" spans="7:7">
      <c r="G13176"/>
    </row>
    <row r="13177" spans="7:7">
      <c r="G13177"/>
    </row>
    <row r="13178" spans="7:7">
      <c r="G13178"/>
    </row>
    <row r="13179" spans="7:7">
      <c r="G13179"/>
    </row>
    <row r="13180" spans="7:7">
      <c r="G13180"/>
    </row>
    <row r="13181" spans="7:7">
      <c r="G13181"/>
    </row>
    <row r="13182" spans="7:7">
      <c r="G13182"/>
    </row>
    <row r="13183" spans="7:7">
      <c r="G13183"/>
    </row>
    <row r="13184" spans="7:7">
      <c r="G13184"/>
    </row>
    <row r="13185" spans="7:7">
      <c r="G13185"/>
    </row>
    <row r="13186" spans="7:7">
      <c r="G13186"/>
    </row>
    <row r="13187" spans="7:7">
      <c r="G13187"/>
    </row>
    <row r="13188" spans="7:7">
      <c r="G13188"/>
    </row>
    <row r="13189" spans="7:7">
      <c r="G13189"/>
    </row>
    <row r="13190" spans="7:7">
      <c r="G13190"/>
    </row>
    <row r="13191" spans="7:7">
      <c r="G13191"/>
    </row>
    <row r="13192" spans="7:7">
      <c r="G13192"/>
    </row>
    <row r="13193" spans="7:7">
      <c r="G13193"/>
    </row>
    <row r="13194" spans="7:7">
      <c r="G13194"/>
    </row>
    <row r="13195" spans="7:7">
      <c r="G13195"/>
    </row>
    <row r="13196" spans="7:7">
      <c r="G13196"/>
    </row>
    <row r="13197" spans="7:7">
      <c r="G13197"/>
    </row>
    <row r="13198" spans="7:7">
      <c r="G13198"/>
    </row>
    <row r="13199" spans="7:7">
      <c r="G13199"/>
    </row>
    <row r="13200" spans="7:7">
      <c r="G13200"/>
    </row>
    <row r="13201" spans="7:7">
      <c r="G13201"/>
    </row>
    <row r="13202" spans="7:7">
      <c r="G13202"/>
    </row>
    <row r="13203" spans="7:7">
      <c r="G13203"/>
    </row>
    <row r="13204" spans="7:7">
      <c r="G13204"/>
    </row>
    <row r="13205" spans="7:7">
      <c r="G13205"/>
    </row>
    <row r="13206" spans="7:7">
      <c r="G13206"/>
    </row>
    <row r="13207" spans="7:7">
      <c r="G13207"/>
    </row>
    <row r="13208" spans="7:7">
      <c r="G13208"/>
    </row>
    <row r="13209" spans="7:7">
      <c r="G13209"/>
    </row>
    <row r="13210" spans="7:7">
      <c r="G13210"/>
    </row>
    <row r="13211" spans="7:7">
      <c r="G13211"/>
    </row>
    <row r="13212" spans="7:7">
      <c r="G13212"/>
    </row>
    <row r="13213" spans="7:7">
      <c r="G13213"/>
    </row>
    <row r="13214" spans="7:7">
      <c r="G13214"/>
    </row>
    <row r="13215" spans="7:7">
      <c r="G13215"/>
    </row>
    <row r="13216" spans="7:7">
      <c r="G13216"/>
    </row>
    <row r="13217" spans="7:7">
      <c r="G13217"/>
    </row>
    <row r="13218" spans="7:7">
      <c r="G13218"/>
    </row>
    <row r="13219" spans="7:7">
      <c r="G13219"/>
    </row>
    <row r="13220" spans="7:7">
      <c r="G13220"/>
    </row>
    <row r="13221" spans="7:7">
      <c r="G13221"/>
    </row>
    <row r="13222" spans="7:7">
      <c r="G13222"/>
    </row>
    <row r="13223" spans="7:7">
      <c r="G13223"/>
    </row>
    <row r="13224" spans="7:7">
      <c r="G13224"/>
    </row>
    <row r="13225" spans="7:7">
      <c r="G13225"/>
    </row>
    <row r="13226" spans="7:7">
      <c r="G13226"/>
    </row>
    <row r="13227" spans="7:7">
      <c r="G13227"/>
    </row>
    <row r="13228" spans="7:7">
      <c r="G13228"/>
    </row>
    <row r="13229" spans="7:7">
      <c r="G13229"/>
    </row>
    <row r="13230" spans="7:7">
      <c r="G13230"/>
    </row>
    <row r="13231" spans="7:7">
      <c r="G13231"/>
    </row>
    <row r="13232" spans="7:7">
      <c r="G13232"/>
    </row>
    <row r="13233" spans="7:7">
      <c r="G13233"/>
    </row>
    <row r="13234" spans="7:7">
      <c r="G13234"/>
    </row>
    <row r="13235" spans="7:7">
      <c r="G13235"/>
    </row>
    <row r="13236" spans="7:7">
      <c r="G13236"/>
    </row>
    <row r="13237" spans="7:7">
      <c r="G13237"/>
    </row>
    <row r="13238" spans="7:7">
      <c r="G13238"/>
    </row>
    <row r="13239" spans="7:7">
      <c r="G13239"/>
    </row>
    <row r="13240" spans="7:7">
      <c r="G13240"/>
    </row>
    <row r="13241" spans="7:7">
      <c r="G13241"/>
    </row>
    <row r="13242" spans="7:7">
      <c r="G13242"/>
    </row>
    <row r="13243" spans="7:7">
      <c r="G13243"/>
    </row>
    <row r="13244" spans="7:7">
      <c r="G13244"/>
    </row>
    <row r="13245" spans="7:7">
      <c r="G13245"/>
    </row>
    <row r="13246" spans="7:7">
      <c r="G13246"/>
    </row>
    <row r="13247" spans="7:7">
      <c r="G13247"/>
    </row>
    <row r="13248" spans="7:7">
      <c r="G13248"/>
    </row>
    <row r="13249" spans="7:7">
      <c r="G13249"/>
    </row>
    <row r="13250" spans="7:7">
      <c r="G13250"/>
    </row>
    <row r="13251" spans="7:7">
      <c r="G13251"/>
    </row>
    <row r="13252" spans="7:7">
      <c r="G13252"/>
    </row>
    <row r="13253" spans="7:7">
      <c r="G13253"/>
    </row>
    <row r="13254" spans="7:7">
      <c r="G13254"/>
    </row>
    <row r="13255" spans="7:7">
      <c r="G13255"/>
    </row>
    <row r="13256" spans="7:7">
      <c r="G13256"/>
    </row>
    <row r="13257" spans="7:7">
      <c r="G13257"/>
    </row>
    <row r="13258" spans="7:7">
      <c r="G13258"/>
    </row>
    <row r="13259" spans="7:7">
      <c r="G13259"/>
    </row>
    <row r="13260" spans="7:7">
      <c r="G13260"/>
    </row>
    <row r="13261" spans="7:7">
      <c r="G13261"/>
    </row>
    <row r="13262" spans="7:7">
      <c r="G13262"/>
    </row>
    <row r="13263" spans="7:7">
      <c r="G13263"/>
    </row>
    <row r="13264" spans="7:7">
      <c r="G13264"/>
    </row>
    <row r="13265" spans="7:7">
      <c r="G13265"/>
    </row>
    <row r="13266" spans="7:7">
      <c r="G13266"/>
    </row>
    <row r="13267" spans="7:7">
      <c r="G13267"/>
    </row>
    <row r="13268" spans="7:7">
      <c r="G13268"/>
    </row>
    <row r="13269" spans="7:7">
      <c r="G13269"/>
    </row>
    <row r="13270" spans="7:7">
      <c r="G13270"/>
    </row>
    <row r="13271" spans="7:7">
      <c r="G13271"/>
    </row>
    <row r="13272" spans="7:7">
      <c r="G13272"/>
    </row>
    <row r="13273" spans="7:7">
      <c r="G13273"/>
    </row>
    <row r="13274" spans="7:7">
      <c r="G13274"/>
    </row>
    <row r="13275" spans="7:7">
      <c r="G13275"/>
    </row>
    <row r="13276" spans="7:7">
      <c r="G13276"/>
    </row>
    <row r="13277" spans="7:7">
      <c r="G13277"/>
    </row>
    <row r="13278" spans="7:7">
      <c r="G13278"/>
    </row>
    <row r="13279" spans="7:7">
      <c r="G13279"/>
    </row>
    <row r="13280" spans="7:7">
      <c r="G13280"/>
    </row>
    <row r="13281" spans="7:7">
      <c r="G13281"/>
    </row>
    <row r="13282" spans="7:7">
      <c r="G13282"/>
    </row>
    <row r="13283" spans="7:7">
      <c r="G13283"/>
    </row>
    <row r="13284" spans="7:7">
      <c r="G13284"/>
    </row>
    <row r="13285" spans="7:7">
      <c r="G13285"/>
    </row>
    <row r="13286" spans="7:7">
      <c r="G13286"/>
    </row>
    <row r="13287" spans="7:7">
      <c r="G13287"/>
    </row>
    <row r="13288" spans="7:7">
      <c r="G13288"/>
    </row>
    <row r="13289" spans="7:7">
      <c r="G13289"/>
    </row>
    <row r="13290" spans="7:7">
      <c r="G13290"/>
    </row>
    <row r="13291" spans="7:7">
      <c r="G13291"/>
    </row>
    <row r="13292" spans="7:7">
      <c r="G13292"/>
    </row>
    <row r="13293" spans="7:7">
      <c r="G13293"/>
    </row>
    <row r="13294" spans="7:7">
      <c r="G13294"/>
    </row>
    <row r="13295" spans="7:7">
      <c r="G13295"/>
    </row>
    <row r="13296" spans="7:7">
      <c r="G13296"/>
    </row>
    <row r="13297" spans="7:7">
      <c r="G13297"/>
    </row>
    <row r="13298" spans="7:7">
      <c r="G13298"/>
    </row>
    <row r="13299" spans="7:7">
      <c r="G13299"/>
    </row>
    <row r="13300" spans="7:7">
      <c r="G13300"/>
    </row>
    <row r="13301" spans="7:7">
      <c r="G13301"/>
    </row>
    <row r="13302" spans="7:7">
      <c r="G13302"/>
    </row>
    <row r="13303" spans="7:7">
      <c r="G13303"/>
    </row>
    <row r="13304" spans="7:7">
      <c r="G13304"/>
    </row>
    <row r="13305" spans="7:7">
      <c r="G13305"/>
    </row>
    <row r="13306" spans="7:7">
      <c r="G13306"/>
    </row>
    <row r="13307" spans="7:7">
      <c r="G13307"/>
    </row>
    <row r="13308" spans="7:7">
      <c r="G13308"/>
    </row>
    <row r="13309" spans="7:7">
      <c r="G13309"/>
    </row>
    <row r="13310" spans="7:7">
      <c r="G13310"/>
    </row>
    <row r="13311" spans="7:7">
      <c r="G13311"/>
    </row>
    <row r="13312" spans="7:7">
      <c r="G13312"/>
    </row>
    <row r="13313" spans="7:7">
      <c r="G13313"/>
    </row>
    <row r="13314" spans="7:7">
      <c r="G13314"/>
    </row>
    <row r="13315" spans="7:7">
      <c r="G13315"/>
    </row>
    <row r="13316" spans="7:7">
      <c r="G13316"/>
    </row>
    <row r="13317" spans="7:7">
      <c r="G13317"/>
    </row>
    <row r="13318" spans="7:7">
      <c r="G13318"/>
    </row>
    <row r="13319" spans="7:7">
      <c r="G13319"/>
    </row>
    <row r="13320" spans="7:7">
      <c r="G13320"/>
    </row>
    <row r="13321" spans="7:7">
      <c r="G13321"/>
    </row>
    <row r="13322" spans="7:7">
      <c r="G13322"/>
    </row>
    <row r="13323" spans="7:7">
      <c r="G13323"/>
    </row>
    <row r="13324" spans="7:7">
      <c r="G13324"/>
    </row>
    <row r="13325" spans="7:7">
      <c r="G13325"/>
    </row>
    <row r="13326" spans="7:7">
      <c r="G13326"/>
    </row>
    <row r="13327" spans="7:7">
      <c r="G13327"/>
    </row>
    <row r="13328" spans="7:7">
      <c r="G13328"/>
    </row>
    <row r="13329" spans="7:7">
      <c r="G13329"/>
    </row>
    <row r="13330" spans="7:7">
      <c r="G13330"/>
    </row>
    <row r="13331" spans="7:7">
      <c r="G13331"/>
    </row>
    <row r="13332" spans="7:7">
      <c r="G13332"/>
    </row>
    <row r="13333" spans="7:7">
      <c r="G13333"/>
    </row>
    <row r="13334" spans="7:7">
      <c r="G13334"/>
    </row>
    <row r="13335" spans="7:7">
      <c r="G13335"/>
    </row>
    <row r="13336" spans="7:7">
      <c r="G13336"/>
    </row>
    <row r="13337" spans="7:7">
      <c r="G13337"/>
    </row>
    <row r="13338" spans="7:7">
      <c r="G13338"/>
    </row>
    <row r="13339" spans="7:7">
      <c r="G13339"/>
    </row>
    <row r="13340" spans="7:7">
      <c r="G13340"/>
    </row>
    <row r="13341" spans="7:7">
      <c r="G13341"/>
    </row>
    <row r="13342" spans="7:7">
      <c r="G13342"/>
    </row>
    <row r="13343" spans="7:7">
      <c r="G13343"/>
    </row>
    <row r="13344" spans="7:7">
      <c r="G13344"/>
    </row>
    <row r="13345" spans="7:7">
      <c r="G13345"/>
    </row>
    <row r="13346" spans="7:7">
      <c r="G13346"/>
    </row>
    <row r="13347" spans="7:7">
      <c r="G13347"/>
    </row>
    <row r="13348" spans="7:7">
      <c r="G13348"/>
    </row>
    <row r="13349" spans="7:7">
      <c r="G13349"/>
    </row>
    <row r="13350" spans="7:7">
      <c r="G13350"/>
    </row>
    <row r="13351" spans="7:7">
      <c r="G13351"/>
    </row>
    <row r="13352" spans="7:7">
      <c r="G13352"/>
    </row>
    <row r="13353" spans="7:7">
      <c r="G13353"/>
    </row>
    <row r="13354" spans="7:7">
      <c r="G13354"/>
    </row>
    <row r="13355" spans="7:7">
      <c r="G13355"/>
    </row>
    <row r="13356" spans="7:7">
      <c r="G13356"/>
    </row>
    <row r="13357" spans="7:7">
      <c r="G13357"/>
    </row>
    <row r="13358" spans="7:7">
      <c r="G13358"/>
    </row>
    <row r="13359" spans="7:7">
      <c r="G13359"/>
    </row>
    <row r="13360" spans="7:7">
      <c r="G13360"/>
    </row>
    <row r="13361" spans="7:7">
      <c r="G13361"/>
    </row>
    <row r="13362" spans="7:7">
      <c r="G13362"/>
    </row>
    <row r="13363" spans="7:7">
      <c r="G13363"/>
    </row>
    <row r="13364" spans="7:7">
      <c r="G13364"/>
    </row>
    <row r="13365" spans="7:7">
      <c r="G13365"/>
    </row>
    <row r="13366" spans="7:7">
      <c r="G13366"/>
    </row>
    <row r="13367" spans="7:7">
      <c r="G13367"/>
    </row>
    <row r="13368" spans="7:7">
      <c r="G13368"/>
    </row>
    <row r="13369" spans="7:7">
      <c r="G13369"/>
    </row>
    <row r="13370" spans="7:7">
      <c r="G13370"/>
    </row>
    <row r="13371" spans="7:7">
      <c r="G13371"/>
    </row>
    <row r="13372" spans="7:7">
      <c r="G13372"/>
    </row>
    <row r="13373" spans="7:7">
      <c r="G13373"/>
    </row>
    <row r="13374" spans="7:7">
      <c r="G13374"/>
    </row>
    <row r="13375" spans="7:7">
      <c r="G13375"/>
    </row>
    <row r="13376" spans="7:7">
      <c r="G13376"/>
    </row>
    <row r="13377" spans="7:7">
      <c r="G13377"/>
    </row>
    <row r="13378" spans="7:7">
      <c r="G13378"/>
    </row>
    <row r="13379" spans="7:7">
      <c r="G13379"/>
    </row>
    <row r="13380" spans="7:7">
      <c r="G13380"/>
    </row>
    <row r="13381" spans="7:7">
      <c r="G13381"/>
    </row>
    <row r="13382" spans="7:7">
      <c r="G13382"/>
    </row>
    <row r="13383" spans="7:7">
      <c r="G13383"/>
    </row>
    <row r="13384" spans="7:7">
      <c r="G13384"/>
    </row>
    <row r="13385" spans="7:7">
      <c r="G13385"/>
    </row>
    <row r="13386" spans="7:7">
      <c r="G13386"/>
    </row>
    <row r="13387" spans="7:7">
      <c r="G13387"/>
    </row>
    <row r="13388" spans="7:7">
      <c r="G13388"/>
    </row>
    <row r="13389" spans="7:7">
      <c r="G13389"/>
    </row>
    <row r="13390" spans="7:7">
      <c r="G13390"/>
    </row>
    <row r="13391" spans="7:7">
      <c r="G13391"/>
    </row>
    <row r="13392" spans="7:7">
      <c r="G13392"/>
    </row>
    <row r="13393" spans="7:7">
      <c r="G13393"/>
    </row>
    <row r="13394" spans="7:7">
      <c r="G13394"/>
    </row>
    <row r="13395" spans="7:7">
      <c r="G13395"/>
    </row>
    <row r="13396" spans="7:7">
      <c r="G13396"/>
    </row>
    <row r="13397" spans="7:7">
      <c r="G13397"/>
    </row>
    <row r="13398" spans="7:7">
      <c r="G13398"/>
    </row>
    <row r="13399" spans="7:7">
      <c r="G13399"/>
    </row>
    <row r="13400" spans="7:7">
      <c r="G13400"/>
    </row>
    <row r="13401" spans="7:7">
      <c r="G13401"/>
    </row>
    <row r="13402" spans="7:7">
      <c r="G13402"/>
    </row>
    <row r="13403" spans="7:7">
      <c r="G13403"/>
    </row>
    <row r="13404" spans="7:7">
      <c r="G13404"/>
    </row>
    <row r="13405" spans="7:7">
      <c r="G13405"/>
    </row>
    <row r="13406" spans="7:7">
      <c r="G13406"/>
    </row>
    <row r="13407" spans="7:7">
      <c r="G13407"/>
    </row>
    <row r="13408" spans="7:7">
      <c r="G13408"/>
    </row>
    <row r="13409" spans="7:7">
      <c r="G13409"/>
    </row>
    <row r="13410" spans="7:7">
      <c r="G13410"/>
    </row>
    <row r="13411" spans="7:7">
      <c r="G13411"/>
    </row>
    <row r="13412" spans="7:7">
      <c r="G13412"/>
    </row>
    <row r="13413" spans="7:7">
      <c r="G13413"/>
    </row>
    <row r="13414" spans="7:7">
      <c r="G13414"/>
    </row>
    <row r="13415" spans="7:7">
      <c r="G13415"/>
    </row>
    <row r="13416" spans="7:7">
      <c r="G13416"/>
    </row>
    <row r="13417" spans="7:7">
      <c r="G13417"/>
    </row>
    <row r="13418" spans="7:7">
      <c r="G13418"/>
    </row>
    <row r="13419" spans="7:7">
      <c r="G13419"/>
    </row>
    <row r="13420" spans="7:7">
      <c r="G13420"/>
    </row>
    <row r="13421" spans="7:7">
      <c r="G13421"/>
    </row>
    <row r="13422" spans="7:7">
      <c r="G13422"/>
    </row>
    <row r="13423" spans="7:7">
      <c r="G13423"/>
    </row>
    <row r="13424" spans="7:7">
      <c r="G13424"/>
    </row>
    <row r="13425" spans="7:7">
      <c r="G13425"/>
    </row>
    <row r="13426" spans="7:7">
      <c r="G13426"/>
    </row>
    <row r="13427" spans="7:7">
      <c r="G13427"/>
    </row>
    <row r="13428" spans="7:7">
      <c r="G13428"/>
    </row>
    <row r="13429" spans="7:7">
      <c r="G13429"/>
    </row>
    <row r="13430" spans="7:7">
      <c r="G13430"/>
    </row>
    <row r="13431" spans="7:7">
      <c r="G13431"/>
    </row>
    <row r="13432" spans="7:7">
      <c r="G13432"/>
    </row>
    <row r="13433" spans="7:7">
      <c r="G13433"/>
    </row>
    <row r="13434" spans="7:7">
      <c r="G13434"/>
    </row>
    <row r="13435" spans="7:7">
      <c r="G13435"/>
    </row>
    <row r="13436" spans="7:7">
      <c r="G13436"/>
    </row>
    <row r="13437" spans="7:7">
      <c r="G13437"/>
    </row>
    <row r="13438" spans="7:7">
      <c r="G13438"/>
    </row>
    <row r="13439" spans="7:7">
      <c r="G13439"/>
    </row>
    <row r="13440" spans="7:7">
      <c r="G13440"/>
    </row>
    <row r="13441" spans="7:7">
      <c r="G13441"/>
    </row>
    <row r="13442" spans="7:7">
      <c r="G13442"/>
    </row>
    <row r="13443" spans="7:7">
      <c r="G13443"/>
    </row>
    <row r="13444" spans="7:7">
      <c r="G13444"/>
    </row>
    <row r="13445" spans="7:7">
      <c r="G13445"/>
    </row>
    <row r="13446" spans="7:7">
      <c r="G13446"/>
    </row>
    <row r="13447" spans="7:7">
      <c r="G13447"/>
    </row>
    <row r="13448" spans="7:7">
      <c r="G13448"/>
    </row>
    <row r="13449" spans="7:7">
      <c r="G13449"/>
    </row>
    <row r="13450" spans="7:7">
      <c r="G13450"/>
    </row>
    <row r="13451" spans="7:7">
      <c r="G13451"/>
    </row>
    <row r="13452" spans="7:7">
      <c r="G13452"/>
    </row>
    <row r="13453" spans="7:7">
      <c r="G13453"/>
    </row>
    <row r="13454" spans="7:7">
      <c r="G13454"/>
    </row>
    <row r="13455" spans="7:7">
      <c r="G13455"/>
    </row>
    <row r="13456" spans="7:7">
      <c r="G13456"/>
    </row>
    <row r="13457" spans="7:7">
      <c r="G13457"/>
    </row>
    <row r="13458" spans="7:7">
      <c r="G13458"/>
    </row>
    <row r="13459" spans="7:7">
      <c r="G13459"/>
    </row>
    <row r="13460" spans="7:7">
      <c r="G13460"/>
    </row>
    <row r="13461" spans="7:7">
      <c r="G13461"/>
    </row>
    <row r="13462" spans="7:7">
      <c r="G13462"/>
    </row>
    <row r="13463" spans="7:7">
      <c r="G13463"/>
    </row>
    <row r="13464" spans="7:7">
      <c r="G13464"/>
    </row>
    <row r="13465" spans="7:7">
      <c r="G13465"/>
    </row>
    <row r="13466" spans="7:7">
      <c r="G13466"/>
    </row>
    <row r="13467" spans="7:7">
      <c r="G13467"/>
    </row>
    <row r="13468" spans="7:7">
      <c r="G13468"/>
    </row>
    <row r="13469" spans="7:7">
      <c r="G13469"/>
    </row>
    <row r="13470" spans="7:7">
      <c r="G13470"/>
    </row>
    <row r="13471" spans="7:7">
      <c r="G13471"/>
    </row>
    <row r="13472" spans="7:7">
      <c r="G13472"/>
    </row>
    <row r="13473" spans="7:7">
      <c r="G13473"/>
    </row>
    <row r="13474" spans="7:7">
      <c r="G13474"/>
    </row>
    <row r="13475" spans="7:7">
      <c r="G13475"/>
    </row>
    <row r="13476" spans="7:7">
      <c r="G13476"/>
    </row>
    <row r="13477" spans="7:7">
      <c r="G13477"/>
    </row>
    <row r="13478" spans="7:7">
      <c r="G13478"/>
    </row>
    <row r="13479" spans="7:7">
      <c r="G13479"/>
    </row>
    <row r="13480" spans="7:7">
      <c r="G13480"/>
    </row>
    <row r="13481" spans="7:7">
      <c r="G13481"/>
    </row>
    <row r="13482" spans="7:7">
      <c r="G13482"/>
    </row>
    <row r="13483" spans="7:7">
      <c r="G13483"/>
    </row>
    <row r="13484" spans="7:7">
      <c r="G13484"/>
    </row>
    <row r="13485" spans="7:7">
      <c r="G13485"/>
    </row>
    <row r="13486" spans="7:7">
      <c r="G13486"/>
    </row>
    <row r="13487" spans="7:7">
      <c r="G13487"/>
    </row>
    <row r="13488" spans="7:7">
      <c r="G13488"/>
    </row>
    <row r="13489" spans="7:7">
      <c r="G13489"/>
    </row>
    <row r="13490" spans="7:7">
      <c r="G13490"/>
    </row>
    <row r="13491" spans="7:7">
      <c r="G13491"/>
    </row>
    <row r="13492" spans="7:7">
      <c r="G13492"/>
    </row>
    <row r="13493" spans="7:7">
      <c r="G13493"/>
    </row>
    <row r="13494" spans="7:7">
      <c r="G13494"/>
    </row>
    <row r="13495" spans="7:7">
      <c r="G13495"/>
    </row>
    <row r="13496" spans="7:7">
      <c r="G13496"/>
    </row>
    <row r="13497" spans="7:7">
      <c r="G13497"/>
    </row>
    <row r="13498" spans="7:7">
      <c r="G13498"/>
    </row>
    <row r="13499" spans="7:7">
      <c r="G13499"/>
    </row>
    <row r="13500" spans="7:7">
      <c r="G13500"/>
    </row>
    <row r="13501" spans="7:7">
      <c r="G13501"/>
    </row>
    <row r="13502" spans="7:7">
      <c r="G13502"/>
    </row>
    <row r="13503" spans="7:7">
      <c r="G13503"/>
    </row>
    <row r="13504" spans="7:7">
      <c r="G13504"/>
    </row>
    <row r="13505" spans="7:7">
      <c r="G13505"/>
    </row>
    <row r="13506" spans="7:7">
      <c r="G13506"/>
    </row>
    <row r="13507" spans="7:7">
      <c r="G13507"/>
    </row>
    <row r="13508" spans="7:7">
      <c r="G13508"/>
    </row>
    <row r="13509" spans="7:7">
      <c r="G13509"/>
    </row>
    <row r="13510" spans="7:7">
      <c r="G13510"/>
    </row>
    <row r="13511" spans="7:7">
      <c r="G13511"/>
    </row>
    <row r="13512" spans="7:7">
      <c r="G13512"/>
    </row>
    <row r="13513" spans="7:7">
      <c r="G13513"/>
    </row>
    <row r="13514" spans="7:7">
      <c r="G13514"/>
    </row>
    <row r="13515" spans="7:7">
      <c r="G13515"/>
    </row>
    <row r="13516" spans="7:7">
      <c r="G13516"/>
    </row>
    <row r="13517" spans="7:7">
      <c r="G13517"/>
    </row>
    <row r="13518" spans="7:7">
      <c r="G13518"/>
    </row>
    <row r="13519" spans="7:7">
      <c r="G13519"/>
    </row>
    <row r="13520" spans="7:7">
      <c r="G13520"/>
    </row>
    <row r="13521" spans="7:7">
      <c r="G13521"/>
    </row>
    <row r="13522" spans="7:7">
      <c r="G13522"/>
    </row>
    <row r="13523" spans="7:7">
      <c r="G13523"/>
    </row>
    <row r="13524" spans="7:7">
      <c r="G13524"/>
    </row>
    <row r="13525" spans="7:7">
      <c r="G13525"/>
    </row>
    <row r="13526" spans="7:7">
      <c r="G13526"/>
    </row>
    <row r="13527" spans="7:7">
      <c r="G13527"/>
    </row>
    <row r="13528" spans="7:7">
      <c r="G13528"/>
    </row>
    <row r="13529" spans="7:7">
      <c r="G13529"/>
    </row>
    <row r="13530" spans="7:7">
      <c r="G13530"/>
    </row>
    <row r="13531" spans="7:7">
      <c r="G13531"/>
    </row>
    <row r="13532" spans="7:7">
      <c r="G13532"/>
    </row>
    <row r="13533" spans="7:7">
      <c r="G13533"/>
    </row>
    <row r="13534" spans="7:7">
      <c r="G13534"/>
    </row>
    <row r="13535" spans="7:7">
      <c r="G13535"/>
    </row>
    <row r="13536" spans="7:7">
      <c r="G13536"/>
    </row>
    <row r="13537" spans="7:7">
      <c r="G13537"/>
    </row>
    <row r="13538" spans="7:7">
      <c r="G13538"/>
    </row>
    <row r="13539" spans="7:7">
      <c r="G13539"/>
    </row>
    <row r="13540" spans="7:7">
      <c r="G13540"/>
    </row>
    <row r="13541" spans="7:7">
      <c r="G13541"/>
    </row>
    <row r="13542" spans="7:7">
      <c r="G13542"/>
    </row>
    <row r="13543" spans="7:7">
      <c r="G13543"/>
    </row>
    <row r="13544" spans="7:7">
      <c r="G13544"/>
    </row>
    <row r="13545" spans="7:7">
      <c r="G13545"/>
    </row>
    <row r="13546" spans="7:7">
      <c r="G13546"/>
    </row>
    <row r="13547" spans="7:7">
      <c r="G13547"/>
    </row>
    <row r="13548" spans="7:7">
      <c r="G13548"/>
    </row>
    <row r="13549" spans="7:7">
      <c r="G13549"/>
    </row>
    <row r="13550" spans="7:7">
      <c r="G13550"/>
    </row>
    <row r="13551" spans="7:7">
      <c r="G13551"/>
    </row>
    <row r="13552" spans="7:7">
      <c r="G13552"/>
    </row>
    <row r="13553" spans="7:7">
      <c r="G13553"/>
    </row>
    <row r="13554" spans="7:7">
      <c r="G13554"/>
    </row>
    <row r="13555" spans="7:7">
      <c r="G13555"/>
    </row>
    <row r="13556" spans="7:7">
      <c r="G13556"/>
    </row>
    <row r="13557" spans="7:7">
      <c r="G13557"/>
    </row>
    <row r="13558" spans="7:7">
      <c r="G13558"/>
    </row>
    <row r="13559" spans="7:7">
      <c r="G13559"/>
    </row>
    <row r="13560" spans="7:7">
      <c r="G13560"/>
    </row>
    <row r="13561" spans="7:7">
      <c r="G13561"/>
    </row>
    <row r="13562" spans="7:7">
      <c r="G13562"/>
    </row>
    <row r="13563" spans="7:7">
      <c r="G13563"/>
    </row>
    <row r="13564" spans="7:7">
      <c r="G13564"/>
    </row>
    <row r="13565" spans="7:7">
      <c r="G13565"/>
    </row>
    <row r="13566" spans="7:7">
      <c r="G13566"/>
    </row>
    <row r="13567" spans="7:7">
      <c r="G13567"/>
    </row>
    <row r="13568" spans="7:7">
      <c r="G13568"/>
    </row>
    <row r="13569" spans="7:7">
      <c r="G13569"/>
    </row>
    <row r="13570" spans="7:7">
      <c r="G13570"/>
    </row>
    <row r="13571" spans="7:7">
      <c r="G13571"/>
    </row>
    <row r="13572" spans="7:7">
      <c r="G13572"/>
    </row>
    <row r="13573" spans="7:7">
      <c r="G13573"/>
    </row>
    <row r="13574" spans="7:7">
      <c r="G13574"/>
    </row>
    <row r="13575" spans="7:7">
      <c r="G13575"/>
    </row>
    <row r="13576" spans="7:7">
      <c r="G13576"/>
    </row>
    <row r="13577" spans="7:7">
      <c r="G13577"/>
    </row>
    <row r="13578" spans="7:7">
      <c r="G13578"/>
    </row>
    <row r="13579" spans="7:7">
      <c r="G13579"/>
    </row>
    <row r="13580" spans="7:7">
      <c r="G13580"/>
    </row>
    <row r="13581" spans="7:7">
      <c r="G13581"/>
    </row>
    <row r="13582" spans="7:7">
      <c r="G13582"/>
    </row>
    <row r="13583" spans="7:7">
      <c r="G13583"/>
    </row>
    <row r="13584" spans="7:7">
      <c r="G13584"/>
    </row>
    <row r="13585" spans="7:7">
      <c r="G13585"/>
    </row>
    <row r="13586" spans="7:7">
      <c r="G13586"/>
    </row>
    <row r="13587" spans="7:7">
      <c r="G13587"/>
    </row>
    <row r="13588" spans="7:7">
      <c r="G13588"/>
    </row>
    <row r="13589" spans="7:7">
      <c r="G13589"/>
    </row>
    <row r="13590" spans="7:7">
      <c r="G13590"/>
    </row>
    <row r="13591" spans="7:7">
      <c r="G13591"/>
    </row>
    <row r="13592" spans="7:7">
      <c r="G13592"/>
    </row>
    <row r="13593" spans="7:7">
      <c r="G13593"/>
    </row>
    <row r="13594" spans="7:7">
      <c r="G13594"/>
    </row>
    <row r="13595" spans="7:7">
      <c r="G13595"/>
    </row>
    <row r="13596" spans="7:7">
      <c r="G13596"/>
    </row>
    <row r="13597" spans="7:7">
      <c r="G13597"/>
    </row>
    <row r="13598" spans="7:7">
      <c r="G13598"/>
    </row>
    <row r="13599" spans="7:7">
      <c r="G13599"/>
    </row>
    <row r="13600" spans="7:7">
      <c r="G13600"/>
    </row>
    <row r="13601" spans="7:7">
      <c r="G13601"/>
    </row>
    <row r="13602" spans="7:7">
      <c r="G13602"/>
    </row>
    <row r="13603" spans="7:7">
      <c r="G13603"/>
    </row>
    <row r="13604" spans="7:7">
      <c r="G13604"/>
    </row>
    <row r="13605" spans="7:7">
      <c r="G13605"/>
    </row>
    <row r="13606" spans="7:7">
      <c r="G13606"/>
    </row>
    <row r="13607" spans="7:7">
      <c r="G13607"/>
    </row>
    <row r="13608" spans="7:7">
      <c r="G13608"/>
    </row>
    <row r="13609" spans="7:7">
      <c r="G13609"/>
    </row>
    <row r="13610" spans="7:7">
      <c r="G13610"/>
    </row>
    <row r="13611" spans="7:7">
      <c r="G13611"/>
    </row>
    <row r="13612" spans="7:7">
      <c r="G13612"/>
    </row>
    <row r="13613" spans="7:7">
      <c r="G13613"/>
    </row>
    <row r="13614" spans="7:7">
      <c r="G13614"/>
    </row>
    <row r="13615" spans="7:7">
      <c r="G13615"/>
    </row>
    <row r="13616" spans="7:7">
      <c r="G13616"/>
    </row>
    <row r="13617" spans="7:7">
      <c r="G13617"/>
    </row>
    <row r="13618" spans="7:7">
      <c r="G13618"/>
    </row>
    <row r="13619" spans="7:7">
      <c r="G13619"/>
    </row>
    <row r="13620" spans="7:7">
      <c r="G13620"/>
    </row>
    <row r="13621" spans="7:7">
      <c r="G13621"/>
    </row>
    <row r="13622" spans="7:7">
      <c r="G13622"/>
    </row>
    <row r="13623" spans="7:7">
      <c r="G13623"/>
    </row>
    <row r="13624" spans="7:7">
      <c r="G13624"/>
    </row>
    <row r="13625" spans="7:7">
      <c r="G13625"/>
    </row>
    <row r="13626" spans="7:7">
      <c r="G13626"/>
    </row>
    <row r="13627" spans="7:7">
      <c r="G13627"/>
    </row>
    <row r="13628" spans="7:7">
      <c r="G13628"/>
    </row>
    <row r="13629" spans="7:7">
      <c r="G13629"/>
    </row>
    <row r="13630" spans="7:7">
      <c r="G13630"/>
    </row>
    <row r="13631" spans="7:7">
      <c r="G13631"/>
    </row>
    <row r="13632" spans="7:7">
      <c r="G13632"/>
    </row>
    <row r="13633" spans="7:7">
      <c r="G13633"/>
    </row>
    <row r="13634" spans="7:7">
      <c r="G13634"/>
    </row>
    <row r="13635" spans="7:7">
      <c r="G13635"/>
    </row>
    <row r="13636" spans="7:7">
      <c r="G13636"/>
    </row>
    <row r="13637" spans="7:7">
      <c r="G13637"/>
    </row>
    <row r="13638" spans="7:7">
      <c r="G13638"/>
    </row>
    <row r="13639" spans="7:7">
      <c r="G13639"/>
    </row>
    <row r="13640" spans="7:7">
      <c r="G13640"/>
    </row>
    <row r="13641" spans="7:7">
      <c r="G13641"/>
    </row>
    <row r="13642" spans="7:7">
      <c r="G13642"/>
    </row>
    <row r="13643" spans="7:7">
      <c r="G13643"/>
    </row>
    <row r="13644" spans="7:7">
      <c r="G13644"/>
    </row>
    <row r="13645" spans="7:7">
      <c r="G13645"/>
    </row>
    <row r="13646" spans="7:7">
      <c r="G13646"/>
    </row>
    <row r="13647" spans="7:7">
      <c r="G13647"/>
    </row>
    <row r="13648" spans="7:7">
      <c r="G13648"/>
    </row>
    <row r="13649" spans="7:7">
      <c r="G13649"/>
    </row>
    <row r="13650" spans="7:7">
      <c r="G13650"/>
    </row>
    <row r="13651" spans="7:7">
      <c r="G13651"/>
    </row>
    <row r="13652" spans="7:7">
      <c r="G13652"/>
    </row>
    <row r="13653" spans="7:7">
      <c r="G13653"/>
    </row>
    <row r="13654" spans="7:7">
      <c r="G13654"/>
    </row>
    <row r="13655" spans="7:7">
      <c r="G13655"/>
    </row>
    <row r="13656" spans="7:7">
      <c r="G13656"/>
    </row>
    <row r="13657" spans="7:7">
      <c r="G13657"/>
    </row>
    <row r="13658" spans="7:7">
      <c r="G13658"/>
    </row>
    <row r="13659" spans="7:7">
      <c r="G13659"/>
    </row>
    <row r="13660" spans="7:7">
      <c r="G13660"/>
    </row>
    <row r="13661" spans="7:7">
      <c r="G13661"/>
    </row>
    <row r="13662" spans="7:7">
      <c r="G13662"/>
    </row>
    <row r="13663" spans="7:7">
      <c r="G13663"/>
    </row>
    <row r="13664" spans="7:7">
      <c r="G13664"/>
    </row>
    <row r="13665" spans="7:7">
      <c r="G13665"/>
    </row>
    <row r="13666" spans="7:7">
      <c r="G13666"/>
    </row>
    <row r="13667" spans="7:7">
      <c r="G13667"/>
    </row>
    <row r="13668" spans="7:7">
      <c r="G13668"/>
    </row>
    <row r="13669" spans="7:7">
      <c r="G13669"/>
    </row>
    <row r="13670" spans="7:7">
      <c r="G13670"/>
    </row>
    <row r="13671" spans="7:7">
      <c r="G13671"/>
    </row>
    <row r="13672" spans="7:7">
      <c r="G13672"/>
    </row>
    <row r="13673" spans="7:7">
      <c r="G13673"/>
    </row>
    <row r="13674" spans="7:7">
      <c r="G13674"/>
    </row>
    <row r="13675" spans="7:7">
      <c r="G13675"/>
    </row>
    <row r="13676" spans="7:7">
      <c r="G13676"/>
    </row>
    <row r="13677" spans="7:7">
      <c r="G13677"/>
    </row>
    <row r="13678" spans="7:7">
      <c r="G13678"/>
    </row>
    <row r="13679" spans="7:7">
      <c r="G13679"/>
    </row>
    <row r="13680" spans="7:7">
      <c r="G13680"/>
    </row>
    <row r="13681" spans="7:7">
      <c r="G13681"/>
    </row>
    <row r="13682" spans="7:7">
      <c r="G13682"/>
    </row>
    <row r="13683" spans="7:7">
      <c r="G13683"/>
    </row>
    <row r="13684" spans="7:7">
      <c r="G13684"/>
    </row>
    <row r="13685" spans="7:7">
      <c r="G13685"/>
    </row>
    <row r="13686" spans="7:7">
      <c r="G13686"/>
    </row>
    <row r="13687" spans="7:7">
      <c r="G13687"/>
    </row>
    <row r="13688" spans="7:7">
      <c r="G13688"/>
    </row>
    <row r="13689" spans="7:7">
      <c r="G13689"/>
    </row>
    <row r="13690" spans="7:7">
      <c r="G13690"/>
    </row>
    <row r="13691" spans="7:7">
      <c r="G13691"/>
    </row>
    <row r="13692" spans="7:7">
      <c r="G13692"/>
    </row>
    <row r="13693" spans="7:7">
      <c r="G13693"/>
    </row>
    <row r="13694" spans="7:7">
      <c r="G13694"/>
    </row>
    <row r="13695" spans="7:7">
      <c r="G13695"/>
    </row>
    <row r="13696" spans="7:7">
      <c r="G13696"/>
    </row>
    <row r="13697" spans="7:7">
      <c r="G13697"/>
    </row>
    <row r="13698" spans="7:7">
      <c r="G13698"/>
    </row>
    <row r="13699" spans="7:7">
      <c r="G13699"/>
    </row>
    <row r="13700" spans="7:7">
      <c r="G13700"/>
    </row>
    <row r="13701" spans="7:7">
      <c r="G13701"/>
    </row>
    <row r="13702" spans="7:7">
      <c r="G13702"/>
    </row>
    <row r="13703" spans="7:7">
      <c r="G13703"/>
    </row>
    <row r="13704" spans="7:7">
      <c r="G13704"/>
    </row>
    <row r="13705" spans="7:7">
      <c r="G13705"/>
    </row>
    <row r="13706" spans="7:7">
      <c r="G13706"/>
    </row>
    <row r="13707" spans="7:7">
      <c r="G13707"/>
    </row>
    <row r="13708" spans="7:7">
      <c r="G13708"/>
    </row>
    <row r="13709" spans="7:7">
      <c r="G13709"/>
    </row>
    <row r="13710" spans="7:7">
      <c r="G13710"/>
    </row>
    <row r="13711" spans="7:7">
      <c r="G13711"/>
    </row>
    <row r="13712" spans="7:7">
      <c r="G13712"/>
    </row>
    <row r="13713" spans="7:7">
      <c r="G13713"/>
    </row>
    <row r="13714" spans="7:7">
      <c r="G13714"/>
    </row>
    <row r="13715" spans="7:7">
      <c r="G13715"/>
    </row>
    <row r="13716" spans="7:7">
      <c r="G13716"/>
    </row>
    <row r="13717" spans="7:7">
      <c r="G13717"/>
    </row>
    <row r="13718" spans="7:7">
      <c r="G13718"/>
    </row>
    <row r="13719" spans="7:7">
      <c r="G13719"/>
    </row>
    <row r="13720" spans="7:7">
      <c r="G13720"/>
    </row>
    <row r="13721" spans="7:7">
      <c r="G13721"/>
    </row>
    <row r="13722" spans="7:7">
      <c r="G13722"/>
    </row>
    <row r="13723" spans="7:7">
      <c r="G13723"/>
    </row>
    <row r="13724" spans="7:7">
      <c r="G13724"/>
    </row>
    <row r="13725" spans="7:7">
      <c r="G13725"/>
    </row>
    <row r="13726" spans="7:7">
      <c r="G13726"/>
    </row>
    <row r="13727" spans="7:7">
      <c r="G13727"/>
    </row>
    <row r="13728" spans="7:7">
      <c r="G13728"/>
    </row>
    <row r="13729" spans="7:7">
      <c r="G13729"/>
    </row>
    <row r="13730" spans="7:7">
      <c r="G13730"/>
    </row>
    <row r="13731" spans="7:7">
      <c r="G13731"/>
    </row>
    <row r="13732" spans="7:7">
      <c r="G13732"/>
    </row>
    <row r="13733" spans="7:7">
      <c r="G13733"/>
    </row>
    <row r="13734" spans="7:7">
      <c r="G13734"/>
    </row>
    <row r="13735" spans="7:7">
      <c r="G13735"/>
    </row>
    <row r="13736" spans="7:7">
      <c r="G13736"/>
    </row>
    <row r="13737" spans="7:7">
      <c r="G13737"/>
    </row>
    <row r="13738" spans="7:7">
      <c r="G13738"/>
    </row>
    <row r="13739" spans="7:7">
      <c r="G13739"/>
    </row>
    <row r="13740" spans="7:7">
      <c r="G13740"/>
    </row>
    <row r="13741" spans="7:7">
      <c r="G13741"/>
    </row>
    <row r="13742" spans="7:7">
      <c r="G13742"/>
    </row>
    <row r="13743" spans="7:7">
      <c r="G13743"/>
    </row>
    <row r="13744" spans="7:7">
      <c r="G13744"/>
    </row>
    <row r="13745" spans="7:7">
      <c r="G13745"/>
    </row>
    <row r="13746" spans="7:7">
      <c r="G13746"/>
    </row>
    <row r="13747" spans="7:7">
      <c r="G13747"/>
    </row>
    <row r="13748" spans="7:7">
      <c r="G13748"/>
    </row>
    <row r="13749" spans="7:7">
      <c r="G13749"/>
    </row>
    <row r="13750" spans="7:7">
      <c r="G13750"/>
    </row>
    <row r="13751" spans="7:7">
      <c r="G13751"/>
    </row>
    <row r="13752" spans="7:7">
      <c r="G13752"/>
    </row>
    <row r="13753" spans="7:7">
      <c r="G13753"/>
    </row>
    <row r="13754" spans="7:7">
      <c r="G13754"/>
    </row>
    <row r="13755" spans="7:7">
      <c r="G13755"/>
    </row>
    <row r="13756" spans="7:7">
      <c r="G13756"/>
    </row>
    <row r="13757" spans="7:7">
      <c r="G13757"/>
    </row>
    <row r="13758" spans="7:7">
      <c r="G13758"/>
    </row>
    <row r="13759" spans="7:7">
      <c r="G13759"/>
    </row>
    <row r="13760" spans="7:7">
      <c r="G13760"/>
    </row>
    <row r="13761" spans="7:7">
      <c r="G13761"/>
    </row>
    <row r="13762" spans="7:7">
      <c r="G13762"/>
    </row>
    <row r="13763" spans="7:7">
      <c r="G13763"/>
    </row>
    <row r="13764" spans="7:7">
      <c r="G13764"/>
    </row>
    <row r="13765" spans="7:7">
      <c r="G13765"/>
    </row>
    <row r="13766" spans="7:7">
      <c r="G13766"/>
    </row>
    <row r="13767" spans="7:7">
      <c r="G13767"/>
    </row>
    <row r="13768" spans="7:7">
      <c r="G13768"/>
    </row>
    <row r="13769" spans="7:7">
      <c r="G13769"/>
    </row>
    <row r="13770" spans="7:7">
      <c r="G13770"/>
    </row>
    <row r="13771" spans="7:7">
      <c r="G13771"/>
    </row>
    <row r="13772" spans="7:7">
      <c r="G13772"/>
    </row>
    <row r="13773" spans="7:7">
      <c r="G13773"/>
    </row>
    <row r="13774" spans="7:7">
      <c r="G13774"/>
    </row>
    <row r="13775" spans="7:7">
      <c r="G13775"/>
    </row>
    <row r="13776" spans="7:7">
      <c r="G13776"/>
    </row>
    <row r="13777" spans="7:7">
      <c r="G13777"/>
    </row>
    <row r="13778" spans="7:7">
      <c r="G13778"/>
    </row>
    <row r="13779" spans="7:7">
      <c r="G13779"/>
    </row>
    <row r="13780" spans="7:7">
      <c r="G13780"/>
    </row>
    <row r="13781" spans="7:7">
      <c r="G13781"/>
    </row>
    <row r="13782" spans="7:7">
      <c r="G13782"/>
    </row>
    <row r="13783" spans="7:7">
      <c r="G13783"/>
    </row>
    <row r="13784" spans="7:7">
      <c r="G13784"/>
    </row>
    <row r="13785" spans="7:7">
      <c r="G13785"/>
    </row>
    <row r="13786" spans="7:7">
      <c r="G13786"/>
    </row>
    <row r="13787" spans="7:7">
      <c r="G13787"/>
    </row>
    <row r="13788" spans="7:7">
      <c r="G13788"/>
    </row>
    <row r="13789" spans="7:7">
      <c r="G13789"/>
    </row>
    <row r="13790" spans="7:7">
      <c r="G13790"/>
    </row>
    <row r="13791" spans="7:7">
      <c r="G13791"/>
    </row>
    <row r="13792" spans="7:7">
      <c r="G13792"/>
    </row>
    <row r="13793" spans="7:7">
      <c r="G13793"/>
    </row>
    <row r="13794" spans="7:7">
      <c r="G13794"/>
    </row>
    <row r="13795" spans="7:7">
      <c r="G13795"/>
    </row>
    <row r="13796" spans="7:7">
      <c r="G13796"/>
    </row>
    <row r="13797" spans="7:7">
      <c r="G13797"/>
    </row>
    <row r="13798" spans="7:7">
      <c r="G13798"/>
    </row>
    <row r="13799" spans="7:7">
      <c r="G13799"/>
    </row>
    <row r="13800" spans="7:7">
      <c r="G13800"/>
    </row>
    <row r="13801" spans="7:7">
      <c r="G13801"/>
    </row>
    <row r="13802" spans="7:7">
      <c r="G13802"/>
    </row>
    <row r="13803" spans="7:7">
      <c r="G13803"/>
    </row>
    <row r="13804" spans="7:7">
      <c r="G13804"/>
    </row>
    <row r="13805" spans="7:7">
      <c r="G13805"/>
    </row>
    <row r="13806" spans="7:7">
      <c r="G13806"/>
    </row>
    <row r="13807" spans="7:7">
      <c r="G13807"/>
    </row>
    <row r="13808" spans="7:7">
      <c r="G13808"/>
    </row>
    <row r="13809" spans="7:7">
      <c r="G13809"/>
    </row>
    <row r="13810" spans="7:7">
      <c r="G13810"/>
    </row>
    <row r="13811" spans="7:7">
      <c r="G13811"/>
    </row>
    <row r="13812" spans="7:7">
      <c r="G13812"/>
    </row>
    <row r="13813" spans="7:7">
      <c r="G13813"/>
    </row>
    <row r="13814" spans="7:7">
      <c r="G13814"/>
    </row>
    <row r="13815" spans="7:7">
      <c r="G13815"/>
    </row>
    <row r="13816" spans="7:7">
      <c r="G13816"/>
    </row>
    <row r="13817" spans="7:7">
      <c r="G13817"/>
    </row>
    <row r="13818" spans="7:7">
      <c r="G13818"/>
    </row>
    <row r="13819" spans="7:7">
      <c r="G13819"/>
    </row>
    <row r="13820" spans="7:7">
      <c r="G13820"/>
    </row>
    <row r="13821" spans="7:7">
      <c r="G13821"/>
    </row>
    <row r="13822" spans="7:7">
      <c r="G13822"/>
    </row>
    <row r="13823" spans="7:7">
      <c r="G13823"/>
    </row>
    <row r="13824" spans="7:7">
      <c r="G13824"/>
    </row>
    <row r="13825" spans="7:7">
      <c r="G13825"/>
    </row>
    <row r="13826" spans="7:7">
      <c r="G13826"/>
    </row>
    <row r="13827" spans="7:7">
      <c r="G13827"/>
    </row>
    <row r="13828" spans="7:7">
      <c r="G13828"/>
    </row>
    <row r="13829" spans="7:7">
      <c r="G13829"/>
    </row>
    <row r="13830" spans="7:7">
      <c r="G13830"/>
    </row>
    <row r="13831" spans="7:7">
      <c r="G13831"/>
    </row>
    <row r="13832" spans="7:7">
      <c r="G13832"/>
    </row>
    <row r="13833" spans="7:7">
      <c r="G13833"/>
    </row>
    <row r="13834" spans="7:7">
      <c r="G13834"/>
    </row>
    <row r="13835" spans="7:7">
      <c r="G13835"/>
    </row>
    <row r="13836" spans="7:7">
      <c r="G13836"/>
    </row>
    <row r="13837" spans="7:7">
      <c r="G13837"/>
    </row>
    <row r="13838" spans="7:7">
      <c r="G13838"/>
    </row>
    <row r="13839" spans="7:7">
      <c r="G13839"/>
    </row>
    <row r="13840" spans="7:7">
      <c r="G13840"/>
    </row>
    <row r="13841" spans="7:7">
      <c r="G13841"/>
    </row>
    <row r="13842" spans="7:7">
      <c r="G13842"/>
    </row>
    <row r="13843" spans="7:7">
      <c r="G13843"/>
    </row>
    <row r="13844" spans="7:7">
      <c r="G13844"/>
    </row>
    <row r="13845" spans="7:7">
      <c r="G13845"/>
    </row>
    <row r="13846" spans="7:7">
      <c r="G13846"/>
    </row>
    <row r="13847" spans="7:7">
      <c r="G13847"/>
    </row>
    <row r="13848" spans="7:7">
      <c r="G13848"/>
    </row>
    <row r="13849" spans="7:7">
      <c r="G13849"/>
    </row>
    <row r="13850" spans="7:7">
      <c r="G13850"/>
    </row>
    <row r="13851" spans="7:7">
      <c r="G13851"/>
    </row>
    <row r="13852" spans="7:7">
      <c r="G13852"/>
    </row>
    <row r="13853" spans="7:7">
      <c r="G13853"/>
    </row>
    <row r="13854" spans="7:7">
      <c r="G13854"/>
    </row>
    <row r="13855" spans="7:7">
      <c r="G13855"/>
    </row>
    <row r="13856" spans="7:7">
      <c r="G13856"/>
    </row>
    <row r="13857" spans="7:7">
      <c r="G13857"/>
    </row>
    <row r="13858" spans="7:7">
      <c r="G13858"/>
    </row>
    <row r="13859" spans="7:7">
      <c r="G13859"/>
    </row>
    <row r="13860" spans="7:7">
      <c r="G13860"/>
    </row>
    <row r="13861" spans="7:7">
      <c r="G13861"/>
    </row>
    <row r="13862" spans="7:7">
      <c r="G13862"/>
    </row>
    <row r="13863" spans="7:7">
      <c r="G13863"/>
    </row>
    <row r="13864" spans="7:7">
      <c r="G13864"/>
    </row>
    <row r="13865" spans="7:7">
      <c r="G13865"/>
    </row>
    <row r="13866" spans="7:7">
      <c r="G13866"/>
    </row>
    <row r="13867" spans="7:7">
      <c r="G13867"/>
    </row>
    <row r="13868" spans="7:7">
      <c r="G13868"/>
    </row>
    <row r="13869" spans="7:7">
      <c r="G13869"/>
    </row>
    <row r="13870" spans="7:7">
      <c r="G13870"/>
    </row>
    <row r="13871" spans="7:7">
      <c r="G13871"/>
    </row>
    <row r="13872" spans="7:7">
      <c r="G13872"/>
    </row>
    <row r="13873" spans="7:7">
      <c r="G13873"/>
    </row>
    <row r="13874" spans="7:7">
      <c r="G13874"/>
    </row>
    <row r="13875" spans="7:7">
      <c r="G13875"/>
    </row>
    <row r="13876" spans="7:7">
      <c r="G13876"/>
    </row>
    <row r="13877" spans="7:7">
      <c r="G13877"/>
    </row>
    <row r="13878" spans="7:7">
      <c r="G13878"/>
    </row>
    <row r="13879" spans="7:7">
      <c r="G13879"/>
    </row>
    <row r="13880" spans="7:7">
      <c r="G13880"/>
    </row>
    <row r="13881" spans="7:7">
      <c r="G13881"/>
    </row>
    <row r="13882" spans="7:7">
      <c r="G13882"/>
    </row>
    <row r="13883" spans="7:7">
      <c r="G13883"/>
    </row>
    <row r="13884" spans="7:7">
      <c r="G13884"/>
    </row>
    <row r="13885" spans="7:7">
      <c r="G13885"/>
    </row>
    <row r="13886" spans="7:7">
      <c r="G13886"/>
    </row>
    <row r="13887" spans="7:7">
      <c r="G13887"/>
    </row>
    <row r="13888" spans="7:7">
      <c r="G13888"/>
    </row>
    <row r="13889" spans="7:7">
      <c r="G13889"/>
    </row>
    <row r="13890" spans="7:7">
      <c r="G13890"/>
    </row>
    <row r="13891" spans="7:7">
      <c r="G13891"/>
    </row>
    <row r="13892" spans="7:7">
      <c r="G13892"/>
    </row>
    <row r="13893" spans="7:7">
      <c r="G13893"/>
    </row>
    <row r="13894" spans="7:7">
      <c r="G13894"/>
    </row>
    <row r="13895" spans="7:7">
      <c r="G13895"/>
    </row>
    <row r="13896" spans="7:7">
      <c r="G13896"/>
    </row>
    <row r="13897" spans="7:7">
      <c r="G13897"/>
    </row>
    <row r="13898" spans="7:7">
      <c r="G13898"/>
    </row>
    <row r="13899" spans="7:7">
      <c r="G13899"/>
    </row>
    <row r="13900" spans="7:7">
      <c r="G13900"/>
    </row>
    <row r="13901" spans="7:7">
      <c r="G13901"/>
    </row>
    <row r="13902" spans="7:7">
      <c r="G13902"/>
    </row>
    <row r="13903" spans="7:7">
      <c r="G13903"/>
    </row>
    <row r="13904" spans="7:7">
      <c r="G13904"/>
    </row>
    <row r="13905" spans="7:7">
      <c r="G13905"/>
    </row>
    <row r="13906" spans="7:7">
      <c r="G13906"/>
    </row>
    <row r="13907" spans="7:7">
      <c r="G13907"/>
    </row>
    <row r="13908" spans="7:7">
      <c r="G13908"/>
    </row>
    <row r="13909" spans="7:7">
      <c r="G13909"/>
    </row>
    <row r="13910" spans="7:7">
      <c r="G13910"/>
    </row>
    <row r="13911" spans="7:7">
      <c r="G13911"/>
    </row>
    <row r="13912" spans="7:7">
      <c r="G13912"/>
    </row>
    <row r="13913" spans="7:7">
      <c r="G13913"/>
    </row>
    <row r="13914" spans="7:7">
      <c r="G13914"/>
    </row>
    <row r="13915" spans="7:7">
      <c r="G13915"/>
    </row>
    <row r="13916" spans="7:7">
      <c r="G13916"/>
    </row>
    <row r="13917" spans="7:7">
      <c r="G13917"/>
    </row>
    <row r="13918" spans="7:7">
      <c r="G13918"/>
    </row>
    <row r="13919" spans="7:7">
      <c r="G13919"/>
    </row>
    <row r="13920" spans="7:7">
      <c r="G13920"/>
    </row>
    <row r="13921" spans="7:7">
      <c r="G13921"/>
    </row>
    <row r="13922" spans="7:7">
      <c r="G13922"/>
    </row>
    <row r="13923" spans="7:7">
      <c r="G13923"/>
    </row>
    <row r="13924" spans="7:7">
      <c r="G13924"/>
    </row>
    <row r="13925" spans="7:7">
      <c r="G13925"/>
    </row>
    <row r="13926" spans="7:7">
      <c r="G13926"/>
    </row>
    <row r="13927" spans="7:7">
      <c r="G13927"/>
    </row>
    <row r="13928" spans="7:7">
      <c r="G13928"/>
    </row>
    <row r="13929" spans="7:7">
      <c r="G13929"/>
    </row>
    <row r="13930" spans="7:7">
      <c r="G13930"/>
    </row>
    <row r="13931" spans="7:7">
      <c r="G13931"/>
    </row>
    <row r="13932" spans="7:7">
      <c r="G13932"/>
    </row>
    <row r="13933" spans="7:7">
      <c r="G13933"/>
    </row>
    <row r="13934" spans="7:7">
      <c r="G13934"/>
    </row>
    <row r="13935" spans="7:7">
      <c r="G13935"/>
    </row>
    <row r="13936" spans="7:7">
      <c r="G13936"/>
    </row>
    <row r="13937" spans="7:7">
      <c r="G13937"/>
    </row>
    <row r="13938" spans="7:7">
      <c r="G13938"/>
    </row>
    <row r="13939" spans="7:7">
      <c r="G13939"/>
    </row>
    <row r="13940" spans="7:7">
      <c r="G13940"/>
    </row>
    <row r="13941" spans="7:7">
      <c r="G13941"/>
    </row>
    <row r="13942" spans="7:7">
      <c r="G13942"/>
    </row>
    <row r="13943" spans="7:7">
      <c r="G13943"/>
    </row>
    <row r="13944" spans="7:7">
      <c r="G13944"/>
    </row>
    <row r="13945" spans="7:7">
      <c r="G13945"/>
    </row>
    <row r="13946" spans="7:7">
      <c r="G13946"/>
    </row>
    <row r="13947" spans="7:7">
      <c r="G13947"/>
    </row>
    <row r="13948" spans="7:7">
      <c r="G13948"/>
    </row>
    <row r="13949" spans="7:7">
      <c r="G13949"/>
    </row>
    <row r="13950" spans="7:7">
      <c r="G13950"/>
    </row>
    <row r="13951" spans="7:7">
      <c r="G13951"/>
    </row>
    <row r="13952" spans="7:7">
      <c r="G13952"/>
    </row>
    <row r="13953" spans="7:7">
      <c r="G13953"/>
    </row>
    <row r="13954" spans="7:7">
      <c r="G13954"/>
    </row>
    <row r="13955" spans="7:7">
      <c r="G13955"/>
    </row>
    <row r="13956" spans="7:7">
      <c r="G13956"/>
    </row>
    <row r="13957" spans="7:7">
      <c r="G13957"/>
    </row>
    <row r="13958" spans="7:7">
      <c r="G13958"/>
    </row>
    <row r="13959" spans="7:7">
      <c r="G13959"/>
    </row>
    <row r="13960" spans="7:7">
      <c r="G13960"/>
    </row>
    <row r="13961" spans="7:7">
      <c r="G13961"/>
    </row>
    <row r="13962" spans="7:7">
      <c r="G13962"/>
    </row>
    <row r="13963" spans="7:7">
      <c r="G13963"/>
    </row>
    <row r="13964" spans="7:7">
      <c r="G13964"/>
    </row>
    <row r="13965" spans="7:7">
      <c r="G13965"/>
    </row>
    <row r="13966" spans="7:7">
      <c r="G13966"/>
    </row>
    <row r="13967" spans="7:7">
      <c r="G13967"/>
    </row>
    <row r="13968" spans="7:7">
      <c r="G13968"/>
    </row>
    <row r="13969" spans="7:7">
      <c r="G13969"/>
    </row>
    <row r="13970" spans="7:7">
      <c r="G13970"/>
    </row>
    <row r="13971" spans="7:7">
      <c r="G13971"/>
    </row>
    <row r="13972" spans="7:7">
      <c r="G13972"/>
    </row>
    <row r="13973" spans="7:7">
      <c r="G13973"/>
    </row>
    <row r="13974" spans="7:7">
      <c r="G13974"/>
    </row>
    <row r="13975" spans="7:7">
      <c r="G13975"/>
    </row>
    <row r="13976" spans="7:7">
      <c r="G13976"/>
    </row>
    <row r="13977" spans="7:7">
      <c r="G13977"/>
    </row>
    <row r="13978" spans="7:7">
      <c r="G13978"/>
    </row>
    <row r="13979" spans="7:7">
      <c r="G13979"/>
    </row>
    <row r="13980" spans="7:7">
      <c r="G13980"/>
    </row>
    <row r="13981" spans="7:7">
      <c r="G13981"/>
    </row>
    <row r="13982" spans="7:7">
      <c r="G13982"/>
    </row>
    <row r="13983" spans="7:7">
      <c r="G13983"/>
    </row>
    <row r="13984" spans="7:7">
      <c r="G13984"/>
    </row>
    <row r="13985" spans="7:7">
      <c r="G13985"/>
    </row>
    <row r="13986" spans="7:7">
      <c r="G13986"/>
    </row>
    <row r="13987" spans="7:7">
      <c r="G13987"/>
    </row>
    <row r="13988" spans="7:7">
      <c r="G13988"/>
    </row>
    <row r="13989" spans="7:7">
      <c r="G13989"/>
    </row>
    <row r="13990" spans="7:7">
      <c r="G13990"/>
    </row>
    <row r="13991" spans="7:7">
      <c r="G13991"/>
    </row>
    <row r="13992" spans="7:7">
      <c r="G13992"/>
    </row>
    <row r="13993" spans="7:7">
      <c r="G13993"/>
    </row>
    <row r="13994" spans="7:7">
      <c r="G13994"/>
    </row>
    <row r="13995" spans="7:7">
      <c r="G13995"/>
    </row>
    <row r="13996" spans="7:7">
      <c r="G13996"/>
    </row>
    <row r="13997" spans="7:7">
      <c r="G13997"/>
    </row>
    <row r="13998" spans="7:7">
      <c r="G13998"/>
    </row>
    <row r="13999" spans="7:7">
      <c r="G13999"/>
    </row>
    <row r="14000" spans="7:7">
      <c r="G14000"/>
    </row>
    <row r="14001" spans="7:7">
      <c r="G14001"/>
    </row>
    <row r="14002" spans="7:7">
      <c r="G14002"/>
    </row>
    <row r="14003" spans="7:7">
      <c r="G14003"/>
    </row>
    <row r="14004" spans="7:7">
      <c r="G14004"/>
    </row>
    <row r="14005" spans="7:7">
      <c r="G14005"/>
    </row>
    <row r="14006" spans="7:7">
      <c r="G14006"/>
    </row>
    <row r="14007" spans="7:7">
      <c r="G14007"/>
    </row>
    <row r="14008" spans="7:7">
      <c r="G14008"/>
    </row>
    <row r="14009" spans="7:7">
      <c r="G14009"/>
    </row>
    <row r="14010" spans="7:7">
      <c r="G14010"/>
    </row>
    <row r="14011" spans="7:7">
      <c r="G14011"/>
    </row>
    <row r="14012" spans="7:7">
      <c r="G14012"/>
    </row>
    <row r="14013" spans="7:7">
      <c r="G14013"/>
    </row>
    <row r="14014" spans="7:7">
      <c r="G14014"/>
    </row>
    <row r="14015" spans="7:7">
      <c r="G14015"/>
    </row>
    <row r="14016" spans="7:7">
      <c r="G14016"/>
    </row>
    <row r="14017" spans="7:7">
      <c r="G14017"/>
    </row>
    <row r="14018" spans="7:7">
      <c r="G14018"/>
    </row>
    <row r="14019" spans="7:7">
      <c r="G14019"/>
    </row>
    <row r="14020" spans="7:7">
      <c r="G14020"/>
    </row>
    <row r="14021" spans="7:7">
      <c r="G14021"/>
    </row>
    <row r="14022" spans="7:7">
      <c r="G14022"/>
    </row>
    <row r="14023" spans="7:7">
      <c r="G14023"/>
    </row>
    <row r="14024" spans="7:7">
      <c r="G14024"/>
    </row>
    <row r="14025" spans="7:7">
      <c r="G14025"/>
    </row>
    <row r="14026" spans="7:7">
      <c r="G14026"/>
    </row>
    <row r="14027" spans="7:7">
      <c r="G14027"/>
    </row>
    <row r="14028" spans="7:7">
      <c r="G14028"/>
    </row>
    <row r="14029" spans="7:7">
      <c r="G14029"/>
    </row>
    <row r="14030" spans="7:7">
      <c r="G14030"/>
    </row>
    <row r="14031" spans="7:7">
      <c r="G14031"/>
    </row>
    <row r="14032" spans="7:7">
      <c r="G14032"/>
    </row>
    <row r="14033" spans="7:7">
      <c r="G14033"/>
    </row>
    <row r="14034" spans="7:7">
      <c r="G14034"/>
    </row>
    <row r="14035" spans="7:7">
      <c r="G14035"/>
    </row>
    <row r="14036" spans="7:7">
      <c r="G14036"/>
    </row>
    <row r="14037" spans="7:7">
      <c r="G14037"/>
    </row>
    <row r="14038" spans="7:7">
      <c r="G14038"/>
    </row>
    <row r="14039" spans="7:7">
      <c r="G14039"/>
    </row>
    <row r="14040" spans="7:7">
      <c r="G14040"/>
    </row>
    <row r="14041" spans="7:7">
      <c r="G14041"/>
    </row>
    <row r="14042" spans="7:7">
      <c r="G14042"/>
    </row>
    <row r="14043" spans="7:7">
      <c r="G14043"/>
    </row>
    <row r="14044" spans="7:7">
      <c r="G14044"/>
    </row>
    <row r="14045" spans="7:7">
      <c r="G14045"/>
    </row>
    <row r="14046" spans="7:7">
      <c r="G14046"/>
    </row>
    <row r="14047" spans="7:7">
      <c r="G14047"/>
    </row>
    <row r="14048" spans="7:7">
      <c r="G14048"/>
    </row>
    <row r="14049" spans="7:7">
      <c r="G14049"/>
    </row>
    <row r="14050" spans="7:7">
      <c r="G14050"/>
    </row>
    <row r="14051" spans="7:7">
      <c r="G14051"/>
    </row>
    <row r="14052" spans="7:7">
      <c r="G14052"/>
    </row>
    <row r="14053" spans="7:7">
      <c r="G14053"/>
    </row>
    <row r="14054" spans="7:7">
      <c r="G14054"/>
    </row>
    <row r="14055" spans="7:7">
      <c r="G14055"/>
    </row>
    <row r="14056" spans="7:7">
      <c r="G14056"/>
    </row>
    <row r="14057" spans="7:7">
      <c r="G14057"/>
    </row>
    <row r="14058" spans="7:7">
      <c r="G14058"/>
    </row>
    <row r="14059" spans="7:7">
      <c r="G14059"/>
    </row>
    <row r="14060" spans="7:7">
      <c r="G14060"/>
    </row>
    <row r="14061" spans="7:7">
      <c r="G14061"/>
    </row>
    <row r="14062" spans="7:7">
      <c r="G14062"/>
    </row>
    <row r="14063" spans="7:7">
      <c r="G14063"/>
    </row>
    <row r="14064" spans="7:7">
      <c r="G14064"/>
    </row>
    <row r="14065" spans="7:7">
      <c r="G14065"/>
    </row>
    <row r="14066" spans="7:7">
      <c r="G14066"/>
    </row>
    <row r="14067" spans="7:7">
      <c r="G14067"/>
    </row>
    <row r="14068" spans="7:7">
      <c r="G14068"/>
    </row>
    <row r="14069" spans="7:7">
      <c r="G14069"/>
    </row>
    <row r="14070" spans="7:7">
      <c r="G14070"/>
    </row>
    <row r="14071" spans="7:7">
      <c r="G14071"/>
    </row>
    <row r="14072" spans="7:7">
      <c r="G14072"/>
    </row>
    <row r="14073" spans="7:7">
      <c r="G14073"/>
    </row>
    <row r="14074" spans="7:7">
      <c r="G14074"/>
    </row>
    <row r="14075" spans="7:7">
      <c r="G14075"/>
    </row>
    <row r="14076" spans="7:7">
      <c r="G14076"/>
    </row>
    <row r="14077" spans="7:7">
      <c r="G14077"/>
    </row>
    <row r="14078" spans="7:7">
      <c r="G14078"/>
    </row>
    <row r="14079" spans="7:7">
      <c r="G14079"/>
    </row>
    <row r="14080" spans="7:7">
      <c r="G14080"/>
    </row>
    <row r="14081" spans="7:7">
      <c r="G14081"/>
    </row>
    <row r="14082" spans="7:7">
      <c r="G14082"/>
    </row>
    <row r="14083" spans="7:7">
      <c r="G14083"/>
    </row>
    <row r="14084" spans="7:7">
      <c r="G14084"/>
    </row>
    <row r="14085" spans="7:7">
      <c r="G14085"/>
    </row>
    <row r="14086" spans="7:7">
      <c r="G14086"/>
    </row>
    <row r="14087" spans="7:7">
      <c r="G14087"/>
    </row>
    <row r="14088" spans="7:7">
      <c r="G14088"/>
    </row>
    <row r="14089" spans="7:7">
      <c r="G14089"/>
    </row>
    <row r="14090" spans="7:7">
      <c r="G14090"/>
    </row>
    <row r="14091" spans="7:7">
      <c r="G14091"/>
    </row>
    <row r="14092" spans="7:7">
      <c r="G14092"/>
    </row>
    <row r="14093" spans="7:7">
      <c r="G14093"/>
    </row>
    <row r="14094" spans="7:7">
      <c r="G14094"/>
    </row>
    <row r="14095" spans="7:7">
      <c r="G14095"/>
    </row>
    <row r="14096" spans="7:7">
      <c r="G14096"/>
    </row>
    <row r="14097" spans="7:7">
      <c r="G14097"/>
    </row>
    <row r="14098" spans="7:7">
      <c r="G14098"/>
    </row>
    <row r="14099" spans="7:7">
      <c r="G14099"/>
    </row>
    <row r="14100" spans="7:7">
      <c r="G14100"/>
    </row>
    <row r="14101" spans="7:7">
      <c r="G14101"/>
    </row>
    <row r="14102" spans="7:7">
      <c r="G14102"/>
    </row>
    <row r="14103" spans="7:7">
      <c r="G14103"/>
    </row>
    <row r="14104" spans="7:7">
      <c r="G14104"/>
    </row>
    <row r="14105" spans="7:7">
      <c r="G14105"/>
    </row>
    <row r="14106" spans="7:7">
      <c r="G14106"/>
    </row>
    <row r="14107" spans="7:7">
      <c r="G14107"/>
    </row>
    <row r="14108" spans="7:7">
      <c r="G14108"/>
    </row>
    <row r="14109" spans="7:7">
      <c r="G14109"/>
    </row>
    <row r="14110" spans="7:7">
      <c r="G14110"/>
    </row>
    <row r="14111" spans="7:7">
      <c r="G14111"/>
    </row>
    <row r="14112" spans="7:7">
      <c r="G14112"/>
    </row>
    <row r="14113" spans="7:7">
      <c r="G14113"/>
    </row>
    <row r="14114" spans="7:7">
      <c r="G14114"/>
    </row>
    <row r="14115" spans="7:7">
      <c r="G14115"/>
    </row>
    <row r="14116" spans="7:7">
      <c r="G14116"/>
    </row>
    <row r="14117" spans="7:7">
      <c r="G14117"/>
    </row>
    <row r="14118" spans="7:7">
      <c r="G14118"/>
    </row>
    <row r="14119" spans="7:7">
      <c r="G14119"/>
    </row>
    <row r="14120" spans="7:7">
      <c r="G14120"/>
    </row>
    <row r="14121" spans="7:7">
      <c r="G14121"/>
    </row>
    <row r="14122" spans="7:7">
      <c r="G14122"/>
    </row>
    <row r="14123" spans="7:7">
      <c r="G14123"/>
    </row>
    <row r="14124" spans="7:7">
      <c r="G14124"/>
    </row>
    <row r="14125" spans="7:7">
      <c r="G14125"/>
    </row>
    <row r="14126" spans="7:7">
      <c r="G14126"/>
    </row>
    <row r="14127" spans="7:7">
      <c r="G14127"/>
    </row>
    <row r="14128" spans="7:7">
      <c r="G14128"/>
    </row>
    <row r="14129" spans="7:7">
      <c r="G14129"/>
    </row>
    <row r="14130" spans="7:7">
      <c r="G14130"/>
    </row>
    <row r="14131" spans="7:7">
      <c r="G14131"/>
    </row>
    <row r="14132" spans="7:7">
      <c r="G14132"/>
    </row>
    <row r="14133" spans="7:7">
      <c r="G14133"/>
    </row>
    <row r="14134" spans="7:7">
      <c r="G14134"/>
    </row>
    <row r="14135" spans="7:7">
      <c r="G14135"/>
    </row>
    <row r="14136" spans="7:7">
      <c r="G14136"/>
    </row>
    <row r="14137" spans="7:7">
      <c r="G14137"/>
    </row>
    <row r="14138" spans="7:7">
      <c r="G14138"/>
    </row>
    <row r="14139" spans="7:7">
      <c r="G14139"/>
    </row>
    <row r="14140" spans="7:7">
      <c r="G14140"/>
    </row>
    <row r="14141" spans="7:7">
      <c r="G14141"/>
    </row>
    <row r="14142" spans="7:7">
      <c r="G14142"/>
    </row>
    <row r="14143" spans="7:7">
      <c r="G14143"/>
    </row>
    <row r="14144" spans="7:7">
      <c r="G14144"/>
    </row>
    <row r="14145" spans="7:7">
      <c r="G14145"/>
    </row>
    <row r="14146" spans="7:7">
      <c r="G14146"/>
    </row>
    <row r="14147" spans="7:7">
      <c r="G14147"/>
    </row>
    <row r="14148" spans="7:7">
      <c r="G14148"/>
    </row>
    <row r="14149" spans="7:7">
      <c r="G14149"/>
    </row>
    <row r="14150" spans="7:7">
      <c r="G14150"/>
    </row>
    <row r="14151" spans="7:7">
      <c r="G14151"/>
    </row>
    <row r="14152" spans="7:7">
      <c r="G14152"/>
    </row>
    <row r="14153" spans="7:7">
      <c r="G14153"/>
    </row>
    <row r="14154" spans="7:7">
      <c r="G14154"/>
    </row>
    <row r="14155" spans="7:7">
      <c r="G14155"/>
    </row>
    <row r="14156" spans="7:7">
      <c r="G14156"/>
    </row>
    <row r="14157" spans="7:7">
      <c r="G14157"/>
    </row>
    <row r="14158" spans="7:7">
      <c r="G14158"/>
    </row>
    <row r="14159" spans="7:7">
      <c r="G14159"/>
    </row>
    <row r="14160" spans="7:7">
      <c r="G14160"/>
    </row>
    <row r="14161" spans="7:7">
      <c r="G14161"/>
    </row>
    <row r="14162" spans="7:7">
      <c r="G14162"/>
    </row>
    <row r="14163" spans="7:7">
      <c r="G14163"/>
    </row>
    <row r="14164" spans="7:7">
      <c r="G14164"/>
    </row>
    <row r="14165" spans="7:7">
      <c r="G14165"/>
    </row>
    <row r="14166" spans="7:7">
      <c r="G14166"/>
    </row>
    <row r="14167" spans="7:7">
      <c r="G14167"/>
    </row>
    <row r="14168" spans="7:7">
      <c r="G14168"/>
    </row>
    <row r="14169" spans="7:7">
      <c r="G14169"/>
    </row>
    <row r="14170" spans="7:7">
      <c r="G14170"/>
    </row>
    <row r="14171" spans="7:7">
      <c r="G14171"/>
    </row>
    <row r="14172" spans="7:7">
      <c r="G14172"/>
    </row>
    <row r="14173" spans="7:7">
      <c r="G14173"/>
    </row>
    <row r="14174" spans="7:7">
      <c r="G14174"/>
    </row>
    <row r="14175" spans="7:7">
      <c r="G14175"/>
    </row>
    <row r="14176" spans="7:7">
      <c r="G14176"/>
    </row>
    <row r="14177" spans="7:7">
      <c r="G14177"/>
    </row>
    <row r="14178" spans="7:7">
      <c r="G14178"/>
    </row>
    <row r="14179" spans="7:7">
      <c r="G14179"/>
    </row>
    <row r="14180" spans="7:7">
      <c r="G14180"/>
    </row>
    <row r="14181" spans="7:7">
      <c r="G14181"/>
    </row>
    <row r="14182" spans="7:7">
      <c r="G14182"/>
    </row>
    <row r="14183" spans="7:7">
      <c r="G14183"/>
    </row>
    <row r="14184" spans="7:7">
      <c r="G14184"/>
    </row>
    <row r="14185" spans="7:7">
      <c r="G14185"/>
    </row>
    <row r="14186" spans="7:7">
      <c r="G14186"/>
    </row>
    <row r="14187" spans="7:7">
      <c r="G14187"/>
    </row>
    <row r="14188" spans="7:7">
      <c r="G14188"/>
    </row>
    <row r="14189" spans="7:7">
      <c r="G14189"/>
    </row>
    <row r="14190" spans="7:7">
      <c r="G14190"/>
    </row>
    <row r="14191" spans="7:7">
      <c r="G14191"/>
    </row>
    <row r="14192" spans="7:7">
      <c r="G14192"/>
    </row>
    <row r="14193" spans="7:7">
      <c r="G14193"/>
    </row>
    <row r="14194" spans="7:7">
      <c r="G14194"/>
    </row>
    <row r="14195" spans="7:7">
      <c r="G14195"/>
    </row>
    <row r="14196" spans="7:7">
      <c r="G14196"/>
    </row>
    <row r="14197" spans="7:7">
      <c r="G14197"/>
    </row>
    <row r="14198" spans="7:7">
      <c r="G14198"/>
    </row>
    <row r="14199" spans="7:7">
      <c r="G14199"/>
    </row>
    <row r="14200" spans="7:7">
      <c r="G14200"/>
    </row>
    <row r="14201" spans="7:7">
      <c r="G14201"/>
    </row>
    <row r="14202" spans="7:7">
      <c r="G14202"/>
    </row>
    <row r="14203" spans="7:7">
      <c r="G14203"/>
    </row>
    <row r="14204" spans="7:7">
      <c r="G14204"/>
    </row>
    <row r="14205" spans="7:7">
      <c r="G14205"/>
    </row>
    <row r="14206" spans="7:7">
      <c r="G14206"/>
    </row>
    <row r="14207" spans="7:7">
      <c r="G14207"/>
    </row>
    <row r="14208" spans="7:7">
      <c r="G14208"/>
    </row>
    <row r="14209" spans="7:7">
      <c r="G14209"/>
    </row>
    <row r="14210" spans="7:7">
      <c r="G14210"/>
    </row>
    <row r="14211" spans="7:7">
      <c r="G14211"/>
    </row>
    <row r="14212" spans="7:7">
      <c r="G14212"/>
    </row>
    <row r="14213" spans="7:7">
      <c r="G14213"/>
    </row>
    <row r="14214" spans="7:7">
      <c r="G14214"/>
    </row>
    <row r="14215" spans="7:7">
      <c r="G14215"/>
    </row>
    <row r="14216" spans="7:7">
      <c r="G14216"/>
    </row>
    <row r="14217" spans="7:7">
      <c r="G14217"/>
    </row>
    <row r="14218" spans="7:7">
      <c r="G14218"/>
    </row>
    <row r="14219" spans="7:7">
      <c r="G14219"/>
    </row>
    <row r="14220" spans="7:7">
      <c r="G14220"/>
    </row>
    <row r="14221" spans="7:7">
      <c r="G14221"/>
    </row>
    <row r="14222" spans="7:7">
      <c r="G14222"/>
    </row>
    <row r="14223" spans="7:7">
      <c r="G14223"/>
    </row>
    <row r="14224" spans="7:7">
      <c r="G14224"/>
    </row>
    <row r="14225" spans="7:7">
      <c r="G14225"/>
    </row>
    <row r="14226" spans="7:7">
      <c r="G14226"/>
    </row>
    <row r="14227" spans="7:7">
      <c r="G14227"/>
    </row>
    <row r="14228" spans="7:7">
      <c r="G14228"/>
    </row>
    <row r="14229" spans="7:7">
      <c r="G14229"/>
    </row>
    <row r="14230" spans="7:7">
      <c r="G14230"/>
    </row>
    <row r="14231" spans="7:7">
      <c r="G14231"/>
    </row>
    <row r="14232" spans="7:7">
      <c r="G14232"/>
    </row>
    <row r="14233" spans="7:7">
      <c r="G14233"/>
    </row>
    <row r="14234" spans="7:7">
      <c r="G14234"/>
    </row>
    <row r="14235" spans="7:7">
      <c r="G14235"/>
    </row>
    <row r="14236" spans="7:7">
      <c r="G14236"/>
    </row>
    <row r="14237" spans="7:7">
      <c r="G14237"/>
    </row>
    <row r="14238" spans="7:7">
      <c r="G14238"/>
    </row>
    <row r="14239" spans="7:7">
      <c r="G14239"/>
    </row>
    <row r="14240" spans="7:7">
      <c r="G14240"/>
    </row>
    <row r="14241" spans="7:7">
      <c r="G14241"/>
    </row>
    <row r="14242" spans="7:7">
      <c r="G14242"/>
    </row>
    <row r="14243" spans="7:7">
      <c r="G14243"/>
    </row>
    <row r="14244" spans="7:7">
      <c r="G14244"/>
    </row>
    <row r="14245" spans="7:7">
      <c r="G14245"/>
    </row>
    <row r="14246" spans="7:7">
      <c r="G14246"/>
    </row>
    <row r="14247" spans="7:7">
      <c r="G14247"/>
    </row>
    <row r="14248" spans="7:7">
      <c r="G14248"/>
    </row>
    <row r="14249" spans="7:7">
      <c r="G14249"/>
    </row>
    <row r="14250" spans="7:7">
      <c r="G14250"/>
    </row>
    <row r="14251" spans="7:7">
      <c r="G14251"/>
    </row>
    <row r="14252" spans="7:7">
      <c r="G14252"/>
    </row>
    <row r="14253" spans="7:7">
      <c r="G14253"/>
    </row>
    <row r="14254" spans="7:7">
      <c r="G14254"/>
    </row>
    <row r="14255" spans="7:7">
      <c r="G14255"/>
    </row>
    <row r="14256" spans="7:7">
      <c r="G14256"/>
    </row>
    <row r="14257" spans="7:7">
      <c r="G14257"/>
    </row>
    <row r="14258" spans="7:7">
      <c r="G14258"/>
    </row>
    <row r="14259" spans="7:7">
      <c r="G14259"/>
    </row>
    <row r="14260" spans="7:7">
      <c r="G14260"/>
    </row>
    <row r="14261" spans="7:7">
      <c r="G14261"/>
    </row>
    <row r="14262" spans="7:7">
      <c r="G14262"/>
    </row>
    <row r="14263" spans="7:7">
      <c r="G14263"/>
    </row>
    <row r="14264" spans="7:7">
      <c r="G14264"/>
    </row>
    <row r="14265" spans="7:7">
      <c r="G14265"/>
    </row>
    <row r="14266" spans="7:7">
      <c r="G14266"/>
    </row>
    <row r="14267" spans="7:7">
      <c r="G14267"/>
    </row>
    <row r="14268" spans="7:7">
      <c r="G14268"/>
    </row>
    <row r="14269" spans="7:7">
      <c r="G14269"/>
    </row>
    <row r="14270" spans="7:7">
      <c r="G14270"/>
    </row>
    <row r="14271" spans="7:7">
      <c r="G14271"/>
    </row>
    <row r="14272" spans="7:7">
      <c r="G14272"/>
    </row>
    <row r="14273" spans="7:7">
      <c r="G14273"/>
    </row>
    <row r="14274" spans="7:7">
      <c r="G14274"/>
    </row>
    <row r="14275" spans="7:7">
      <c r="G14275"/>
    </row>
    <row r="14276" spans="7:7">
      <c r="G14276"/>
    </row>
    <row r="14277" spans="7:7">
      <c r="G14277"/>
    </row>
    <row r="14278" spans="7:7">
      <c r="G14278"/>
    </row>
    <row r="14279" spans="7:7">
      <c r="G14279"/>
    </row>
    <row r="14280" spans="7:7">
      <c r="G14280"/>
    </row>
    <row r="14281" spans="7:7">
      <c r="G14281"/>
    </row>
    <row r="14282" spans="7:7">
      <c r="G14282"/>
    </row>
    <row r="14283" spans="7:7">
      <c r="G14283"/>
    </row>
    <row r="14284" spans="7:7">
      <c r="G14284"/>
    </row>
    <row r="14285" spans="7:7">
      <c r="G14285"/>
    </row>
    <row r="14286" spans="7:7">
      <c r="G14286"/>
    </row>
    <row r="14287" spans="7:7">
      <c r="G14287"/>
    </row>
    <row r="14288" spans="7:7">
      <c r="G14288"/>
    </row>
    <row r="14289" spans="7:7">
      <c r="G14289"/>
    </row>
    <row r="14290" spans="7:7">
      <c r="G14290"/>
    </row>
    <row r="14291" spans="7:7">
      <c r="G14291"/>
    </row>
    <row r="14292" spans="7:7">
      <c r="G14292"/>
    </row>
    <row r="14293" spans="7:7">
      <c r="G14293"/>
    </row>
    <row r="14294" spans="7:7">
      <c r="G14294"/>
    </row>
    <row r="14295" spans="7:7">
      <c r="G14295"/>
    </row>
    <row r="14296" spans="7:7">
      <c r="G14296"/>
    </row>
    <row r="14297" spans="7:7">
      <c r="G14297"/>
    </row>
    <row r="14298" spans="7:7">
      <c r="G14298"/>
    </row>
    <row r="14299" spans="7:7">
      <c r="G14299"/>
    </row>
    <row r="14300" spans="7:7">
      <c r="G14300"/>
    </row>
    <row r="14301" spans="7:7">
      <c r="G14301"/>
    </row>
    <row r="14302" spans="7:7">
      <c r="G14302"/>
    </row>
    <row r="14303" spans="7:7">
      <c r="G14303"/>
    </row>
    <row r="14304" spans="7:7">
      <c r="G14304"/>
    </row>
    <row r="14305" spans="7:7">
      <c r="G14305"/>
    </row>
    <row r="14306" spans="7:7">
      <c r="G14306"/>
    </row>
    <row r="14307" spans="7:7">
      <c r="G14307"/>
    </row>
    <row r="14308" spans="7:7">
      <c r="G14308"/>
    </row>
    <row r="14309" spans="7:7">
      <c r="G14309"/>
    </row>
    <row r="14310" spans="7:7">
      <c r="G14310"/>
    </row>
    <row r="14311" spans="7:7">
      <c r="G14311"/>
    </row>
    <row r="14312" spans="7:7">
      <c r="G14312"/>
    </row>
    <row r="14313" spans="7:7">
      <c r="G14313"/>
    </row>
    <row r="14314" spans="7:7">
      <c r="G14314"/>
    </row>
    <row r="14315" spans="7:7">
      <c r="G14315"/>
    </row>
    <row r="14316" spans="7:7">
      <c r="G14316"/>
    </row>
    <row r="14317" spans="7:7">
      <c r="G14317"/>
    </row>
    <row r="14318" spans="7:7">
      <c r="G14318"/>
    </row>
    <row r="14319" spans="7:7">
      <c r="G14319"/>
    </row>
    <row r="14320" spans="7:7">
      <c r="G14320"/>
    </row>
    <row r="14321" spans="7:7">
      <c r="G14321"/>
    </row>
    <row r="14322" spans="7:7">
      <c r="G14322"/>
    </row>
    <row r="14323" spans="7:7">
      <c r="G14323"/>
    </row>
    <row r="14324" spans="7:7">
      <c r="G14324"/>
    </row>
    <row r="14325" spans="7:7">
      <c r="G14325"/>
    </row>
    <row r="14326" spans="7:7">
      <c r="G14326"/>
    </row>
    <row r="14327" spans="7:7">
      <c r="G14327"/>
    </row>
    <row r="14328" spans="7:7">
      <c r="G14328"/>
    </row>
    <row r="14329" spans="7:7">
      <c r="G14329"/>
    </row>
    <row r="14330" spans="7:7">
      <c r="G14330"/>
    </row>
    <row r="14331" spans="7:7">
      <c r="G14331"/>
    </row>
    <row r="14332" spans="7:7">
      <c r="G14332"/>
    </row>
    <row r="14333" spans="7:7">
      <c r="G14333"/>
    </row>
    <row r="14334" spans="7:7">
      <c r="G14334"/>
    </row>
    <row r="14335" spans="7:7">
      <c r="G14335"/>
    </row>
    <row r="14336" spans="7:7">
      <c r="G14336"/>
    </row>
    <row r="14337" spans="7:7">
      <c r="G14337"/>
    </row>
    <row r="14338" spans="7:7">
      <c r="G14338"/>
    </row>
    <row r="14339" spans="7:7">
      <c r="G14339"/>
    </row>
    <row r="14340" spans="7:7">
      <c r="G14340"/>
    </row>
    <row r="14341" spans="7:7">
      <c r="G14341"/>
    </row>
    <row r="14342" spans="7:7">
      <c r="G14342"/>
    </row>
    <row r="14343" spans="7:7">
      <c r="G14343"/>
    </row>
    <row r="14344" spans="7:7">
      <c r="G14344"/>
    </row>
    <row r="14345" spans="7:7">
      <c r="G14345"/>
    </row>
    <row r="14346" spans="7:7">
      <c r="G14346"/>
    </row>
    <row r="14347" spans="7:7">
      <c r="G14347"/>
    </row>
    <row r="14348" spans="7:7">
      <c r="G14348"/>
    </row>
    <row r="14349" spans="7:7">
      <c r="G14349"/>
    </row>
    <row r="14350" spans="7:7">
      <c r="G14350"/>
    </row>
    <row r="14351" spans="7:7">
      <c r="G14351"/>
    </row>
    <row r="14352" spans="7:7">
      <c r="G14352"/>
    </row>
    <row r="14353" spans="7:7">
      <c r="G14353"/>
    </row>
    <row r="14354" spans="7:7">
      <c r="G14354"/>
    </row>
    <row r="14355" spans="7:7">
      <c r="G14355"/>
    </row>
    <row r="14356" spans="7:7">
      <c r="G14356"/>
    </row>
    <row r="14357" spans="7:7">
      <c r="G14357"/>
    </row>
    <row r="14358" spans="7:7">
      <c r="G14358"/>
    </row>
    <row r="14359" spans="7:7">
      <c r="G14359"/>
    </row>
    <row r="14360" spans="7:7">
      <c r="G14360"/>
    </row>
    <row r="14361" spans="7:7">
      <c r="G14361"/>
    </row>
    <row r="14362" spans="7:7">
      <c r="G14362"/>
    </row>
    <row r="14363" spans="7:7">
      <c r="G14363"/>
    </row>
    <row r="14364" spans="7:7">
      <c r="G14364"/>
    </row>
    <row r="14365" spans="7:7">
      <c r="G14365"/>
    </row>
    <row r="14366" spans="7:7">
      <c r="G14366"/>
    </row>
    <row r="14367" spans="7:7">
      <c r="G14367"/>
    </row>
    <row r="14368" spans="7:7">
      <c r="G14368"/>
    </row>
    <row r="14369" spans="7:7">
      <c r="G14369"/>
    </row>
    <row r="14370" spans="7:7">
      <c r="G14370"/>
    </row>
    <row r="14371" spans="7:7">
      <c r="G14371"/>
    </row>
    <row r="14372" spans="7:7">
      <c r="G14372"/>
    </row>
    <row r="14373" spans="7:7">
      <c r="G14373"/>
    </row>
    <row r="14374" spans="7:7">
      <c r="G14374"/>
    </row>
    <row r="14375" spans="7:7">
      <c r="G14375"/>
    </row>
    <row r="14376" spans="7:7">
      <c r="G14376"/>
    </row>
    <row r="14377" spans="7:7">
      <c r="G14377"/>
    </row>
    <row r="14378" spans="7:7">
      <c r="G14378"/>
    </row>
    <row r="14379" spans="7:7">
      <c r="G14379"/>
    </row>
    <row r="14380" spans="7:7">
      <c r="G14380"/>
    </row>
    <row r="14381" spans="7:7">
      <c r="G14381"/>
    </row>
    <row r="14382" spans="7:7">
      <c r="G14382"/>
    </row>
    <row r="14383" spans="7:7">
      <c r="G14383"/>
    </row>
    <row r="14384" spans="7:7">
      <c r="G14384"/>
    </row>
    <row r="14385" spans="7:7">
      <c r="G14385"/>
    </row>
    <row r="14386" spans="7:7">
      <c r="G14386"/>
    </row>
    <row r="14387" spans="7:7">
      <c r="G14387"/>
    </row>
    <row r="14388" spans="7:7">
      <c r="G14388"/>
    </row>
    <row r="14389" spans="7:7">
      <c r="G14389"/>
    </row>
    <row r="14390" spans="7:7">
      <c r="G14390"/>
    </row>
    <row r="14391" spans="7:7">
      <c r="G14391"/>
    </row>
    <row r="14392" spans="7:7">
      <c r="G14392"/>
    </row>
    <row r="14393" spans="7:7">
      <c r="G14393"/>
    </row>
    <row r="14394" spans="7:7">
      <c r="G14394"/>
    </row>
    <row r="14395" spans="7:7">
      <c r="G14395"/>
    </row>
    <row r="14396" spans="7:7">
      <c r="G14396"/>
    </row>
    <row r="14397" spans="7:7">
      <c r="G14397"/>
    </row>
    <row r="14398" spans="7:7">
      <c r="G14398"/>
    </row>
    <row r="14399" spans="7:7">
      <c r="G14399"/>
    </row>
    <row r="14400" spans="7:7">
      <c r="G14400"/>
    </row>
    <row r="14401" spans="7:7">
      <c r="G14401"/>
    </row>
    <row r="14402" spans="7:7">
      <c r="G14402"/>
    </row>
    <row r="14403" spans="7:7">
      <c r="G14403"/>
    </row>
    <row r="14404" spans="7:7">
      <c r="G14404"/>
    </row>
    <row r="14405" spans="7:7">
      <c r="G14405"/>
    </row>
    <row r="14406" spans="7:7">
      <c r="G14406"/>
    </row>
    <row r="14407" spans="7:7">
      <c r="G14407"/>
    </row>
    <row r="14408" spans="7:7">
      <c r="G14408"/>
    </row>
    <row r="14409" spans="7:7">
      <c r="G14409"/>
    </row>
    <row r="14410" spans="7:7">
      <c r="G14410"/>
    </row>
    <row r="14411" spans="7:7">
      <c r="G14411"/>
    </row>
    <row r="14412" spans="7:7">
      <c r="G14412"/>
    </row>
    <row r="14413" spans="7:7">
      <c r="G14413"/>
    </row>
    <row r="14414" spans="7:7">
      <c r="G14414"/>
    </row>
    <row r="14415" spans="7:7">
      <c r="G14415"/>
    </row>
    <row r="14416" spans="7:7">
      <c r="G14416"/>
    </row>
    <row r="14417" spans="7:7">
      <c r="G14417"/>
    </row>
    <row r="14418" spans="7:7">
      <c r="G14418"/>
    </row>
    <row r="14419" spans="7:7">
      <c r="G14419"/>
    </row>
    <row r="14420" spans="7:7">
      <c r="G14420"/>
    </row>
    <row r="14421" spans="7:7">
      <c r="G14421"/>
    </row>
    <row r="14422" spans="7:7">
      <c r="G14422"/>
    </row>
    <row r="14423" spans="7:7">
      <c r="G14423"/>
    </row>
    <row r="14424" spans="7:7">
      <c r="G14424"/>
    </row>
    <row r="14425" spans="7:7">
      <c r="G14425"/>
    </row>
    <row r="14426" spans="7:7">
      <c r="G14426"/>
    </row>
    <row r="14427" spans="7:7">
      <c r="G14427"/>
    </row>
    <row r="14428" spans="7:7">
      <c r="G14428"/>
    </row>
    <row r="14429" spans="7:7">
      <c r="G14429"/>
    </row>
    <row r="14430" spans="7:7">
      <c r="G14430"/>
    </row>
    <row r="14431" spans="7:7">
      <c r="G14431"/>
    </row>
    <row r="14432" spans="7:7">
      <c r="G14432"/>
    </row>
    <row r="14433" spans="7:7">
      <c r="G14433"/>
    </row>
    <row r="14434" spans="7:7">
      <c r="G14434"/>
    </row>
    <row r="14435" spans="7:7">
      <c r="G14435"/>
    </row>
    <row r="14436" spans="7:7">
      <c r="G14436"/>
    </row>
    <row r="14437" spans="7:7">
      <c r="G14437"/>
    </row>
    <row r="14438" spans="7:7">
      <c r="G14438"/>
    </row>
    <row r="14439" spans="7:7">
      <c r="G14439"/>
    </row>
    <row r="14440" spans="7:7">
      <c r="G14440"/>
    </row>
    <row r="14441" spans="7:7">
      <c r="G14441"/>
    </row>
    <row r="14442" spans="7:7">
      <c r="G14442"/>
    </row>
    <row r="14443" spans="7:7">
      <c r="G14443"/>
    </row>
    <row r="14444" spans="7:7">
      <c r="G14444"/>
    </row>
    <row r="14445" spans="7:7">
      <c r="G14445"/>
    </row>
    <row r="14446" spans="7:7">
      <c r="G14446"/>
    </row>
    <row r="14447" spans="7:7">
      <c r="G14447"/>
    </row>
    <row r="14448" spans="7:7">
      <c r="G14448"/>
    </row>
    <row r="14449" spans="7:7">
      <c r="G14449"/>
    </row>
    <row r="14450" spans="7:7">
      <c r="G14450"/>
    </row>
    <row r="14451" spans="7:7">
      <c r="G14451"/>
    </row>
    <row r="14452" spans="7:7">
      <c r="G14452"/>
    </row>
    <row r="14453" spans="7:7">
      <c r="G14453"/>
    </row>
    <row r="14454" spans="7:7">
      <c r="G14454"/>
    </row>
    <row r="14455" spans="7:7">
      <c r="G14455"/>
    </row>
    <row r="14456" spans="7:7">
      <c r="G14456"/>
    </row>
    <row r="14457" spans="7:7">
      <c r="G14457"/>
    </row>
    <row r="14458" spans="7:7">
      <c r="G14458"/>
    </row>
    <row r="14459" spans="7:7">
      <c r="G14459"/>
    </row>
    <row r="14460" spans="7:7">
      <c r="G14460"/>
    </row>
    <row r="14461" spans="7:7">
      <c r="G14461"/>
    </row>
    <row r="14462" spans="7:7">
      <c r="G14462"/>
    </row>
    <row r="14463" spans="7:7">
      <c r="G14463"/>
    </row>
    <row r="14464" spans="7:7">
      <c r="G14464"/>
    </row>
    <row r="14465" spans="7:7">
      <c r="G14465"/>
    </row>
    <row r="14466" spans="7:7">
      <c r="G14466"/>
    </row>
    <row r="14467" spans="7:7">
      <c r="G14467"/>
    </row>
    <row r="14468" spans="7:7">
      <c r="G14468"/>
    </row>
    <row r="14469" spans="7:7">
      <c r="G14469"/>
    </row>
    <row r="14470" spans="7:7">
      <c r="G14470"/>
    </row>
    <row r="14471" spans="7:7">
      <c r="G14471"/>
    </row>
    <row r="14472" spans="7:7">
      <c r="G14472"/>
    </row>
    <row r="14473" spans="7:7">
      <c r="G14473"/>
    </row>
    <row r="14474" spans="7:7">
      <c r="G14474"/>
    </row>
    <row r="14475" spans="7:7">
      <c r="G14475"/>
    </row>
    <row r="14476" spans="7:7">
      <c r="G14476"/>
    </row>
    <row r="14477" spans="7:7">
      <c r="G14477"/>
    </row>
    <row r="14478" spans="7:7">
      <c r="G14478"/>
    </row>
    <row r="14479" spans="7:7">
      <c r="G14479"/>
    </row>
    <row r="14480" spans="7:7">
      <c r="G14480"/>
    </row>
    <row r="14481" spans="7:7">
      <c r="G14481"/>
    </row>
    <row r="14482" spans="7:7">
      <c r="G14482"/>
    </row>
    <row r="14483" spans="7:7">
      <c r="G14483"/>
    </row>
    <row r="14484" spans="7:7">
      <c r="G14484"/>
    </row>
    <row r="14485" spans="7:7">
      <c r="G14485"/>
    </row>
    <row r="14486" spans="7:7">
      <c r="G14486"/>
    </row>
    <row r="14487" spans="7:7">
      <c r="G14487"/>
    </row>
    <row r="14488" spans="7:7">
      <c r="G14488"/>
    </row>
    <row r="14489" spans="7:7">
      <c r="G14489"/>
    </row>
    <row r="14490" spans="7:7">
      <c r="G14490"/>
    </row>
    <row r="14491" spans="7:7">
      <c r="G14491"/>
    </row>
    <row r="14492" spans="7:7">
      <c r="G14492"/>
    </row>
    <row r="14493" spans="7:7">
      <c r="G14493"/>
    </row>
    <row r="14494" spans="7:7">
      <c r="G14494"/>
    </row>
    <row r="14495" spans="7:7">
      <c r="G14495"/>
    </row>
    <row r="14496" spans="7:7">
      <c r="G14496"/>
    </row>
    <row r="14497" spans="7:7">
      <c r="G14497"/>
    </row>
    <row r="14498" spans="7:7">
      <c r="G14498"/>
    </row>
    <row r="14499" spans="7:7">
      <c r="G14499"/>
    </row>
    <row r="14500" spans="7:7">
      <c r="G14500"/>
    </row>
    <row r="14501" spans="7:7">
      <c r="G14501"/>
    </row>
    <row r="14502" spans="7:7">
      <c r="G14502"/>
    </row>
    <row r="14503" spans="7:7">
      <c r="G14503"/>
    </row>
    <row r="14504" spans="7:7">
      <c r="G14504"/>
    </row>
    <row r="14505" spans="7:7">
      <c r="G14505"/>
    </row>
    <row r="14506" spans="7:7">
      <c r="G14506"/>
    </row>
    <row r="14507" spans="7:7">
      <c r="G14507"/>
    </row>
    <row r="14508" spans="7:7">
      <c r="G14508"/>
    </row>
    <row r="14509" spans="7:7">
      <c r="G14509"/>
    </row>
    <row r="14510" spans="7:7">
      <c r="G14510"/>
    </row>
    <row r="14511" spans="7:7">
      <c r="G14511"/>
    </row>
    <row r="14512" spans="7:7">
      <c r="G14512"/>
    </row>
    <row r="14513" spans="7:7">
      <c r="G14513"/>
    </row>
    <row r="14514" spans="7:7">
      <c r="G14514"/>
    </row>
    <row r="14515" spans="7:7">
      <c r="G14515"/>
    </row>
    <row r="14516" spans="7:7">
      <c r="G14516"/>
    </row>
    <row r="14517" spans="7:7">
      <c r="G14517"/>
    </row>
    <row r="14518" spans="7:7">
      <c r="G14518"/>
    </row>
    <row r="14519" spans="7:7">
      <c r="G14519"/>
    </row>
    <row r="14520" spans="7:7">
      <c r="G14520"/>
    </row>
    <row r="14521" spans="7:7">
      <c r="G14521"/>
    </row>
    <row r="14522" spans="7:7">
      <c r="G14522"/>
    </row>
    <row r="14523" spans="7:7">
      <c r="G14523"/>
    </row>
    <row r="14524" spans="7:7">
      <c r="G14524"/>
    </row>
    <row r="14525" spans="7:7">
      <c r="G14525"/>
    </row>
    <row r="14526" spans="7:7">
      <c r="G14526"/>
    </row>
    <row r="14527" spans="7:7">
      <c r="G14527"/>
    </row>
    <row r="14528" spans="7:7">
      <c r="G14528"/>
    </row>
    <row r="14529" spans="7:7">
      <c r="G14529"/>
    </row>
    <row r="14530" spans="7:7">
      <c r="G14530"/>
    </row>
    <row r="14531" spans="7:7">
      <c r="G14531"/>
    </row>
    <row r="14532" spans="7:7">
      <c r="G14532"/>
    </row>
    <row r="14533" spans="7:7">
      <c r="G14533"/>
    </row>
    <row r="14534" spans="7:7">
      <c r="G14534"/>
    </row>
    <row r="14535" spans="7:7">
      <c r="G14535"/>
    </row>
    <row r="14536" spans="7:7">
      <c r="G14536"/>
    </row>
    <row r="14537" spans="7:7">
      <c r="G14537"/>
    </row>
    <row r="14538" spans="7:7">
      <c r="G14538"/>
    </row>
    <row r="14539" spans="7:7">
      <c r="G14539"/>
    </row>
    <row r="14540" spans="7:7">
      <c r="G14540"/>
    </row>
    <row r="14541" spans="7:7">
      <c r="G14541"/>
    </row>
    <row r="14542" spans="7:7">
      <c r="G14542"/>
    </row>
    <row r="14543" spans="7:7">
      <c r="G14543"/>
    </row>
    <row r="14544" spans="7:7">
      <c r="G14544"/>
    </row>
    <row r="14545" spans="7:7">
      <c r="G14545"/>
    </row>
    <row r="14546" spans="7:7">
      <c r="G14546"/>
    </row>
    <row r="14547" spans="7:7">
      <c r="G14547"/>
    </row>
    <row r="14548" spans="7:7">
      <c r="G14548"/>
    </row>
    <row r="14549" spans="7:7">
      <c r="G14549"/>
    </row>
    <row r="14550" spans="7:7">
      <c r="G14550"/>
    </row>
    <row r="14551" spans="7:7">
      <c r="G14551"/>
    </row>
    <row r="14552" spans="7:7">
      <c r="G14552"/>
    </row>
    <row r="14553" spans="7:7">
      <c r="G14553"/>
    </row>
    <row r="14554" spans="7:7">
      <c r="G14554"/>
    </row>
    <row r="14555" spans="7:7">
      <c r="G14555"/>
    </row>
    <row r="14556" spans="7:7">
      <c r="G14556"/>
    </row>
    <row r="14557" spans="7:7">
      <c r="G14557"/>
    </row>
    <row r="14558" spans="7:7">
      <c r="G14558"/>
    </row>
    <row r="14559" spans="7:7">
      <c r="G14559"/>
    </row>
    <row r="14560" spans="7:7">
      <c r="G14560"/>
    </row>
    <row r="14561" spans="7:7">
      <c r="G14561"/>
    </row>
    <row r="14562" spans="7:7">
      <c r="G14562"/>
    </row>
    <row r="14563" spans="7:7">
      <c r="G14563"/>
    </row>
    <row r="14564" spans="7:7">
      <c r="G14564"/>
    </row>
    <row r="14565" spans="7:7">
      <c r="G14565"/>
    </row>
    <row r="14566" spans="7:7">
      <c r="G14566"/>
    </row>
    <row r="14567" spans="7:7">
      <c r="G14567"/>
    </row>
    <row r="14568" spans="7:7">
      <c r="G14568"/>
    </row>
    <row r="14569" spans="7:7">
      <c r="G14569"/>
    </row>
    <row r="14570" spans="7:7">
      <c r="G14570"/>
    </row>
    <row r="14571" spans="7:7">
      <c r="G14571"/>
    </row>
    <row r="14572" spans="7:7">
      <c r="G14572"/>
    </row>
    <row r="14573" spans="7:7">
      <c r="G14573"/>
    </row>
    <row r="14574" spans="7:7">
      <c r="G14574"/>
    </row>
    <row r="14575" spans="7:7">
      <c r="G14575"/>
    </row>
    <row r="14576" spans="7:7">
      <c r="G14576"/>
    </row>
    <row r="14577" spans="7:7">
      <c r="G14577"/>
    </row>
    <row r="14578" spans="7:7">
      <c r="G14578"/>
    </row>
    <row r="14579" spans="7:7">
      <c r="G14579"/>
    </row>
    <row r="14580" spans="7:7">
      <c r="G14580"/>
    </row>
    <row r="14581" spans="7:7">
      <c r="G14581"/>
    </row>
    <row r="14582" spans="7:7">
      <c r="G14582"/>
    </row>
    <row r="14583" spans="7:7">
      <c r="G14583"/>
    </row>
    <row r="14584" spans="7:7">
      <c r="G14584"/>
    </row>
    <row r="14585" spans="7:7">
      <c r="G14585"/>
    </row>
    <row r="14586" spans="7:7">
      <c r="G14586"/>
    </row>
    <row r="14587" spans="7:7">
      <c r="G14587"/>
    </row>
    <row r="14588" spans="7:7">
      <c r="G14588"/>
    </row>
    <row r="14589" spans="7:7">
      <c r="G14589"/>
    </row>
    <row r="14590" spans="7:7">
      <c r="G14590"/>
    </row>
    <row r="14591" spans="7:7">
      <c r="G14591"/>
    </row>
    <row r="14592" spans="7:7">
      <c r="G14592"/>
    </row>
    <row r="14593" spans="7:7">
      <c r="G14593"/>
    </row>
    <row r="14594" spans="7:7">
      <c r="G14594"/>
    </row>
    <row r="14595" spans="7:7">
      <c r="G14595"/>
    </row>
    <row r="14596" spans="7:7">
      <c r="G14596"/>
    </row>
    <row r="14597" spans="7:7">
      <c r="G14597"/>
    </row>
    <row r="14598" spans="7:7">
      <c r="G14598"/>
    </row>
    <row r="14599" spans="7:7">
      <c r="G14599"/>
    </row>
    <row r="14600" spans="7:7">
      <c r="G14600"/>
    </row>
    <row r="14601" spans="7:7">
      <c r="G14601"/>
    </row>
    <row r="14602" spans="7:7">
      <c r="G14602"/>
    </row>
    <row r="14603" spans="7:7">
      <c r="G14603"/>
    </row>
    <row r="14604" spans="7:7">
      <c r="G14604"/>
    </row>
    <row r="14605" spans="7:7">
      <c r="G14605"/>
    </row>
    <row r="14606" spans="7:7">
      <c r="G14606"/>
    </row>
    <row r="14607" spans="7:7">
      <c r="G14607"/>
    </row>
    <row r="14608" spans="7:7">
      <c r="G14608"/>
    </row>
    <row r="14609" spans="7:7">
      <c r="G14609"/>
    </row>
    <row r="14610" spans="7:7">
      <c r="G14610"/>
    </row>
    <row r="14611" spans="7:7">
      <c r="G14611"/>
    </row>
    <row r="14612" spans="7:7">
      <c r="G14612"/>
    </row>
    <row r="14613" spans="7:7">
      <c r="G14613"/>
    </row>
    <row r="14614" spans="7:7">
      <c r="G14614"/>
    </row>
    <row r="14615" spans="7:7">
      <c r="G14615"/>
    </row>
    <row r="14616" spans="7:7">
      <c r="G14616"/>
    </row>
    <row r="14617" spans="7:7">
      <c r="G14617"/>
    </row>
    <row r="14618" spans="7:7">
      <c r="G14618"/>
    </row>
    <row r="14619" spans="7:7">
      <c r="G14619"/>
    </row>
    <row r="14620" spans="7:7">
      <c r="G14620"/>
    </row>
    <row r="14621" spans="7:7">
      <c r="G14621"/>
    </row>
    <row r="14622" spans="7:7">
      <c r="G14622"/>
    </row>
    <row r="14623" spans="7:7">
      <c r="G14623"/>
    </row>
    <row r="14624" spans="7:7">
      <c r="G14624"/>
    </row>
    <row r="14625" spans="7:7">
      <c r="G14625"/>
    </row>
    <row r="14626" spans="7:7">
      <c r="G14626"/>
    </row>
    <row r="14627" spans="7:7">
      <c r="G14627"/>
    </row>
    <row r="14628" spans="7:7">
      <c r="G14628"/>
    </row>
    <row r="14629" spans="7:7">
      <c r="G14629"/>
    </row>
    <row r="14630" spans="7:7">
      <c r="G14630"/>
    </row>
    <row r="14631" spans="7:7">
      <c r="G14631"/>
    </row>
    <row r="14632" spans="7:7">
      <c r="G14632"/>
    </row>
    <row r="14633" spans="7:7">
      <c r="G14633"/>
    </row>
    <row r="14634" spans="7:7">
      <c r="G14634"/>
    </row>
    <row r="14635" spans="7:7">
      <c r="G14635"/>
    </row>
    <row r="14636" spans="7:7">
      <c r="G14636"/>
    </row>
    <row r="14637" spans="7:7">
      <c r="G14637"/>
    </row>
    <row r="14638" spans="7:7">
      <c r="G14638"/>
    </row>
    <row r="14639" spans="7:7">
      <c r="G14639"/>
    </row>
    <row r="14640" spans="7:7">
      <c r="G14640"/>
    </row>
    <row r="14641" spans="7:7">
      <c r="G14641"/>
    </row>
    <row r="14642" spans="7:7">
      <c r="G14642"/>
    </row>
    <row r="14643" spans="7:7">
      <c r="G14643"/>
    </row>
    <row r="14644" spans="7:7">
      <c r="G14644"/>
    </row>
    <row r="14645" spans="7:7">
      <c r="G14645"/>
    </row>
    <row r="14646" spans="7:7">
      <c r="G14646"/>
    </row>
    <row r="14647" spans="7:7">
      <c r="G14647"/>
    </row>
    <row r="14648" spans="7:7">
      <c r="G14648"/>
    </row>
    <row r="14649" spans="7:7">
      <c r="G14649"/>
    </row>
    <row r="14650" spans="7:7">
      <c r="G14650"/>
    </row>
    <row r="14651" spans="7:7">
      <c r="G14651"/>
    </row>
    <row r="14652" spans="7:7">
      <c r="G14652"/>
    </row>
    <row r="14653" spans="7:7">
      <c r="G14653"/>
    </row>
    <row r="14654" spans="7:7">
      <c r="G14654"/>
    </row>
    <row r="14655" spans="7:7">
      <c r="G14655"/>
    </row>
    <row r="14656" spans="7:7">
      <c r="G14656"/>
    </row>
    <row r="14657" spans="7:7">
      <c r="G14657"/>
    </row>
    <row r="14658" spans="7:7">
      <c r="G14658"/>
    </row>
    <row r="14659" spans="7:7">
      <c r="G14659"/>
    </row>
    <row r="14660" spans="7:7">
      <c r="G14660"/>
    </row>
    <row r="14661" spans="7:7">
      <c r="G14661"/>
    </row>
    <row r="14662" spans="7:7">
      <c r="G14662"/>
    </row>
    <row r="14663" spans="7:7">
      <c r="G14663"/>
    </row>
    <row r="14664" spans="7:7">
      <c r="G14664"/>
    </row>
    <row r="14665" spans="7:7">
      <c r="G14665"/>
    </row>
    <row r="14666" spans="7:7">
      <c r="G14666"/>
    </row>
    <row r="14667" spans="7:7">
      <c r="G14667"/>
    </row>
    <row r="14668" spans="7:7">
      <c r="G14668"/>
    </row>
    <row r="14669" spans="7:7">
      <c r="G14669"/>
    </row>
    <row r="14670" spans="7:7">
      <c r="G14670"/>
    </row>
    <row r="14671" spans="7:7">
      <c r="G14671"/>
    </row>
    <row r="14672" spans="7:7">
      <c r="G14672"/>
    </row>
    <row r="14673" spans="7:7">
      <c r="G14673"/>
    </row>
    <row r="14674" spans="7:7">
      <c r="G14674"/>
    </row>
    <row r="14675" spans="7:7">
      <c r="G14675"/>
    </row>
    <row r="14676" spans="7:7">
      <c r="G14676"/>
    </row>
    <row r="14677" spans="7:7">
      <c r="G14677"/>
    </row>
    <row r="14678" spans="7:7">
      <c r="G14678"/>
    </row>
    <row r="14679" spans="7:7">
      <c r="G14679"/>
    </row>
    <row r="14680" spans="7:7">
      <c r="G14680"/>
    </row>
    <row r="14681" spans="7:7">
      <c r="G14681"/>
    </row>
    <row r="14682" spans="7:7">
      <c r="G14682"/>
    </row>
    <row r="14683" spans="7:7">
      <c r="G14683"/>
    </row>
    <row r="14684" spans="7:7">
      <c r="G14684"/>
    </row>
    <row r="14685" spans="7:7">
      <c r="G14685"/>
    </row>
    <row r="14686" spans="7:7">
      <c r="G14686"/>
    </row>
    <row r="14687" spans="7:7">
      <c r="G14687"/>
    </row>
    <row r="14688" spans="7:7">
      <c r="G14688"/>
    </row>
    <row r="14689" spans="7:7">
      <c r="G14689"/>
    </row>
    <row r="14690" spans="7:7">
      <c r="G14690"/>
    </row>
    <row r="14691" spans="7:7">
      <c r="G14691"/>
    </row>
    <row r="14692" spans="7:7">
      <c r="G14692"/>
    </row>
    <row r="14693" spans="7:7">
      <c r="G14693"/>
    </row>
    <row r="14694" spans="7:7">
      <c r="G14694"/>
    </row>
    <row r="14695" spans="7:7">
      <c r="G14695"/>
    </row>
    <row r="14696" spans="7:7">
      <c r="G14696"/>
    </row>
    <row r="14697" spans="7:7">
      <c r="G14697"/>
    </row>
    <row r="14698" spans="7:7">
      <c r="G14698"/>
    </row>
    <row r="14699" spans="7:7">
      <c r="G14699"/>
    </row>
    <row r="14700" spans="7:7">
      <c r="G14700"/>
    </row>
    <row r="14701" spans="7:7">
      <c r="G14701"/>
    </row>
    <row r="14702" spans="7:7">
      <c r="G14702"/>
    </row>
    <row r="14703" spans="7:7">
      <c r="G14703"/>
    </row>
    <row r="14704" spans="7:7">
      <c r="G14704"/>
    </row>
    <row r="14705" spans="7:7">
      <c r="G14705"/>
    </row>
    <row r="14706" spans="7:7">
      <c r="G14706"/>
    </row>
    <row r="14707" spans="7:7">
      <c r="G14707"/>
    </row>
    <row r="14708" spans="7:7">
      <c r="G14708"/>
    </row>
    <row r="14709" spans="7:7">
      <c r="G14709"/>
    </row>
    <row r="14710" spans="7:7">
      <c r="G14710"/>
    </row>
    <row r="14711" spans="7:7">
      <c r="G14711"/>
    </row>
    <row r="14712" spans="7:7">
      <c r="G14712"/>
    </row>
    <row r="14713" spans="7:7">
      <c r="G14713"/>
    </row>
    <row r="14714" spans="7:7">
      <c r="G14714"/>
    </row>
    <row r="14715" spans="7:7">
      <c r="G14715"/>
    </row>
    <row r="14716" spans="7:7">
      <c r="G14716"/>
    </row>
    <row r="14717" spans="7:7">
      <c r="G14717"/>
    </row>
    <row r="14718" spans="7:7">
      <c r="G14718"/>
    </row>
    <row r="14719" spans="7:7">
      <c r="G14719"/>
    </row>
    <row r="14720" spans="7:7">
      <c r="G14720"/>
    </row>
    <row r="14721" spans="7:7">
      <c r="G14721"/>
    </row>
    <row r="14722" spans="7:7">
      <c r="G14722"/>
    </row>
    <row r="14723" spans="7:7">
      <c r="G14723"/>
    </row>
    <row r="14724" spans="7:7">
      <c r="G14724"/>
    </row>
    <row r="14725" spans="7:7">
      <c r="G14725"/>
    </row>
    <row r="14726" spans="7:7">
      <c r="G14726"/>
    </row>
    <row r="14727" spans="7:7">
      <c r="G14727"/>
    </row>
    <row r="14728" spans="7:7">
      <c r="G14728"/>
    </row>
    <row r="14729" spans="7:7">
      <c r="G14729"/>
    </row>
    <row r="14730" spans="7:7">
      <c r="G14730"/>
    </row>
    <row r="14731" spans="7:7">
      <c r="G14731"/>
    </row>
    <row r="14732" spans="7:7">
      <c r="G14732"/>
    </row>
    <row r="14733" spans="7:7">
      <c r="G14733"/>
    </row>
    <row r="14734" spans="7:7">
      <c r="G14734"/>
    </row>
    <row r="14735" spans="7:7">
      <c r="G14735"/>
    </row>
    <row r="14736" spans="7:7">
      <c r="G14736"/>
    </row>
    <row r="14737" spans="7:7">
      <c r="G14737"/>
    </row>
    <row r="14738" spans="7:7">
      <c r="G14738"/>
    </row>
    <row r="14739" spans="7:7">
      <c r="G14739"/>
    </row>
    <row r="14740" spans="7:7">
      <c r="G14740"/>
    </row>
    <row r="14741" spans="7:7">
      <c r="G14741"/>
    </row>
    <row r="14742" spans="7:7">
      <c r="G14742"/>
    </row>
    <row r="14743" spans="7:7">
      <c r="G14743"/>
    </row>
    <row r="14744" spans="7:7">
      <c r="G14744"/>
    </row>
    <row r="14745" spans="7:7">
      <c r="G14745"/>
    </row>
    <row r="14746" spans="7:7">
      <c r="G14746"/>
    </row>
    <row r="14747" spans="7:7">
      <c r="G14747"/>
    </row>
    <row r="14748" spans="7:7">
      <c r="G14748"/>
    </row>
    <row r="14749" spans="7:7">
      <c r="G14749"/>
    </row>
    <row r="14750" spans="7:7">
      <c r="G14750"/>
    </row>
    <row r="14751" spans="7:7">
      <c r="G14751"/>
    </row>
    <row r="14752" spans="7:7">
      <c r="G14752"/>
    </row>
    <row r="14753" spans="7:7">
      <c r="G14753"/>
    </row>
    <row r="14754" spans="7:7">
      <c r="G14754"/>
    </row>
    <row r="14755" spans="7:7">
      <c r="G14755"/>
    </row>
    <row r="14756" spans="7:7">
      <c r="G14756"/>
    </row>
    <row r="14757" spans="7:7">
      <c r="G14757"/>
    </row>
    <row r="14758" spans="7:7">
      <c r="G14758"/>
    </row>
    <row r="14759" spans="7:7">
      <c r="G14759"/>
    </row>
    <row r="14760" spans="7:7">
      <c r="G14760"/>
    </row>
    <row r="14761" spans="7:7">
      <c r="G14761"/>
    </row>
    <row r="14762" spans="7:7">
      <c r="G14762"/>
    </row>
    <row r="14763" spans="7:7">
      <c r="G14763"/>
    </row>
    <row r="14764" spans="7:7">
      <c r="G14764"/>
    </row>
    <row r="14765" spans="7:7">
      <c r="G14765"/>
    </row>
    <row r="14766" spans="7:7">
      <c r="G14766"/>
    </row>
    <row r="14767" spans="7:7">
      <c r="G14767"/>
    </row>
    <row r="14768" spans="7:7">
      <c r="G14768"/>
    </row>
    <row r="14769" spans="7:7">
      <c r="G14769"/>
    </row>
    <row r="14770" spans="7:7">
      <c r="G14770"/>
    </row>
    <row r="14771" spans="7:7">
      <c r="G14771"/>
    </row>
    <row r="14772" spans="7:7">
      <c r="G14772"/>
    </row>
    <row r="14773" spans="7:7">
      <c r="G14773"/>
    </row>
    <row r="14774" spans="7:7">
      <c r="G14774"/>
    </row>
    <row r="14775" spans="7:7">
      <c r="G14775"/>
    </row>
    <row r="14776" spans="7:7">
      <c r="G14776"/>
    </row>
    <row r="14777" spans="7:7">
      <c r="G14777"/>
    </row>
    <row r="14778" spans="7:7">
      <c r="G14778"/>
    </row>
    <row r="14779" spans="7:7">
      <c r="G14779"/>
    </row>
    <row r="14780" spans="7:7">
      <c r="G14780"/>
    </row>
    <row r="14781" spans="7:7">
      <c r="G14781"/>
    </row>
    <row r="14782" spans="7:7">
      <c r="G14782"/>
    </row>
    <row r="14783" spans="7:7">
      <c r="G14783"/>
    </row>
    <row r="14784" spans="7:7">
      <c r="G14784"/>
    </row>
    <row r="14785" spans="7:7">
      <c r="G14785"/>
    </row>
    <row r="14786" spans="7:7">
      <c r="G14786"/>
    </row>
    <row r="14787" spans="7:7">
      <c r="G14787"/>
    </row>
    <row r="14788" spans="7:7">
      <c r="G14788"/>
    </row>
    <row r="14789" spans="7:7">
      <c r="G14789"/>
    </row>
    <row r="14790" spans="7:7">
      <c r="G14790"/>
    </row>
    <row r="14791" spans="7:7">
      <c r="G14791"/>
    </row>
    <row r="14792" spans="7:7">
      <c r="G14792"/>
    </row>
    <row r="14793" spans="7:7">
      <c r="G14793"/>
    </row>
    <row r="14794" spans="7:7">
      <c r="G14794"/>
    </row>
    <row r="14795" spans="7:7">
      <c r="G14795"/>
    </row>
    <row r="14796" spans="7:7">
      <c r="G14796"/>
    </row>
    <row r="14797" spans="7:7">
      <c r="G14797"/>
    </row>
    <row r="14798" spans="7:7">
      <c r="G14798"/>
    </row>
    <row r="14799" spans="7:7">
      <c r="G14799"/>
    </row>
    <row r="14800" spans="7:7">
      <c r="G14800"/>
    </row>
    <row r="14801" spans="7:7">
      <c r="G14801"/>
    </row>
    <row r="14802" spans="7:7">
      <c r="G14802"/>
    </row>
    <row r="14803" spans="7:7">
      <c r="G14803"/>
    </row>
    <row r="14804" spans="7:7">
      <c r="G14804"/>
    </row>
    <row r="14805" spans="7:7">
      <c r="G14805"/>
    </row>
    <row r="14806" spans="7:7">
      <c r="G14806"/>
    </row>
    <row r="14807" spans="7:7">
      <c r="G14807"/>
    </row>
    <row r="14808" spans="7:7">
      <c r="G14808"/>
    </row>
    <row r="14809" spans="7:7">
      <c r="G14809"/>
    </row>
    <row r="14810" spans="7:7">
      <c r="G14810"/>
    </row>
    <row r="14811" spans="7:7">
      <c r="G14811"/>
    </row>
    <row r="14812" spans="7:7">
      <c r="G14812"/>
    </row>
    <row r="14813" spans="7:7">
      <c r="G14813"/>
    </row>
    <row r="14814" spans="7:7">
      <c r="G14814"/>
    </row>
    <row r="14815" spans="7:7">
      <c r="G14815"/>
    </row>
    <row r="14816" spans="7:7">
      <c r="G14816"/>
    </row>
    <row r="14817" spans="7:7">
      <c r="G14817"/>
    </row>
    <row r="14818" spans="7:7">
      <c r="G14818"/>
    </row>
    <row r="14819" spans="7:7">
      <c r="G14819"/>
    </row>
    <row r="14820" spans="7:7">
      <c r="G14820"/>
    </row>
    <row r="14821" spans="7:7">
      <c r="G14821"/>
    </row>
    <row r="14822" spans="7:7">
      <c r="G14822"/>
    </row>
    <row r="14823" spans="7:7">
      <c r="G14823"/>
    </row>
    <row r="14824" spans="7:7">
      <c r="G14824"/>
    </row>
    <row r="14825" spans="7:7">
      <c r="G14825"/>
    </row>
    <row r="14826" spans="7:7">
      <c r="G14826"/>
    </row>
    <row r="14827" spans="7:7">
      <c r="G14827"/>
    </row>
    <row r="14828" spans="7:7">
      <c r="G14828"/>
    </row>
    <row r="14829" spans="7:7">
      <c r="G14829"/>
    </row>
    <row r="14830" spans="7:7">
      <c r="G14830"/>
    </row>
    <row r="14831" spans="7:7">
      <c r="G14831"/>
    </row>
    <row r="14832" spans="7:7">
      <c r="G14832"/>
    </row>
    <row r="14833" spans="7:7">
      <c r="G14833"/>
    </row>
    <row r="14834" spans="7:7">
      <c r="G14834"/>
    </row>
    <row r="14835" spans="7:7">
      <c r="G14835"/>
    </row>
    <row r="14836" spans="7:7">
      <c r="G14836"/>
    </row>
    <row r="14837" spans="7:7">
      <c r="G14837"/>
    </row>
    <row r="14838" spans="7:7">
      <c r="G14838"/>
    </row>
    <row r="14839" spans="7:7">
      <c r="G14839"/>
    </row>
    <row r="14840" spans="7:7">
      <c r="G14840"/>
    </row>
    <row r="14841" spans="7:7">
      <c r="G14841"/>
    </row>
    <row r="14842" spans="7:7">
      <c r="G14842"/>
    </row>
    <row r="14843" spans="7:7">
      <c r="G14843"/>
    </row>
    <row r="14844" spans="7:7">
      <c r="G14844"/>
    </row>
    <row r="14845" spans="7:7">
      <c r="G14845"/>
    </row>
    <row r="14846" spans="7:7">
      <c r="G14846"/>
    </row>
    <row r="14847" spans="7:7">
      <c r="G14847"/>
    </row>
    <row r="14848" spans="7:7">
      <c r="G14848"/>
    </row>
    <row r="14849" spans="7:7">
      <c r="G14849"/>
    </row>
    <row r="14850" spans="7:7">
      <c r="G14850"/>
    </row>
    <row r="14851" spans="7:7">
      <c r="G14851"/>
    </row>
    <row r="14852" spans="7:7">
      <c r="G14852"/>
    </row>
    <row r="14853" spans="7:7">
      <c r="G14853"/>
    </row>
    <row r="14854" spans="7:7">
      <c r="G14854"/>
    </row>
    <row r="14855" spans="7:7">
      <c r="G14855"/>
    </row>
    <row r="14856" spans="7:7">
      <c r="G14856"/>
    </row>
    <row r="14857" spans="7:7">
      <c r="G14857"/>
    </row>
    <row r="14858" spans="7:7">
      <c r="G14858"/>
    </row>
    <row r="14859" spans="7:7">
      <c r="G14859"/>
    </row>
    <row r="14860" spans="7:7">
      <c r="G14860"/>
    </row>
    <row r="14861" spans="7:7">
      <c r="G14861"/>
    </row>
    <row r="14862" spans="7:7">
      <c r="G14862"/>
    </row>
    <row r="14863" spans="7:7">
      <c r="G14863"/>
    </row>
    <row r="14864" spans="7:7">
      <c r="G14864"/>
    </row>
    <row r="14865" spans="7:7">
      <c r="G14865"/>
    </row>
    <row r="14866" spans="7:7">
      <c r="G14866"/>
    </row>
    <row r="14867" spans="7:7">
      <c r="G14867"/>
    </row>
    <row r="14868" spans="7:7">
      <c r="G14868"/>
    </row>
    <row r="14869" spans="7:7">
      <c r="G14869"/>
    </row>
    <row r="14870" spans="7:7">
      <c r="G14870"/>
    </row>
    <row r="14871" spans="7:7">
      <c r="G14871"/>
    </row>
    <row r="14872" spans="7:7">
      <c r="G14872"/>
    </row>
    <row r="14873" spans="7:7">
      <c r="G14873"/>
    </row>
    <row r="14874" spans="7:7">
      <c r="G14874"/>
    </row>
    <row r="14875" spans="7:7">
      <c r="G14875"/>
    </row>
    <row r="14876" spans="7:7">
      <c r="G14876"/>
    </row>
    <row r="14877" spans="7:7">
      <c r="G14877"/>
    </row>
    <row r="14878" spans="7:7">
      <c r="G14878"/>
    </row>
    <row r="14879" spans="7:7">
      <c r="G14879"/>
    </row>
    <row r="14880" spans="7:7">
      <c r="G14880"/>
    </row>
    <row r="14881" spans="7:7">
      <c r="G14881"/>
    </row>
    <row r="14882" spans="7:7">
      <c r="G14882"/>
    </row>
    <row r="14883" spans="7:7">
      <c r="G14883"/>
    </row>
    <row r="14884" spans="7:7">
      <c r="G14884"/>
    </row>
    <row r="14885" spans="7:7">
      <c r="G14885"/>
    </row>
    <row r="14886" spans="7:7">
      <c r="G14886"/>
    </row>
    <row r="14887" spans="7:7">
      <c r="G14887"/>
    </row>
    <row r="14888" spans="7:7">
      <c r="G14888"/>
    </row>
    <row r="14889" spans="7:7">
      <c r="G14889"/>
    </row>
    <row r="14890" spans="7:7">
      <c r="G14890"/>
    </row>
    <row r="14891" spans="7:7">
      <c r="G14891"/>
    </row>
    <row r="14892" spans="7:7">
      <c r="G14892"/>
    </row>
    <row r="14893" spans="7:7">
      <c r="G14893"/>
    </row>
    <row r="14894" spans="7:7">
      <c r="G14894"/>
    </row>
    <row r="14895" spans="7:7">
      <c r="G14895"/>
    </row>
    <row r="14896" spans="7:7">
      <c r="G14896"/>
    </row>
    <row r="14897" spans="7:7">
      <c r="G14897"/>
    </row>
    <row r="14898" spans="7:7">
      <c r="G14898"/>
    </row>
    <row r="14899" spans="7:7">
      <c r="G14899"/>
    </row>
    <row r="14900" spans="7:7">
      <c r="G14900"/>
    </row>
    <row r="14901" spans="7:7">
      <c r="G14901"/>
    </row>
    <row r="14902" spans="7:7">
      <c r="G14902"/>
    </row>
    <row r="14903" spans="7:7">
      <c r="G14903"/>
    </row>
    <row r="14904" spans="7:7">
      <c r="G14904"/>
    </row>
    <row r="14905" spans="7:7">
      <c r="G14905"/>
    </row>
    <row r="14906" spans="7:7">
      <c r="G14906"/>
    </row>
    <row r="14907" spans="7:7">
      <c r="G14907"/>
    </row>
    <row r="14908" spans="7:7">
      <c r="G14908"/>
    </row>
    <row r="14909" spans="7:7">
      <c r="G14909"/>
    </row>
    <row r="14910" spans="7:7">
      <c r="G14910"/>
    </row>
    <row r="14911" spans="7:7">
      <c r="G14911"/>
    </row>
    <row r="14912" spans="7:7">
      <c r="G14912"/>
    </row>
    <row r="14913" spans="7:7">
      <c r="G14913"/>
    </row>
    <row r="14914" spans="7:7">
      <c r="G14914"/>
    </row>
    <row r="14915" spans="7:7">
      <c r="G14915"/>
    </row>
    <row r="14916" spans="7:7">
      <c r="G14916"/>
    </row>
    <row r="14917" spans="7:7">
      <c r="G14917"/>
    </row>
    <row r="14918" spans="7:7">
      <c r="G14918"/>
    </row>
    <row r="14919" spans="7:7">
      <c r="G14919"/>
    </row>
    <row r="14920" spans="7:7">
      <c r="G14920"/>
    </row>
    <row r="14921" spans="7:7">
      <c r="G14921"/>
    </row>
    <row r="14922" spans="7:7">
      <c r="G14922"/>
    </row>
    <row r="14923" spans="7:7">
      <c r="G14923"/>
    </row>
    <row r="14924" spans="7:7">
      <c r="G14924"/>
    </row>
    <row r="14925" spans="7:7">
      <c r="G14925"/>
    </row>
    <row r="14926" spans="7:7">
      <c r="G14926"/>
    </row>
    <row r="14927" spans="7:7">
      <c r="G14927"/>
    </row>
    <row r="14928" spans="7:7">
      <c r="G14928"/>
    </row>
    <row r="14929" spans="7:7">
      <c r="G14929"/>
    </row>
    <row r="14930" spans="7:7">
      <c r="G14930"/>
    </row>
    <row r="14931" spans="7:7">
      <c r="G14931"/>
    </row>
    <row r="14932" spans="7:7">
      <c r="G14932"/>
    </row>
    <row r="14933" spans="7:7">
      <c r="G14933"/>
    </row>
    <row r="14934" spans="7:7">
      <c r="G14934"/>
    </row>
    <row r="14935" spans="7:7">
      <c r="G14935"/>
    </row>
    <row r="14936" spans="7:7">
      <c r="G14936"/>
    </row>
    <row r="14937" spans="7:7">
      <c r="G14937"/>
    </row>
    <row r="14938" spans="7:7">
      <c r="G14938"/>
    </row>
    <row r="14939" spans="7:7">
      <c r="G14939"/>
    </row>
    <row r="14940" spans="7:7">
      <c r="G14940"/>
    </row>
    <row r="14941" spans="7:7">
      <c r="G14941"/>
    </row>
    <row r="14942" spans="7:7">
      <c r="G14942"/>
    </row>
    <row r="14943" spans="7:7">
      <c r="G14943"/>
    </row>
    <row r="14944" spans="7:7">
      <c r="G14944"/>
    </row>
    <row r="14945" spans="7:7">
      <c r="G14945"/>
    </row>
    <row r="14946" spans="7:7">
      <c r="G14946"/>
    </row>
    <row r="14947" spans="7:7">
      <c r="G14947"/>
    </row>
    <row r="14948" spans="7:7">
      <c r="G14948"/>
    </row>
    <row r="14949" spans="7:7">
      <c r="G14949"/>
    </row>
    <row r="14950" spans="7:7">
      <c r="G14950"/>
    </row>
    <row r="14951" spans="7:7">
      <c r="G14951"/>
    </row>
    <row r="14952" spans="7:7">
      <c r="G14952"/>
    </row>
    <row r="14953" spans="7:7">
      <c r="G14953"/>
    </row>
    <row r="14954" spans="7:7">
      <c r="G14954"/>
    </row>
    <row r="14955" spans="7:7">
      <c r="G14955"/>
    </row>
    <row r="14956" spans="7:7">
      <c r="G14956"/>
    </row>
    <row r="14957" spans="7:7">
      <c r="G14957"/>
    </row>
    <row r="14958" spans="7:7">
      <c r="G14958"/>
    </row>
    <row r="14959" spans="7:7">
      <c r="G14959"/>
    </row>
    <row r="14960" spans="7:7">
      <c r="G14960"/>
    </row>
    <row r="14961" spans="7:7">
      <c r="G14961"/>
    </row>
    <row r="14962" spans="7:7">
      <c r="G14962"/>
    </row>
    <row r="14963" spans="7:7">
      <c r="G14963"/>
    </row>
    <row r="14964" spans="7:7">
      <c r="G14964"/>
    </row>
    <row r="14965" spans="7:7">
      <c r="G14965"/>
    </row>
    <row r="14966" spans="7:7">
      <c r="G14966"/>
    </row>
    <row r="14967" spans="7:7">
      <c r="G14967"/>
    </row>
    <row r="14968" spans="7:7">
      <c r="G14968"/>
    </row>
    <row r="14969" spans="7:7">
      <c r="G14969"/>
    </row>
    <row r="14970" spans="7:7">
      <c r="G14970"/>
    </row>
    <row r="14971" spans="7:7">
      <c r="G14971"/>
    </row>
    <row r="14972" spans="7:7">
      <c r="G14972"/>
    </row>
    <row r="14973" spans="7:7">
      <c r="G14973"/>
    </row>
    <row r="14974" spans="7:7">
      <c r="G14974"/>
    </row>
    <row r="14975" spans="7:7">
      <c r="G14975"/>
    </row>
    <row r="14976" spans="7:7">
      <c r="G14976"/>
    </row>
    <row r="14977" spans="7:7">
      <c r="G14977"/>
    </row>
    <row r="14978" spans="7:7">
      <c r="G14978"/>
    </row>
    <row r="14979" spans="7:7">
      <c r="G14979"/>
    </row>
    <row r="14980" spans="7:7">
      <c r="G14980"/>
    </row>
    <row r="14981" spans="7:7">
      <c r="G14981"/>
    </row>
    <row r="14982" spans="7:7">
      <c r="G14982"/>
    </row>
    <row r="14983" spans="7:7">
      <c r="G14983"/>
    </row>
    <row r="14984" spans="7:7">
      <c r="G14984"/>
    </row>
    <row r="14985" spans="7:7">
      <c r="G14985"/>
    </row>
    <row r="14986" spans="7:7">
      <c r="G14986"/>
    </row>
    <row r="14987" spans="7:7">
      <c r="G14987"/>
    </row>
    <row r="14988" spans="7:7">
      <c r="G14988"/>
    </row>
    <row r="14989" spans="7:7">
      <c r="G14989"/>
    </row>
    <row r="14990" spans="7:7">
      <c r="G14990"/>
    </row>
    <row r="14991" spans="7:7">
      <c r="G14991"/>
    </row>
    <row r="14992" spans="7:7">
      <c r="G14992"/>
    </row>
    <row r="14993" spans="7:7">
      <c r="G14993"/>
    </row>
    <row r="14994" spans="7:7">
      <c r="G14994"/>
    </row>
    <row r="14995" spans="7:7">
      <c r="G14995"/>
    </row>
    <row r="14996" spans="7:7">
      <c r="G14996"/>
    </row>
    <row r="14997" spans="7:7">
      <c r="G14997"/>
    </row>
    <row r="14998" spans="7:7">
      <c r="G14998"/>
    </row>
    <row r="14999" spans="7:7">
      <c r="G14999"/>
    </row>
    <row r="15000" spans="7:7">
      <c r="G15000"/>
    </row>
    <row r="15001" spans="7:7">
      <c r="G15001"/>
    </row>
    <row r="15002" spans="7:7">
      <c r="G15002"/>
    </row>
    <row r="15003" spans="7:7">
      <c r="G15003"/>
    </row>
    <row r="15004" spans="7:7">
      <c r="G15004"/>
    </row>
    <row r="15005" spans="7:7">
      <c r="G15005"/>
    </row>
    <row r="15006" spans="7:7">
      <c r="G15006"/>
    </row>
    <row r="15007" spans="7:7">
      <c r="G15007"/>
    </row>
    <row r="15008" spans="7:7">
      <c r="G15008"/>
    </row>
    <row r="15009" spans="7:7">
      <c r="G15009"/>
    </row>
    <row r="15010" spans="7:7">
      <c r="G15010"/>
    </row>
    <row r="15011" spans="7:7">
      <c r="G15011"/>
    </row>
    <row r="15012" spans="7:7">
      <c r="G15012"/>
    </row>
    <row r="15013" spans="7:7">
      <c r="G15013"/>
    </row>
    <row r="15014" spans="7:7">
      <c r="G15014"/>
    </row>
    <row r="15015" spans="7:7">
      <c r="G15015"/>
    </row>
    <row r="15016" spans="7:7">
      <c r="G15016"/>
    </row>
    <row r="15017" spans="7:7">
      <c r="G15017"/>
    </row>
    <row r="15018" spans="7:7">
      <c r="G15018"/>
    </row>
    <row r="15019" spans="7:7">
      <c r="G15019"/>
    </row>
    <row r="15020" spans="7:7">
      <c r="G15020"/>
    </row>
    <row r="15021" spans="7:7">
      <c r="G15021"/>
    </row>
    <row r="15022" spans="7:7">
      <c r="G15022"/>
    </row>
    <row r="15023" spans="7:7">
      <c r="G15023"/>
    </row>
    <row r="15024" spans="7:7">
      <c r="G15024"/>
    </row>
    <row r="15025" spans="7:7">
      <c r="G15025"/>
    </row>
    <row r="15026" spans="7:7">
      <c r="G15026"/>
    </row>
    <row r="15027" spans="7:7">
      <c r="G15027"/>
    </row>
    <row r="15028" spans="7:7">
      <c r="G15028"/>
    </row>
    <row r="15029" spans="7:7">
      <c r="G15029"/>
    </row>
    <row r="15030" spans="7:7">
      <c r="G15030"/>
    </row>
    <row r="15031" spans="7:7">
      <c r="G15031"/>
    </row>
    <row r="15032" spans="7:7">
      <c r="G15032"/>
    </row>
    <row r="15033" spans="7:7">
      <c r="G15033"/>
    </row>
    <row r="15034" spans="7:7">
      <c r="G15034"/>
    </row>
    <row r="15035" spans="7:7">
      <c r="G15035"/>
    </row>
    <row r="15036" spans="7:7">
      <c r="G15036"/>
    </row>
    <row r="15037" spans="7:7">
      <c r="G15037"/>
    </row>
    <row r="15038" spans="7:7">
      <c r="G15038"/>
    </row>
    <row r="15039" spans="7:7">
      <c r="G15039"/>
    </row>
    <row r="15040" spans="7:7">
      <c r="G15040"/>
    </row>
    <row r="15041" spans="7:7">
      <c r="G15041"/>
    </row>
    <row r="15042" spans="7:7">
      <c r="G15042"/>
    </row>
    <row r="15043" spans="7:7">
      <c r="G15043"/>
    </row>
    <row r="15044" spans="7:7">
      <c r="G15044"/>
    </row>
    <row r="15045" spans="7:7">
      <c r="G15045"/>
    </row>
    <row r="15046" spans="7:7">
      <c r="G15046"/>
    </row>
    <row r="15047" spans="7:7">
      <c r="G15047"/>
    </row>
    <row r="15048" spans="7:7">
      <c r="G15048"/>
    </row>
    <row r="15049" spans="7:7">
      <c r="G15049"/>
    </row>
    <row r="15050" spans="7:7">
      <c r="G15050"/>
    </row>
    <row r="15051" spans="7:7">
      <c r="G15051"/>
    </row>
    <row r="15052" spans="7:7">
      <c r="G15052"/>
    </row>
    <row r="15053" spans="7:7">
      <c r="G15053"/>
    </row>
    <row r="15054" spans="7:7">
      <c r="G15054"/>
    </row>
    <row r="15055" spans="7:7">
      <c r="G15055"/>
    </row>
    <row r="15056" spans="7:7">
      <c r="G15056"/>
    </row>
    <row r="15057" spans="7:7">
      <c r="G15057"/>
    </row>
    <row r="15058" spans="7:7">
      <c r="G15058"/>
    </row>
    <row r="15059" spans="7:7">
      <c r="G15059"/>
    </row>
    <row r="15060" spans="7:7">
      <c r="G15060"/>
    </row>
    <row r="15061" spans="7:7">
      <c r="G15061"/>
    </row>
    <row r="15062" spans="7:7">
      <c r="G15062"/>
    </row>
    <row r="15063" spans="7:7">
      <c r="G15063"/>
    </row>
    <row r="15064" spans="7:7">
      <c r="G15064"/>
    </row>
    <row r="15065" spans="7:7">
      <c r="G15065"/>
    </row>
    <row r="15066" spans="7:7">
      <c r="G15066"/>
    </row>
    <row r="15067" spans="7:7">
      <c r="G15067"/>
    </row>
    <row r="15068" spans="7:7">
      <c r="G15068"/>
    </row>
    <row r="15069" spans="7:7">
      <c r="G15069"/>
    </row>
    <row r="15070" spans="7:7">
      <c r="G15070"/>
    </row>
    <row r="15071" spans="7:7">
      <c r="G15071"/>
    </row>
    <row r="15072" spans="7:7">
      <c r="G15072"/>
    </row>
    <row r="15073" spans="7:7">
      <c r="G15073"/>
    </row>
    <row r="15074" spans="7:7">
      <c r="G15074"/>
    </row>
    <row r="15075" spans="7:7">
      <c r="G15075"/>
    </row>
    <row r="15076" spans="7:7">
      <c r="G15076"/>
    </row>
    <row r="15077" spans="7:7">
      <c r="G15077"/>
    </row>
    <row r="15078" spans="7:7">
      <c r="G15078"/>
    </row>
    <row r="15079" spans="7:7">
      <c r="G15079"/>
    </row>
    <row r="15080" spans="7:7">
      <c r="G15080"/>
    </row>
    <row r="15081" spans="7:7">
      <c r="G15081"/>
    </row>
    <row r="15082" spans="7:7">
      <c r="G15082"/>
    </row>
    <row r="15083" spans="7:7">
      <c r="G15083"/>
    </row>
    <row r="15084" spans="7:7">
      <c r="G15084"/>
    </row>
    <row r="15085" spans="7:7">
      <c r="G15085"/>
    </row>
    <row r="15086" spans="7:7">
      <c r="G15086"/>
    </row>
    <row r="15087" spans="7:7">
      <c r="G15087"/>
    </row>
    <row r="15088" spans="7:7">
      <c r="G15088"/>
    </row>
    <row r="15089" spans="7:7">
      <c r="G15089"/>
    </row>
    <row r="15090" spans="7:7">
      <c r="G15090"/>
    </row>
    <row r="15091" spans="7:7">
      <c r="G15091"/>
    </row>
    <row r="15092" spans="7:7">
      <c r="G15092"/>
    </row>
    <row r="15093" spans="7:7">
      <c r="G15093"/>
    </row>
    <row r="15094" spans="7:7">
      <c r="G15094"/>
    </row>
    <row r="15095" spans="7:7">
      <c r="G15095"/>
    </row>
    <row r="15096" spans="7:7">
      <c r="G15096"/>
    </row>
    <row r="15097" spans="7:7">
      <c r="G15097"/>
    </row>
    <row r="15098" spans="7:7">
      <c r="G15098"/>
    </row>
    <row r="15099" spans="7:7">
      <c r="G15099"/>
    </row>
    <row r="15100" spans="7:7">
      <c r="G15100"/>
    </row>
    <row r="15101" spans="7:7">
      <c r="G15101"/>
    </row>
    <row r="15102" spans="7:7">
      <c r="G15102"/>
    </row>
    <row r="15103" spans="7:7">
      <c r="G15103"/>
    </row>
    <row r="15104" spans="7:7">
      <c r="G15104"/>
    </row>
    <row r="15105" spans="7:7">
      <c r="G15105"/>
    </row>
    <row r="15106" spans="7:7">
      <c r="G15106"/>
    </row>
    <row r="15107" spans="7:7">
      <c r="G15107"/>
    </row>
    <row r="15108" spans="7:7">
      <c r="G15108"/>
    </row>
    <row r="15109" spans="7:7">
      <c r="G15109"/>
    </row>
    <row r="15110" spans="7:7">
      <c r="G15110"/>
    </row>
    <row r="15111" spans="7:7">
      <c r="G15111"/>
    </row>
    <row r="15112" spans="7:7">
      <c r="G15112"/>
    </row>
    <row r="15113" spans="7:7">
      <c r="G15113"/>
    </row>
    <row r="15114" spans="7:7">
      <c r="G15114"/>
    </row>
    <row r="15115" spans="7:7">
      <c r="G15115"/>
    </row>
    <row r="15116" spans="7:7">
      <c r="G15116"/>
    </row>
    <row r="15117" spans="7:7">
      <c r="G15117"/>
    </row>
    <row r="15118" spans="7:7">
      <c r="G15118"/>
    </row>
    <row r="15119" spans="7:7">
      <c r="G15119"/>
    </row>
    <row r="15120" spans="7:7">
      <c r="G15120"/>
    </row>
    <row r="15121" spans="7:7">
      <c r="G15121"/>
    </row>
    <row r="15122" spans="7:7">
      <c r="G15122"/>
    </row>
    <row r="15123" spans="7:7">
      <c r="G15123"/>
    </row>
    <row r="15124" spans="7:7">
      <c r="G15124"/>
    </row>
    <row r="15125" spans="7:7">
      <c r="G15125"/>
    </row>
    <row r="15126" spans="7:7">
      <c r="G15126"/>
    </row>
    <row r="15127" spans="7:7">
      <c r="G15127"/>
    </row>
    <row r="15128" spans="7:7">
      <c r="G15128"/>
    </row>
    <row r="15129" spans="7:7">
      <c r="G15129"/>
    </row>
    <row r="15130" spans="7:7">
      <c r="G15130"/>
    </row>
    <row r="15131" spans="7:7">
      <c r="G15131"/>
    </row>
    <row r="15132" spans="7:7">
      <c r="G15132"/>
    </row>
    <row r="15133" spans="7:7">
      <c r="G15133"/>
    </row>
    <row r="15134" spans="7:7">
      <c r="G15134"/>
    </row>
    <row r="15135" spans="7:7">
      <c r="G15135"/>
    </row>
    <row r="15136" spans="7:7">
      <c r="G15136"/>
    </row>
    <row r="15137" spans="7:7">
      <c r="G15137"/>
    </row>
    <row r="15138" spans="7:7">
      <c r="G15138"/>
    </row>
    <row r="15139" spans="7:7">
      <c r="G15139"/>
    </row>
    <row r="15140" spans="7:7">
      <c r="G15140"/>
    </row>
    <row r="15141" spans="7:7">
      <c r="G15141"/>
    </row>
    <row r="15142" spans="7:7">
      <c r="G15142"/>
    </row>
    <row r="15143" spans="7:7">
      <c r="G15143"/>
    </row>
    <row r="15144" spans="7:7">
      <c r="G15144"/>
    </row>
    <row r="15145" spans="7:7">
      <c r="G15145"/>
    </row>
    <row r="15146" spans="7:7">
      <c r="G15146"/>
    </row>
    <row r="15147" spans="7:7">
      <c r="G15147"/>
    </row>
    <row r="15148" spans="7:7">
      <c r="G15148"/>
    </row>
    <row r="15149" spans="7:7">
      <c r="G15149"/>
    </row>
    <row r="15150" spans="7:7">
      <c r="G15150"/>
    </row>
    <row r="15151" spans="7:7">
      <c r="G15151"/>
    </row>
    <row r="15152" spans="7:7">
      <c r="G15152"/>
    </row>
    <row r="15153" spans="7:7">
      <c r="G15153"/>
    </row>
    <row r="15154" spans="7:7">
      <c r="G15154"/>
    </row>
    <row r="15155" spans="7:7">
      <c r="G15155"/>
    </row>
    <row r="15156" spans="7:7">
      <c r="G15156"/>
    </row>
    <row r="15157" spans="7:7">
      <c r="G15157"/>
    </row>
    <row r="15158" spans="7:7">
      <c r="G15158"/>
    </row>
    <row r="15159" spans="7:7">
      <c r="G15159"/>
    </row>
    <row r="15160" spans="7:7">
      <c r="G15160"/>
    </row>
    <row r="15161" spans="7:7">
      <c r="G15161"/>
    </row>
    <row r="15162" spans="7:7">
      <c r="G15162"/>
    </row>
    <row r="15163" spans="7:7">
      <c r="G15163"/>
    </row>
    <row r="15164" spans="7:7">
      <c r="G15164"/>
    </row>
    <row r="15165" spans="7:7">
      <c r="G15165"/>
    </row>
    <row r="15166" spans="7:7">
      <c r="G15166"/>
    </row>
    <row r="15167" spans="7:7">
      <c r="G15167"/>
    </row>
    <row r="15168" spans="7:7">
      <c r="G15168"/>
    </row>
    <row r="15169" spans="7:7">
      <c r="G15169"/>
    </row>
    <row r="15170" spans="7:7">
      <c r="G15170"/>
    </row>
    <row r="15171" spans="7:7">
      <c r="G15171"/>
    </row>
    <row r="15172" spans="7:7">
      <c r="G15172"/>
    </row>
    <row r="15173" spans="7:7">
      <c r="G15173"/>
    </row>
    <row r="15174" spans="7:7">
      <c r="G15174"/>
    </row>
    <row r="15175" spans="7:7">
      <c r="G15175"/>
    </row>
    <row r="15176" spans="7:7">
      <c r="G15176"/>
    </row>
    <row r="15177" spans="7:7">
      <c r="G15177"/>
    </row>
    <row r="15178" spans="7:7">
      <c r="G15178"/>
    </row>
    <row r="15179" spans="7:7">
      <c r="G15179"/>
    </row>
    <row r="15180" spans="7:7">
      <c r="G15180"/>
    </row>
    <row r="15181" spans="7:7">
      <c r="G15181"/>
    </row>
    <row r="15182" spans="7:7">
      <c r="G15182"/>
    </row>
    <row r="15183" spans="7:7">
      <c r="G15183"/>
    </row>
    <row r="15184" spans="7:7">
      <c r="G15184"/>
    </row>
    <row r="15185" spans="7:7">
      <c r="G15185"/>
    </row>
    <row r="15186" spans="7:7">
      <c r="G15186"/>
    </row>
    <row r="15187" spans="7:7">
      <c r="G15187"/>
    </row>
    <row r="15188" spans="7:7">
      <c r="G15188"/>
    </row>
    <row r="15189" spans="7:7">
      <c r="G15189"/>
    </row>
    <row r="15190" spans="7:7">
      <c r="G15190"/>
    </row>
    <row r="15191" spans="7:7">
      <c r="G15191"/>
    </row>
    <row r="15192" spans="7:7">
      <c r="G15192"/>
    </row>
    <row r="15193" spans="7:7">
      <c r="G15193"/>
    </row>
    <row r="15194" spans="7:7">
      <c r="G15194"/>
    </row>
    <row r="15195" spans="7:7">
      <c r="G15195"/>
    </row>
    <row r="15196" spans="7:7">
      <c r="G15196"/>
    </row>
    <row r="15197" spans="7:7">
      <c r="G15197"/>
    </row>
    <row r="15198" spans="7:7">
      <c r="G15198"/>
    </row>
    <row r="15199" spans="7:7">
      <c r="G15199"/>
    </row>
    <row r="15200" spans="7:7">
      <c r="G15200"/>
    </row>
    <row r="15201" spans="7:7">
      <c r="G15201"/>
    </row>
    <row r="15202" spans="7:7">
      <c r="G15202"/>
    </row>
    <row r="15203" spans="7:7">
      <c r="G15203"/>
    </row>
    <row r="15204" spans="7:7">
      <c r="G15204"/>
    </row>
    <row r="15205" spans="7:7">
      <c r="G15205"/>
    </row>
    <row r="15206" spans="7:7">
      <c r="G15206"/>
    </row>
    <row r="15207" spans="7:7">
      <c r="G15207"/>
    </row>
    <row r="15208" spans="7:7">
      <c r="G15208"/>
    </row>
    <row r="15209" spans="7:7">
      <c r="G15209"/>
    </row>
    <row r="15210" spans="7:7">
      <c r="G15210"/>
    </row>
    <row r="15211" spans="7:7">
      <c r="G15211"/>
    </row>
    <row r="15212" spans="7:7">
      <c r="G15212"/>
    </row>
    <row r="15213" spans="7:7">
      <c r="G15213"/>
    </row>
    <row r="15214" spans="7:7">
      <c r="G15214"/>
    </row>
    <row r="15215" spans="7:7">
      <c r="G15215"/>
    </row>
    <row r="15216" spans="7:7">
      <c r="G15216"/>
    </row>
    <row r="15217" spans="7:7">
      <c r="G15217"/>
    </row>
    <row r="15218" spans="7:7">
      <c r="G15218"/>
    </row>
    <row r="15219" spans="7:7">
      <c r="G15219"/>
    </row>
    <row r="15220" spans="7:7">
      <c r="G15220"/>
    </row>
    <row r="15221" spans="7:7">
      <c r="G15221"/>
    </row>
    <row r="15222" spans="7:7">
      <c r="G15222"/>
    </row>
    <row r="15223" spans="7:7">
      <c r="G15223"/>
    </row>
    <row r="15224" spans="7:7">
      <c r="G15224"/>
    </row>
    <row r="15225" spans="7:7">
      <c r="G15225"/>
    </row>
    <row r="15226" spans="7:7">
      <c r="G15226"/>
    </row>
    <row r="15227" spans="7:7">
      <c r="G15227"/>
    </row>
    <row r="15228" spans="7:7">
      <c r="G15228"/>
    </row>
    <row r="15229" spans="7:7">
      <c r="G15229"/>
    </row>
    <row r="15230" spans="7:7">
      <c r="G15230"/>
    </row>
    <row r="15231" spans="7:7">
      <c r="G15231"/>
    </row>
    <row r="15232" spans="7:7">
      <c r="G15232"/>
    </row>
    <row r="15233" spans="7:7">
      <c r="G15233"/>
    </row>
    <row r="15234" spans="7:7">
      <c r="G15234"/>
    </row>
    <row r="15235" spans="7:7">
      <c r="G15235"/>
    </row>
    <row r="15236" spans="7:7">
      <c r="G15236"/>
    </row>
    <row r="15237" spans="7:7">
      <c r="G15237"/>
    </row>
    <row r="15238" spans="7:7">
      <c r="G15238"/>
    </row>
    <row r="15239" spans="7:7">
      <c r="G15239"/>
    </row>
    <row r="15240" spans="7:7">
      <c r="G15240"/>
    </row>
    <row r="15241" spans="7:7">
      <c r="G15241"/>
    </row>
    <row r="15242" spans="7:7">
      <c r="G15242"/>
    </row>
    <row r="15243" spans="7:7">
      <c r="G15243"/>
    </row>
    <row r="15244" spans="7:7">
      <c r="G15244"/>
    </row>
    <row r="15245" spans="7:7">
      <c r="G15245"/>
    </row>
    <row r="15246" spans="7:7">
      <c r="G15246"/>
    </row>
    <row r="15247" spans="7:7">
      <c r="G15247"/>
    </row>
    <row r="15248" spans="7:7">
      <c r="G15248"/>
    </row>
    <row r="15249" spans="7:7">
      <c r="G15249"/>
    </row>
    <row r="15250" spans="7:7">
      <c r="G15250"/>
    </row>
    <row r="15251" spans="7:7">
      <c r="G15251"/>
    </row>
    <row r="15252" spans="7:7">
      <c r="G15252"/>
    </row>
    <row r="15253" spans="7:7">
      <c r="G15253"/>
    </row>
    <row r="15254" spans="7:7">
      <c r="G15254"/>
    </row>
    <row r="15255" spans="7:7">
      <c r="G15255"/>
    </row>
    <row r="15256" spans="7:7">
      <c r="G15256"/>
    </row>
    <row r="15257" spans="7:7">
      <c r="G15257"/>
    </row>
    <row r="15258" spans="7:7">
      <c r="G15258"/>
    </row>
    <row r="15259" spans="7:7">
      <c r="G15259"/>
    </row>
    <row r="15260" spans="7:7">
      <c r="G15260"/>
    </row>
    <row r="15261" spans="7:7">
      <c r="G15261"/>
    </row>
    <row r="15262" spans="7:7">
      <c r="G15262"/>
    </row>
    <row r="15263" spans="7:7">
      <c r="G15263"/>
    </row>
    <row r="15264" spans="7:7">
      <c r="G15264"/>
    </row>
    <row r="15265" spans="7:7">
      <c r="G15265"/>
    </row>
    <row r="15266" spans="7:7">
      <c r="G15266"/>
    </row>
    <row r="15267" spans="7:7">
      <c r="G15267"/>
    </row>
    <row r="15268" spans="7:7">
      <c r="G15268"/>
    </row>
    <row r="15269" spans="7:7">
      <c r="G15269"/>
    </row>
    <row r="15270" spans="7:7">
      <c r="G15270"/>
    </row>
    <row r="15271" spans="7:7">
      <c r="G15271"/>
    </row>
    <row r="15272" spans="7:7">
      <c r="G15272"/>
    </row>
    <row r="15273" spans="7:7">
      <c r="G15273"/>
    </row>
    <row r="15274" spans="7:7">
      <c r="G15274"/>
    </row>
    <row r="15275" spans="7:7">
      <c r="G15275"/>
    </row>
    <row r="15276" spans="7:7">
      <c r="G15276"/>
    </row>
    <row r="15277" spans="7:7">
      <c r="G15277"/>
    </row>
    <row r="15278" spans="7:7">
      <c r="G15278"/>
    </row>
    <row r="15279" spans="7:7">
      <c r="G15279"/>
    </row>
    <row r="15280" spans="7:7">
      <c r="G15280"/>
    </row>
    <row r="15281" spans="7:7">
      <c r="G15281"/>
    </row>
    <row r="15282" spans="7:7">
      <c r="G15282"/>
    </row>
    <row r="15283" spans="7:7">
      <c r="G15283"/>
    </row>
    <row r="15284" spans="7:7">
      <c r="G15284"/>
    </row>
    <row r="15285" spans="7:7">
      <c r="G15285"/>
    </row>
    <row r="15286" spans="7:7">
      <c r="G15286"/>
    </row>
    <row r="15287" spans="7:7">
      <c r="G15287"/>
    </row>
    <row r="15288" spans="7:7">
      <c r="G15288"/>
    </row>
    <row r="15289" spans="7:7">
      <c r="G15289"/>
    </row>
    <row r="15290" spans="7:7">
      <c r="G15290"/>
    </row>
    <row r="15291" spans="7:7">
      <c r="G15291"/>
    </row>
    <row r="15292" spans="7:7">
      <c r="G15292"/>
    </row>
    <row r="15293" spans="7:7">
      <c r="G15293"/>
    </row>
    <row r="15294" spans="7:7">
      <c r="G15294"/>
    </row>
    <row r="15295" spans="7:7">
      <c r="G15295"/>
    </row>
    <row r="15296" spans="7:7">
      <c r="G15296"/>
    </row>
    <row r="15297" spans="7:7">
      <c r="G15297"/>
    </row>
    <row r="15298" spans="7:7">
      <c r="G15298"/>
    </row>
    <row r="15299" spans="7:7">
      <c r="G15299"/>
    </row>
    <row r="15300" spans="7:7">
      <c r="G15300"/>
    </row>
    <row r="15301" spans="7:7">
      <c r="G15301"/>
    </row>
    <row r="15302" spans="7:7">
      <c r="G15302"/>
    </row>
    <row r="15303" spans="7:7">
      <c r="G15303"/>
    </row>
    <row r="15304" spans="7:7">
      <c r="G15304"/>
    </row>
    <row r="15305" spans="7:7">
      <c r="G15305"/>
    </row>
    <row r="15306" spans="7:7">
      <c r="G15306"/>
    </row>
    <row r="15307" spans="7:7">
      <c r="G15307"/>
    </row>
    <row r="15308" spans="7:7">
      <c r="G15308"/>
    </row>
    <row r="15309" spans="7:7">
      <c r="G15309"/>
    </row>
    <row r="15310" spans="7:7">
      <c r="G15310"/>
    </row>
    <row r="15311" spans="7:7">
      <c r="G15311"/>
    </row>
    <row r="15312" spans="7:7">
      <c r="G15312"/>
    </row>
    <row r="15313" spans="7:7">
      <c r="G15313"/>
    </row>
    <row r="15314" spans="7:7">
      <c r="G15314"/>
    </row>
    <row r="15315" spans="7:7">
      <c r="G15315"/>
    </row>
    <row r="15316" spans="7:7">
      <c r="G15316"/>
    </row>
    <row r="15317" spans="7:7">
      <c r="G15317"/>
    </row>
    <row r="15318" spans="7:7">
      <c r="G15318"/>
    </row>
    <row r="15319" spans="7:7">
      <c r="G15319"/>
    </row>
    <row r="15320" spans="7:7">
      <c r="G15320"/>
    </row>
    <row r="15321" spans="7:7">
      <c r="G15321"/>
    </row>
    <row r="15322" spans="7:7">
      <c r="G15322"/>
    </row>
    <row r="15323" spans="7:7">
      <c r="G15323"/>
    </row>
    <row r="15324" spans="7:7">
      <c r="G15324"/>
    </row>
    <row r="15325" spans="7:7">
      <c r="G15325"/>
    </row>
    <row r="15326" spans="7:7">
      <c r="G15326"/>
    </row>
    <row r="15327" spans="7:7">
      <c r="G15327"/>
    </row>
    <row r="15328" spans="7:7">
      <c r="G15328"/>
    </row>
    <row r="15329" spans="7:7">
      <c r="G15329"/>
    </row>
    <row r="15330" spans="7:7">
      <c r="G15330"/>
    </row>
    <row r="15331" spans="7:7">
      <c r="G15331"/>
    </row>
    <row r="15332" spans="7:7">
      <c r="G15332"/>
    </row>
    <row r="15333" spans="7:7">
      <c r="G15333"/>
    </row>
    <row r="15334" spans="7:7">
      <c r="G15334"/>
    </row>
    <row r="15335" spans="7:7">
      <c r="G15335"/>
    </row>
    <row r="15336" spans="7:7">
      <c r="G15336"/>
    </row>
    <row r="15337" spans="7:7">
      <c r="G15337"/>
    </row>
    <row r="15338" spans="7:7">
      <c r="G15338"/>
    </row>
    <row r="15339" spans="7:7">
      <c r="G15339"/>
    </row>
    <row r="15340" spans="7:7">
      <c r="G15340"/>
    </row>
    <row r="15341" spans="7:7">
      <c r="G15341"/>
    </row>
    <row r="15342" spans="7:7">
      <c r="G15342"/>
    </row>
    <row r="15343" spans="7:7">
      <c r="G15343"/>
    </row>
    <row r="15344" spans="7:7">
      <c r="G15344"/>
    </row>
    <row r="15345" spans="7:7">
      <c r="G15345"/>
    </row>
    <row r="15346" spans="7:7">
      <c r="G15346"/>
    </row>
    <row r="15347" spans="7:7">
      <c r="G15347"/>
    </row>
    <row r="15348" spans="7:7">
      <c r="G15348"/>
    </row>
    <row r="15349" spans="7:7">
      <c r="G15349"/>
    </row>
    <row r="15350" spans="7:7">
      <c r="G15350"/>
    </row>
    <row r="15351" spans="7:7">
      <c r="G15351"/>
    </row>
    <row r="15352" spans="7:7">
      <c r="G15352"/>
    </row>
    <row r="15353" spans="7:7">
      <c r="G15353"/>
    </row>
    <row r="15354" spans="7:7">
      <c r="G15354"/>
    </row>
    <row r="15355" spans="7:7">
      <c r="G15355"/>
    </row>
    <row r="15356" spans="7:7">
      <c r="G15356"/>
    </row>
    <row r="15357" spans="7:7">
      <c r="G15357"/>
    </row>
    <row r="15358" spans="7:7">
      <c r="G15358"/>
    </row>
    <row r="15359" spans="7:7">
      <c r="G15359"/>
    </row>
    <row r="15360" spans="7:7">
      <c r="G15360"/>
    </row>
    <row r="15361" spans="7:7">
      <c r="G15361"/>
    </row>
    <row r="15362" spans="7:7">
      <c r="G15362"/>
    </row>
    <row r="15363" spans="7:7">
      <c r="G15363"/>
    </row>
    <row r="15364" spans="7:7">
      <c r="G15364"/>
    </row>
    <row r="15365" spans="7:7">
      <c r="G15365"/>
    </row>
    <row r="15366" spans="7:7">
      <c r="G15366"/>
    </row>
    <row r="15367" spans="7:7">
      <c r="G15367"/>
    </row>
    <row r="15368" spans="7:7">
      <c r="G15368"/>
    </row>
    <row r="15369" spans="7:7">
      <c r="G15369"/>
    </row>
    <row r="15370" spans="7:7">
      <c r="G15370"/>
    </row>
    <row r="15371" spans="7:7">
      <c r="G15371"/>
    </row>
    <row r="15372" spans="7:7">
      <c r="G15372"/>
    </row>
    <row r="15373" spans="7:7">
      <c r="G15373"/>
    </row>
    <row r="15374" spans="7:7">
      <c r="G15374"/>
    </row>
    <row r="15375" spans="7:7">
      <c r="G15375"/>
    </row>
    <row r="15376" spans="7:7">
      <c r="G15376"/>
    </row>
    <row r="15377" spans="7:7">
      <c r="G15377"/>
    </row>
    <row r="15378" spans="7:7">
      <c r="G15378"/>
    </row>
    <row r="15379" spans="7:7">
      <c r="G15379"/>
    </row>
    <row r="15380" spans="7:7">
      <c r="G15380"/>
    </row>
    <row r="15381" spans="7:7">
      <c r="G15381"/>
    </row>
    <row r="15382" spans="7:7">
      <c r="G15382"/>
    </row>
    <row r="15383" spans="7:7">
      <c r="G15383"/>
    </row>
    <row r="15384" spans="7:7">
      <c r="G15384"/>
    </row>
    <row r="15385" spans="7:7">
      <c r="G15385"/>
    </row>
    <row r="15386" spans="7:7">
      <c r="G15386"/>
    </row>
    <row r="15387" spans="7:7">
      <c r="G15387"/>
    </row>
    <row r="15388" spans="7:7">
      <c r="G15388"/>
    </row>
    <row r="15389" spans="7:7">
      <c r="G15389"/>
    </row>
    <row r="15390" spans="7:7">
      <c r="G15390"/>
    </row>
    <row r="15391" spans="7:7">
      <c r="G15391"/>
    </row>
    <row r="15392" spans="7:7">
      <c r="G15392"/>
    </row>
    <row r="15393" spans="7:7">
      <c r="G15393"/>
    </row>
    <row r="15394" spans="7:7">
      <c r="G15394"/>
    </row>
    <row r="15395" spans="7:7">
      <c r="G15395"/>
    </row>
    <row r="15396" spans="7:7">
      <c r="G15396"/>
    </row>
    <row r="15397" spans="7:7">
      <c r="G15397"/>
    </row>
    <row r="15398" spans="7:7">
      <c r="G15398"/>
    </row>
    <row r="15399" spans="7:7">
      <c r="G15399"/>
    </row>
    <row r="15400" spans="7:7">
      <c r="G15400"/>
    </row>
    <row r="15401" spans="7:7">
      <c r="G15401"/>
    </row>
    <row r="15402" spans="7:7">
      <c r="G15402"/>
    </row>
    <row r="15403" spans="7:7">
      <c r="G15403"/>
    </row>
    <row r="15404" spans="7:7">
      <c r="G15404"/>
    </row>
    <row r="15405" spans="7:7">
      <c r="G15405"/>
    </row>
    <row r="15406" spans="7:7">
      <c r="G15406"/>
    </row>
    <row r="15407" spans="7:7">
      <c r="G15407"/>
    </row>
    <row r="15408" spans="7:7">
      <c r="G15408"/>
    </row>
    <row r="15409" spans="7:7">
      <c r="G15409"/>
    </row>
    <row r="15410" spans="7:7">
      <c r="G15410"/>
    </row>
    <row r="15411" spans="7:7">
      <c r="G15411"/>
    </row>
    <row r="15412" spans="7:7">
      <c r="G15412"/>
    </row>
    <row r="15413" spans="7:7">
      <c r="G15413"/>
    </row>
    <row r="15414" spans="7:7">
      <c r="G15414"/>
    </row>
    <row r="15415" spans="7:7">
      <c r="G15415"/>
    </row>
    <row r="15416" spans="7:7">
      <c r="G15416"/>
    </row>
    <row r="15417" spans="7:7">
      <c r="G15417"/>
    </row>
    <row r="15418" spans="7:7">
      <c r="G15418"/>
    </row>
    <row r="15419" spans="7:7">
      <c r="G15419"/>
    </row>
    <row r="15420" spans="7:7">
      <c r="G15420"/>
    </row>
    <row r="15421" spans="7:7">
      <c r="G15421"/>
    </row>
    <row r="15422" spans="7:7">
      <c r="G15422"/>
    </row>
    <row r="15423" spans="7:7">
      <c r="G15423"/>
    </row>
    <row r="15424" spans="7:7">
      <c r="G15424"/>
    </row>
    <row r="15425" spans="7:7">
      <c r="G15425"/>
    </row>
    <row r="15426" spans="7:7">
      <c r="G15426"/>
    </row>
    <row r="15427" spans="7:7">
      <c r="G15427"/>
    </row>
    <row r="15428" spans="7:7">
      <c r="G15428"/>
    </row>
    <row r="15429" spans="7:7">
      <c r="G15429"/>
    </row>
    <row r="15430" spans="7:7">
      <c r="G15430"/>
    </row>
    <row r="15431" spans="7:7">
      <c r="G15431"/>
    </row>
    <row r="15432" spans="7:7">
      <c r="G15432"/>
    </row>
    <row r="15433" spans="7:7">
      <c r="G15433"/>
    </row>
    <row r="15434" spans="7:7">
      <c r="G15434"/>
    </row>
    <row r="15435" spans="7:7">
      <c r="G15435"/>
    </row>
    <row r="15436" spans="7:7">
      <c r="G15436"/>
    </row>
    <row r="15437" spans="7:7">
      <c r="G15437"/>
    </row>
    <row r="15438" spans="7:7">
      <c r="G15438"/>
    </row>
    <row r="15439" spans="7:7">
      <c r="G15439"/>
    </row>
    <row r="15440" spans="7:7">
      <c r="G15440"/>
    </row>
    <row r="15441" spans="7:7">
      <c r="G15441"/>
    </row>
    <row r="15442" spans="7:7">
      <c r="G15442"/>
    </row>
    <row r="15443" spans="7:7">
      <c r="G15443"/>
    </row>
    <row r="15444" spans="7:7">
      <c r="G15444"/>
    </row>
    <row r="15445" spans="7:7">
      <c r="G15445"/>
    </row>
    <row r="15446" spans="7:7">
      <c r="G15446"/>
    </row>
    <row r="15447" spans="7:7">
      <c r="G15447"/>
    </row>
    <row r="15448" spans="7:7">
      <c r="G15448"/>
    </row>
    <row r="15449" spans="7:7">
      <c r="G15449"/>
    </row>
    <row r="15450" spans="7:7">
      <c r="G15450"/>
    </row>
    <row r="15451" spans="7:7">
      <c r="G15451"/>
    </row>
    <row r="15452" spans="7:7">
      <c r="G15452"/>
    </row>
    <row r="15453" spans="7:7">
      <c r="G15453"/>
    </row>
    <row r="15454" spans="7:7">
      <c r="G15454"/>
    </row>
    <row r="15455" spans="7:7">
      <c r="G15455"/>
    </row>
    <row r="15456" spans="7:7">
      <c r="G15456"/>
    </row>
    <row r="15457" spans="7:7">
      <c r="G15457"/>
    </row>
    <row r="15458" spans="7:7">
      <c r="G15458"/>
    </row>
    <row r="15459" spans="7:7">
      <c r="G15459"/>
    </row>
    <row r="15460" spans="7:7">
      <c r="G15460"/>
    </row>
    <row r="15461" spans="7:7">
      <c r="G15461"/>
    </row>
    <row r="15462" spans="7:7">
      <c r="G15462"/>
    </row>
    <row r="15463" spans="7:7">
      <c r="G15463"/>
    </row>
    <row r="15464" spans="7:7">
      <c r="G15464"/>
    </row>
    <row r="15465" spans="7:7">
      <c r="G15465"/>
    </row>
    <row r="15466" spans="7:7">
      <c r="G15466"/>
    </row>
    <row r="15467" spans="7:7">
      <c r="G15467"/>
    </row>
    <row r="15468" spans="7:7">
      <c r="G15468"/>
    </row>
    <row r="15469" spans="7:7">
      <c r="G15469"/>
    </row>
    <row r="15470" spans="7:7">
      <c r="G15470"/>
    </row>
    <row r="15471" spans="7:7">
      <c r="G15471"/>
    </row>
    <row r="15472" spans="7:7">
      <c r="G15472"/>
    </row>
    <row r="15473" spans="7:7">
      <c r="G15473"/>
    </row>
    <row r="15474" spans="7:7">
      <c r="G15474"/>
    </row>
    <row r="15475" spans="7:7">
      <c r="G15475"/>
    </row>
    <row r="15476" spans="7:7">
      <c r="G15476"/>
    </row>
    <row r="15477" spans="7:7">
      <c r="G15477"/>
    </row>
    <row r="15478" spans="7:7">
      <c r="G15478"/>
    </row>
    <row r="15479" spans="7:7">
      <c r="G15479"/>
    </row>
    <row r="15480" spans="7:7">
      <c r="G15480"/>
    </row>
    <row r="15481" spans="7:7">
      <c r="G15481"/>
    </row>
    <row r="15482" spans="7:7">
      <c r="G15482"/>
    </row>
    <row r="15483" spans="7:7">
      <c r="G15483"/>
    </row>
    <row r="15484" spans="7:7">
      <c r="G15484"/>
    </row>
    <row r="15485" spans="7:7">
      <c r="G15485"/>
    </row>
    <row r="15486" spans="7:7">
      <c r="G15486"/>
    </row>
    <row r="15487" spans="7:7">
      <c r="G15487"/>
    </row>
    <row r="15488" spans="7:7">
      <c r="G15488"/>
    </row>
    <row r="15489" spans="7:7">
      <c r="G15489"/>
    </row>
    <row r="15490" spans="7:7">
      <c r="G15490"/>
    </row>
    <row r="15491" spans="7:7">
      <c r="G15491"/>
    </row>
    <row r="15492" spans="7:7">
      <c r="G15492"/>
    </row>
    <row r="15493" spans="7:7">
      <c r="G15493"/>
    </row>
    <row r="15494" spans="7:7">
      <c r="G15494"/>
    </row>
    <row r="15495" spans="7:7">
      <c r="G15495"/>
    </row>
    <row r="15496" spans="7:7">
      <c r="G15496"/>
    </row>
    <row r="15497" spans="7:7">
      <c r="G15497"/>
    </row>
    <row r="15498" spans="7:7">
      <c r="G15498"/>
    </row>
    <row r="15499" spans="7:7">
      <c r="G15499"/>
    </row>
    <row r="15500" spans="7:7">
      <c r="G15500"/>
    </row>
    <row r="15501" spans="7:7">
      <c r="G15501"/>
    </row>
    <row r="15502" spans="7:7">
      <c r="G15502"/>
    </row>
    <row r="15503" spans="7:7">
      <c r="G15503"/>
    </row>
    <row r="15504" spans="7:7">
      <c r="G15504"/>
    </row>
    <row r="15505" spans="7:7">
      <c r="G15505"/>
    </row>
    <row r="15506" spans="7:7">
      <c r="G15506"/>
    </row>
    <row r="15507" spans="7:7">
      <c r="G15507"/>
    </row>
    <row r="15508" spans="7:7">
      <c r="G15508"/>
    </row>
    <row r="15509" spans="7:7">
      <c r="G15509"/>
    </row>
    <row r="15510" spans="7:7">
      <c r="G15510"/>
    </row>
    <row r="15511" spans="7:7">
      <c r="G15511"/>
    </row>
    <row r="15512" spans="7:7">
      <c r="G15512"/>
    </row>
    <row r="15513" spans="7:7">
      <c r="G15513"/>
    </row>
    <row r="15514" spans="7:7">
      <c r="G15514"/>
    </row>
    <row r="15515" spans="7:7">
      <c r="G15515"/>
    </row>
    <row r="15516" spans="7:7">
      <c r="G15516"/>
    </row>
    <row r="15517" spans="7:7">
      <c r="G15517"/>
    </row>
    <row r="15518" spans="7:7">
      <c r="G15518"/>
    </row>
    <row r="15519" spans="7:7">
      <c r="G15519"/>
    </row>
    <row r="15520" spans="7:7">
      <c r="G15520"/>
    </row>
    <row r="15521" spans="7:7">
      <c r="G15521"/>
    </row>
    <row r="15522" spans="7:7">
      <c r="G15522"/>
    </row>
    <row r="15523" spans="7:7">
      <c r="G15523"/>
    </row>
    <row r="15524" spans="7:7">
      <c r="G15524"/>
    </row>
    <row r="15525" spans="7:7">
      <c r="G15525"/>
    </row>
    <row r="15526" spans="7:7">
      <c r="G15526"/>
    </row>
    <row r="15527" spans="7:7">
      <c r="G15527"/>
    </row>
    <row r="15528" spans="7:7">
      <c r="G15528"/>
    </row>
    <row r="15529" spans="7:7">
      <c r="G15529"/>
    </row>
    <row r="15530" spans="7:7">
      <c r="G15530"/>
    </row>
    <row r="15531" spans="7:7">
      <c r="G15531"/>
    </row>
    <row r="15532" spans="7:7">
      <c r="G15532"/>
    </row>
    <row r="15533" spans="7:7">
      <c r="G15533"/>
    </row>
    <row r="15534" spans="7:7">
      <c r="G15534"/>
    </row>
    <row r="15535" spans="7:7">
      <c r="G15535"/>
    </row>
    <row r="15536" spans="7:7">
      <c r="G15536"/>
    </row>
    <row r="15537" spans="7:7">
      <c r="G15537"/>
    </row>
    <row r="15538" spans="7:7">
      <c r="G15538"/>
    </row>
    <row r="15539" spans="7:7">
      <c r="G15539"/>
    </row>
    <row r="15540" spans="7:7">
      <c r="G15540"/>
    </row>
    <row r="15541" spans="7:7">
      <c r="G15541"/>
    </row>
    <row r="15542" spans="7:7">
      <c r="G15542"/>
    </row>
    <row r="15543" spans="7:7">
      <c r="G15543"/>
    </row>
    <row r="15544" spans="7:7">
      <c r="G15544"/>
    </row>
    <row r="15545" spans="7:7">
      <c r="G15545"/>
    </row>
    <row r="15546" spans="7:7">
      <c r="G15546"/>
    </row>
    <row r="15547" spans="7:7">
      <c r="G15547"/>
    </row>
    <row r="15548" spans="7:7">
      <c r="G15548"/>
    </row>
    <row r="15549" spans="7:7">
      <c r="G15549"/>
    </row>
    <row r="15550" spans="7:7">
      <c r="G15550"/>
    </row>
    <row r="15551" spans="7:7">
      <c r="G15551"/>
    </row>
    <row r="15552" spans="7:7">
      <c r="G15552"/>
    </row>
    <row r="15553" spans="7:7">
      <c r="G15553"/>
    </row>
    <row r="15554" spans="7:7">
      <c r="G15554"/>
    </row>
    <row r="15555" spans="7:7">
      <c r="G15555"/>
    </row>
    <row r="15556" spans="7:7">
      <c r="G15556"/>
    </row>
    <row r="15557" spans="7:7">
      <c r="G15557"/>
    </row>
    <row r="15558" spans="7:7">
      <c r="G15558"/>
    </row>
    <row r="15559" spans="7:7">
      <c r="G15559"/>
    </row>
    <row r="15560" spans="7:7">
      <c r="G15560"/>
    </row>
    <row r="15561" spans="7:7">
      <c r="G15561"/>
    </row>
    <row r="15562" spans="7:7">
      <c r="G15562"/>
    </row>
    <row r="15563" spans="7:7">
      <c r="G15563"/>
    </row>
    <row r="15564" spans="7:7">
      <c r="G15564"/>
    </row>
    <row r="15565" spans="7:7">
      <c r="G15565"/>
    </row>
    <row r="15566" spans="7:7">
      <c r="G15566"/>
    </row>
    <row r="15567" spans="7:7">
      <c r="G15567"/>
    </row>
    <row r="15568" spans="7:7">
      <c r="G15568"/>
    </row>
    <row r="15569" spans="7:7">
      <c r="G15569"/>
    </row>
    <row r="15570" spans="7:7">
      <c r="G15570"/>
    </row>
    <row r="15571" spans="7:7">
      <c r="G15571"/>
    </row>
    <row r="15572" spans="7:7">
      <c r="G15572"/>
    </row>
    <row r="15573" spans="7:7">
      <c r="G15573"/>
    </row>
    <row r="15574" spans="7:7">
      <c r="G15574"/>
    </row>
    <row r="15575" spans="7:7">
      <c r="G15575"/>
    </row>
    <row r="15576" spans="7:7">
      <c r="G15576"/>
    </row>
    <row r="15577" spans="7:7">
      <c r="G15577"/>
    </row>
    <row r="15578" spans="7:7">
      <c r="G15578"/>
    </row>
    <row r="15579" spans="7:7">
      <c r="G15579"/>
    </row>
    <row r="15580" spans="7:7">
      <c r="G15580"/>
    </row>
    <row r="15581" spans="7:7">
      <c r="G15581"/>
    </row>
    <row r="15582" spans="7:7">
      <c r="G15582"/>
    </row>
    <row r="15583" spans="7:7">
      <c r="G15583"/>
    </row>
    <row r="15584" spans="7:7">
      <c r="G15584"/>
    </row>
    <row r="15585" spans="7:7">
      <c r="G15585"/>
    </row>
    <row r="15586" spans="7:7">
      <c r="G15586"/>
    </row>
    <row r="15587" spans="7:7">
      <c r="G15587"/>
    </row>
    <row r="15588" spans="7:7">
      <c r="G15588"/>
    </row>
    <row r="15589" spans="7:7">
      <c r="G15589"/>
    </row>
    <row r="15590" spans="7:7">
      <c r="G15590"/>
    </row>
    <row r="15591" spans="7:7">
      <c r="G15591"/>
    </row>
    <row r="15592" spans="7:7">
      <c r="G15592"/>
    </row>
    <row r="15593" spans="7:7">
      <c r="G15593"/>
    </row>
    <row r="15594" spans="7:7">
      <c r="G15594"/>
    </row>
    <row r="15595" spans="7:7">
      <c r="G15595"/>
    </row>
    <row r="15596" spans="7:7">
      <c r="G15596"/>
    </row>
    <row r="15597" spans="7:7">
      <c r="G15597"/>
    </row>
    <row r="15598" spans="7:7">
      <c r="G15598"/>
    </row>
    <row r="15599" spans="7:7">
      <c r="G15599"/>
    </row>
    <row r="15600" spans="7:7">
      <c r="G15600"/>
    </row>
    <row r="15601" spans="7:7">
      <c r="G15601"/>
    </row>
    <row r="15602" spans="7:7">
      <c r="G15602"/>
    </row>
    <row r="15603" spans="7:7">
      <c r="G15603"/>
    </row>
    <row r="15604" spans="7:7">
      <c r="G15604"/>
    </row>
    <row r="15605" spans="7:7">
      <c r="G15605"/>
    </row>
    <row r="15606" spans="7:7">
      <c r="G15606"/>
    </row>
    <row r="15607" spans="7:7">
      <c r="G15607"/>
    </row>
    <row r="15608" spans="7:7">
      <c r="G15608"/>
    </row>
    <row r="15609" spans="7:7">
      <c r="G15609"/>
    </row>
    <row r="15610" spans="7:7">
      <c r="G15610"/>
    </row>
    <row r="15611" spans="7:7">
      <c r="G15611"/>
    </row>
    <row r="15612" spans="7:7">
      <c r="G15612"/>
    </row>
    <row r="15613" spans="7:7">
      <c r="G15613"/>
    </row>
    <row r="15614" spans="7:7">
      <c r="G15614"/>
    </row>
    <row r="15615" spans="7:7">
      <c r="G15615"/>
    </row>
    <row r="15616" spans="7:7">
      <c r="G15616"/>
    </row>
    <row r="15617" spans="7:7">
      <c r="G15617"/>
    </row>
    <row r="15618" spans="7:7">
      <c r="G15618"/>
    </row>
    <row r="15619" spans="7:7">
      <c r="G15619"/>
    </row>
    <row r="15620" spans="7:7">
      <c r="G15620"/>
    </row>
    <row r="15621" spans="7:7">
      <c r="G15621"/>
    </row>
    <row r="15622" spans="7:7">
      <c r="G15622"/>
    </row>
    <row r="15623" spans="7:7">
      <c r="G15623"/>
    </row>
    <row r="15624" spans="7:7">
      <c r="G15624"/>
    </row>
    <row r="15625" spans="7:7">
      <c r="G15625"/>
    </row>
    <row r="15626" spans="7:7">
      <c r="G15626"/>
    </row>
    <row r="15627" spans="7:7">
      <c r="G15627"/>
    </row>
    <row r="15628" spans="7:7">
      <c r="G15628"/>
    </row>
    <row r="15629" spans="7:7">
      <c r="G15629"/>
    </row>
    <row r="15630" spans="7:7">
      <c r="G15630"/>
    </row>
    <row r="15631" spans="7:7">
      <c r="G15631"/>
    </row>
    <row r="15632" spans="7:7">
      <c r="G15632"/>
    </row>
    <row r="15633" spans="7:7">
      <c r="G15633"/>
    </row>
    <row r="15634" spans="7:7">
      <c r="G15634"/>
    </row>
    <row r="15635" spans="7:7">
      <c r="G15635"/>
    </row>
    <row r="15636" spans="7:7">
      <c r="G15636"/>
    </row>
    <row r="15637" spans="7:7">
      <c r="G15637"/>
    </row>
    <row r="15638" spans="7:7">
      <c r="G15638"/>
    </row>
    <row r="15639" spans="7:7">
      <c r="G15639"/>
    </row>
    <row r="15640" spans="7:7">
      <c r="G15640"/>
    </row>
    <row r="15641" spans="7:7">
      <c r="G15641"/>
    </row>
    <row r="15642" spans="7:7">
      <c r="G15642"/>
    </row>
    <row r="15643" spans="7:7">
      <c r="G15643"/>
    </row>
    <row r="15644" spans="7:7">
      <c r="G15644"/>
    </row>
    <row r="15645" spans="7:7">
      <c r="G15645"/>
    </row>
    <row r="15646" spans="7:7">
      <c r="G15646"/>
    </row>
    <row r="15647" spans="7:7">
      <c r="G15647"/>
    </row>
    <row r="15648" spans="7:7">
      <c r="G15648"/>
    </row>
    <row r="15649" spans="7:7">
      <c r="G15649"/>
    </row>
    <row r="15650" spans="7:7">
      <c r="G15650"/>
    </row>
    <row r="15651" spans="7:7">
      <c r="G15651"/>
    </row>
    <row r="15652" spans="7:7">
      <c r="G15652"/>
    </row>
    <row r="15653" spans="7:7">
      <c r="G15653"/>
    </row>
    <row r="15654" spans="7:7">
      <c r="G15654"/>
    </row>
    <row r="15655" spans="7:7">
      <c r="G15655"/>
    </row>
    <row r="15656" spans="7:7">
      <c r="G15656"/>
    </row>
    <row r="15657" spans="7:7">
      <c r="G15657"/>
    </row>
    <row r="15658" spans="7:7">
      <c r="G15658"/>
    </row>
    <row r="15659" spans="7:7">
      <c r="G15659"/>
    </row>
    <row r="15660" spans="7:7">
      <c r="G15660"/>
    </row>
    <row r="15661" spans="7:7">
      <c r="G15661"/>
    </row>
    <row r="15662" spans="7:7">
      <c r="G15662"/>
    </row>
    <row r="15663" spans="7:7">
      <c r="G15663"/>
    </row>
    <row r="15664" spans="7:7">
      <c r="G15664"/>
    </row>
    <row r="15665" spans="7:7">
      <c r="G15665"/>
    </row>
    <row r="15666" spans="7:7">
      <c r="G15666"/>
    </row>
    <row r="15667" spans="7:7">
      <c r="G15667"/>
    </row>
    <row r="15668" spans="7:7">
      <c r="G15668"/>
    </row>
    <row r="15669" spans="7:7">
      <c r="G15669"/>
    </row>
    <row r="15670" spans="7:7">
      <c r="G15670"/>
    </row>
    <row r="15671" spans="7:7">
      <c r="G15671"/>
    </row>
    <row r="15672" spans="7:7">
      <c r="G15672"/>
    </row>
    <row r="15673" spans="7:7">
      <c r="G15673"/>
    </row>
    <row r="15674" spans="7:7">
      <c r="G15674"/>
    </row>
    <row r="15675" spans="7:7">
      <c r="G15675"/>
    </row>
    <row r="15676" spans="7:7">
      <c r="G15676"/>
    </row>
    <row r="15677" spans="7:7">
      <c r="G15677"/>
    </row>
    <row r="15678" spans="7:7">
      <c r="G15678"/>
    </row>
    <row r="15679" spans="7:7">
      <c r="G15679"/>
    </row>
    <row r="15680" spans="7:7">
      <c r="G15680"/>
    </row>
    <row r="15681" spans="7:7">
      <c r="G15681"/>
    </row>
    <row r="15682" spans="7:7">
      <c r="G15682"/>
    </row>
    <row r="15683" spans="7:7">
      <c r="G15683"/>
    </row>
    <row r="15684" spans="7:7">
      <c r="G15684"/>
    </row>
    <row r="15685" spans="7:7">
      <c r="G15685"/>
    </row>
    <row r="15686" spans="7:7">
      <c r="G15686"/>
    </row>
    <row r="15687" spans="7:7">
      <c r="G15687"/>
    </row>
    <row r="15688" spans="7:7">
      <c r="G15688"/>
    </row>
    <row r="15689" spans="7:7">
      <c r="G15689"/>
    </row>
    <row r="15690" spans="7:7">
      <c r="G15690"/>
    </row>
    <row r="15691" spans="7:7">
      <c r="G15691"/>
    </row>
    <row r="15692" spans="7:7">
      <c r="G15692"/>
    </row>
    <row r="15693" spans="7:7">
      <c r="G15693"/>
    </row>
    <row r="15694" spans="7:7">
      <c r="G15694"/>
    </row>
    <row r="15695" spans="7:7">
      <c r="G15695"/>
    </row>
    <row r="15696" spans="7:7">
      <c r="G15696"/>
    </row>
    <row r="15697" spans="7:7">
      <c r="G15697"/>
    </row>
    <row r="15698" spans="7:7">
      <c r="G15698"/>
    </row>
    <row r="15699" spans="7:7">
      <c r="G15699"/>
    </row>
    <row r="15700" spans="7:7">
      <c r="G15700"/>
    </row>
    <row r="15701" spans="7:7">
      <c r="G15701"/>
    </row>
    <row r="15702" spans="7:7">
      <c r="G15702"/>
    </row>
    <row r="15703" spans="7:7">
      <c r="G15703"/>
    </row>
    <row r="15704" spans="7:7">
      <c r="G15704"/>
    </row>
    <row r="15705" spans="7:7">
      <c r="G15705"/>
    </row>
    <row r="15706" spans="7:7">
      <c r="G15706"/>
    </row>
    <row r="15707" spans="7:7">
      <c r="G15707"/>
    </row>
    <row r="15708" spans="7:7">
      <c r="G15708"/>
    </row>
    <row r="15709" spans="7:7">
      <c r="G15709"/>
    </row>
    <row r="15710" spans="7:7">
      <c r="G15710"/>
    </row>
    <row r="15711" spans="7:7">
      <c r="G15711"/>
    </row>
    <row r="15712" spans="7:7">
      <c r="G15712"/>
    </row>
    <row r="15713" spans="7:7">
      <c r="G15713"/>
    </row>
    <row r="15714" spans="7:7">
      <c r="G15714"/>
    </row>
    <row r="15715" spans="7:7">
      <c r="G15715"/>
    </row>
    <row r="15716" spans="7:7">
      <c r="G15716"/>
    </row>
    <row r="15717" spans="7:7">
      <c r="G15717"/>
    </row>
    <row r="15718" spans="7:7">
      <c r="G15718"/>
    </row>
    <row r="15719" spans="7:7">
      <c r="G15719"/>
    </row>
    <row r="15720" spans="7:7">
      <c r="G15720"/>
    </row>
    <row r="15721" spans="7:7">
      <c r="G15721"/>
    </row>
    <row r="15722" spans="7:7">
      <c r="G15722"/>
    </row>
    <row r="15723" spans="7:7">
      <c r="G15723"/>
    </row>
    <row r="15724" spans="7:7">
      <c r="G15724"/>
    </row>
    <row r="15725" spans="7:7">
      <c r="G15725"/>
    </row>
    <row r="15726" spans="7:7">
      <c r="G15726"/>
    </row>
    <row r="15727" spans="7:7">
      <c r="G15727"/>
    </row>
    <row r="15728" spans="7:7">
      <c r="G15728"/>
    </row>
    <row r="15729" spans="7:7">
      <c r="G15729"/>
    </row>
    <row r="15730" spans="7:7">
      <c r="G15730"/>
    </row>
    <row r="15731" spans="7:7">
      <c r="G15731"/>
    </row>
    <row r="15732" spans="7:7">
      <c r="G15732"/>
    </row>
    <row r="15733" spans="7:7">
      <c r="G15733"/>
    </row>
    <row r="15734" spans="7:7">
      <c r="G15734"/>
    </row>
    <row r="15735" spans="7:7">
      <c r="G15735"/>
    </row>
    <row r="15736" spans="7:7">
      <c r="G15736"/>
    </row>
    <row r="15737" spans="7:7">
      <c r="G15737"/>
    </row>
    <row r="15738" spans="7:7">
      <c r="G15738"/>
    </row>
    <row r="15739" spans="7:7">
      <c r="G15739"/>
    </row>
    <row r="15740" spans="7:7">
      <c r="G15740"/>
    </row>
    <row r="15741" spans="7:7">
      <c r="G15741"/>
    </row>
    <row r="15742" spans="7:7">
      <c r="G15742"/>
    </row>
    <row r="15743" spans="7:7">
      <c r="G15743"/>
    </row>
    <row r="15744" spans="7:7">
      <c r="G15744"/>
    </row>
    <row r="15745" spans="7:7">
      <c r="G15745"/>
    </row>
    <row r="15746" spans="7:7">
      <c r="G15746"/>
    </row>
    <row r="15747" spans="7:7">
      <c r="G15747"/>
    </row>
    <row r="15748" spans="7:7">
      <c r="G15748"/>
    </row>
    <row r="15749" spans="7:7">
      <c r="G15749"/>
    </row>
    <row r="15750" spans="7:7">
      <c r="G15750"/>
    </row>
    <row r="15751" spans="7:7">
      <c r="G15751"/>
    </row>
    <row r="15752" spans="7:7">
      <c r="G15752"/>
    </row>
    <row r="15753" spans="7:7">
      <c r="G15753"/>
    </row>
    <row r="15754" spans="7:7">
      <c r="G15754"/>
    </row>
    <row r="15755" spans="7:7">
      <c r="G15755"/>
    </row>
    <row r="15756" spans="7:7">
      <c r="G15756"/>
    </row>
    <row r="15757" spans="7:7">
      <c r="G15757"/>
    </row>
    <row r="15758" spans="7:7">
      <c r="G15758"/>
    </row>
    <row r="15759" spans="7:7">
      <c r="G15759"/>
    </row>
    <row r="15760" spans="7:7">
      <c r="G15760"/>
    </row>
    <row r="15761" spans="7:7">
      <c r="G15761"/>
    </row>
    <row r="15762" spans="7:7">
      <c r="G15762"/>
    </row>
    <row r="15763" spans="7:7">
      <c r="G15763"/>
    </row>
    <row r="15764" spans="7:7">
      <c r="G15764"/>
    </row>
    <row r="15765" spans="7:7">
      <c r="G15765"/>
    </row>
    <row r="15766" spans="7:7">
      <c r="G15766"/>
    </row>
    <row r="15767" spans="7:7">
      <c r="G15767"/>
    </row>
    <row r="15768" spans="7:7">
      <c r="G15768"/>
    </row>
    <row r="15769" spans="7:7">
      <c r="G15769"/>
    </row>
    <row r="15770" spans="7:7">
      <c r="G15770"/>
    </row>
    <row r="15771" spans="7:7">
      <c r="G15771"/>
    </row>
    <row r="15772" spans="7:7">
      <c r="G15772"/>
    </row>
    <row r="15773" spans="7:7">
      <c r="G15773"/>
    </row>
    <row r="15774" spans="7:7">
      <c r="G15774"/>
    </row>
    <row r="15775" spans="7:7">
      <c r="G15775"/>
    </row>
    <row r="15776" spans="7:7">
      <c r="G15776"/>
    </row>
    <row r="15777" spans="7:7">
      <c r="G15777"/>
    </row>
    <row r="15778" spans="7:7">
      <c r="G15778"/>
    </row>
    <row r="15779" spans="7:7">
      <c r="G15779"/>
    </row>
    <row r="15780" spans="7:7">
      <c r="G15780"/>
    </row>
    <row r="15781" spans="7:7">
      <c r="G15781"/>
    </row>
    <row r="15782" spans="7:7">
      <c r="G15782"/>
    </row>
    <row r="15783" spans="7:7">
      <c r="G15783"/>
    </row>
    <row r="15784" spans="7:7">
      <c r="G15784"/>
    </row>
    <row r="15785" spans="7:7">
      <c r="G15785"/>
    </row>
    <row r="15786" spans="7:7">
      <c r="G15786"/>
    </row>
    <row r="15787" spans="7:7">
      <c r="G15787"/>
    </row>
    <row r="15788" spans="7:7">
      <c r="G15788"/>
    </row>
    <row r="15789" spans="7:7">
      <c r="G15789"/>
    </row>
    <row r="15790" spans="7:7">
      <c r="G15790"/>
    </row>
    <row r="15791" spans="7:7">
      <c r="G15791"/>
    </row>
    <row r="15792" spans="7:7">
      <c r="G15792"/>
    </row>
    <row r="15793" spans="7:7">
      <c r="G15793"/>
    </row>
    <row r="15794" spans="7:7">
      <c r="G15794"/>
    </row>
    <row r="15795" spans="7:7">
      <c r="G15795"/>
    </row>
    <row r="15796" spans="7:7">
      <c r="G15796"/>
    </row>
    <row r="15797" spans="7:7">
      <c r="G15797"/>
    </row>
    <row r="15798" spans="7:7">
      <c r="G15798"/>
    </row>
    <row r="15799" spans="7:7">
      <c r="G15799"/>
    </row>
    <row r="15800" spans="7:7">
      <c r="G15800"/>
    </row>
    <row r="15801" spans="7:7">
      <c r="G15801"/>
    </row>
    <row r="15802" spans="7:7">
      <c r="G15802"/>
    </row>
    <row r="15803" spans="7:7">
      <c r="G15803"/>
    </row>
    <row r="15804" spans="7:7">
      <c r="G15804"/>
    </row>
    <row r="15805" spans="7:7">
      <c r="G15805"/>
    </row>
    <row r="15806" spans="7:7">
      <c r="G15806"/>
    </row>
    <row r="15807" spans="7:7">
      <c r="G15807"/>
    </row>
    <row r="15808" spans="7:7">
      <c r="G15808"/>
    </row>
    <row r="15809" spans="7:7">
      <c r="G15809"/>
    </row>
    <row r="15810" spans="7:7">
      <c r="G15810"/>
    </row>
    <row r="15811" spans="7:7">
      <c r="G15811"/>
    </row>
    <row r="15812" spans="7:7">
      <c r="G15812"/>
    </row>
    <row r="15813" spans="7:7">
      <c r="G15813"/>
    </row>
    <row r="15814" spans="7:7">
      <c r="G15814"/>
    </row>
    <row r="15815" spans="7:7">
      <c r="G15815"/>
    </row>
    <row r="15816" spans="7:7">
      <c r="G15816"/>
    </row>
    <row r="15817" spans="7:7">
      <c r="G15817"/>
    </row>
    <row r="15818" spans="7:7">
      <c r="G15818"/>
    </row>
    <row r="15819" spans="7:7">
      <c r="G15819"/>
    </row>
    <row r="15820" spans="7:7">
      <c r="G15820"/>
    </row>
    <row r="15821" spans="7:7">
      <c r="G15821"/>
    </row>
    <row r="15822" spans="7:7">
      <c r="G15822"/>
    </row>
    <row r="15823" spans="7:7">
      <c r="G15823"/>
    </row>
    <row r="15824" spans="7:7">
      <c r="G15824"/>
    </row>
    <row r="15825" spans="7:7">
      <c r="G15825"/>
    </row>
    <row r="15826" spans="7:7">
      <c r="G15826"/>
    </row>
    <row r="15827" spans="7:7">
      <c r="G15827"/>
    </row>
    <row r="15828" spans="7:7">
      <c r="G15828"/>
    </row>
    <row r="15829" spans="7:7">
      <c r="G15829"/>
    </row>
    <row r="15830" spans="7:7">
      <c r="G15830"/>
    </row>
    <row r="15831" spans="7:7">
      <c r="G15831"/>
    </row>
    <row r="15832" spans="7:7">
      <c r="G15832"/>
    </row>
    <row r="15833" spans="7:7">
      <c r="G15833"/>
    </row>
    <row r="15834" spans="7:7">
      <c r="G15834"/>
    </row>
    <row r="15835" spans="7:7">
      <c r="G15835"/>
    </row>
    <row r="15836" spans="7:7">
      <c r="G15836"/>
    </row>
    <row r="15837" spans="7:7">
      <c r="G15837"/>
    </row>
    <row r="15838" spans="7:7">
      <c r="G15838"/>
    </row>
    <row r="15839" spans="7:7">
      <c r="G15839"/>
    </row>
    <row r="15840" spans="7:7">
      <c r="G15840"/>
    </row>
    <row r="15841" spans="7:7">
      <c r="G15841"/>
    </row>
    <row r="15842" spans="7:7">
      <c r="G15842"/>
    </row>
    <row r="15843" spans="7:7">
      <c r="G15843"/>
    </row>
    <row r="15844" spans="7:7">
      <c r="G15844"/>
    </row>
    <row r="15845" spans="7:7">
      <c r="G15845"/>
    </row>
    <row r="15846" spans="7:7">
      <c r="G15846"/>
    </row>
    <row r="15847" spans="7:7">
      <c r="G15847"/>
    </row>
    <row r="15848" spans="7:7">
      <c r="G15848"/>
    </row>
    <row r="15849" spans="7:7">
      <c r="G15849"/>
    </row>
    <row r="15850" spans="7:7">
      <c r="G15850"/>
    </row>
    <row r="15851" spans="7:7">
      <c r="G15851"/>
    </row>
    <row r="15852" spans="7:7">
      <c r="G15852"/>
    </row>
    <row r="15853" spans="7:7">
      <c r="G15853"/>
    </row>
    <row r="15854" spans="7:7">
      <c r="G15854"/>
    </row>
    <row r="15855" spans="7:7">
      <c r="G15855"/>
    </row>
    <row r="15856" spans="7:7">
      <c r="G15856"/>
    </row>
    <row r="15857" spans="7:7">
      <c r="G15857"/>
    </row>
    <row r="15858" spans="7:7">
      <c r="G15858"/>
    </row>
    <row r="15859" spans="7:7">
      <c r="G15859"/>
    </row>
    <row r="15860" spans="7:7">
      <c r="G15860"/>
    </row>
    <row r="15861" spans="7:7">
      <c r="G15861"/>
    </row>
    <row r="15862" spans="7:7">
      <c r="G15862"/>
    </row>
    <row r="15863" spans="7:7">
      <c r="G15863"/>
    </row>
    <row r="15864" spans="7:7">
      <c r="G15864"/>
    </row>
    <row r="15865" spans="7:7">
      <c r="G15865"/>
    </row>
    <row r="15866" spans="7:7">
      <c r="G15866"/>
    </row>
    <row r="15867" spans="7:7">
      <c r="G15867"/>
    </row>
    <row r="15868" spans="7:7">
      <c r="G15868"/>
    </row>
    <row r="15869" spans="7:7">
      <c r="G15869"/>
    </row>
    <row r="15870" spans="7:7">
      <c r="G15870"/>
    </row>
    <row r="15871" spans="7:7">
      <c r="G15871"/>
    </row>
    <row r="15872" spans="7:7">
      <c r="G15872"/>
    </row>
    <row r="15873" spans="7:7">
      <c r="G15873"/>
    </row>
    <row r="15874" spans="7:7">
      <c r="G15874"/>
    </row>
    <row r="15875" spans="7:7">
      <c r="G15875"/>
    </row>
    <row r="15876" spans="7:7">
      <c r="G15876"/>
    </row>
    <row r="15877" spans="7:7">
      <c r="G15877"/>
    </row>
    <row r="15878" spans="7:7">
      <c r="G15878"/>
    </row>
    <row r="15879" spans="7:7">
      <c r="G15879"/>
    </row>
    <row r="15880" spans="7:7">
      <c r="G15880"/>
    </row>
    <row r="15881" spans="7:7">
      <c r="G15881"/>
    </row>
    <row r="15882" spans="7:7">
      <c r="G15882"/>
    </row>
    <row r="15883" spans="7:7">
      <c r="G15883"/>
    </row>
    <row r="15884" spans="7:7">
      <c r="G15884"/>
    </row>
    <row r="15885" spans="7:7">
      <c r="G15885"/>
    </row>
    <row r="15886" spans="7:7">
      <c r="G15886"/>
    </row>
    <row r="15887" spans="7:7">
      <c r="G15887"/>
    </row>
    <row r="15888" spans="7:7">
      <c r="G15888"/>
    </row>
    <row r="15889" spans="7:7">
      <c r="G15889"/>
    </row>
    <row r="15890" spans="7:7">
      <c r="G15890"/>
    </row>
    <row r="15891" spans="7:7">
      <c r="G15891"/>
    </row>
    <row r="15892" spans="7:7">
      <c r="G15892"/>
    </row>
    <row r="15893" spans="7:7">
      <c r="G15893"/>
    </row>
    <row r="15894" spans="7:7">
      <c r="G15894"/>
    </row>
    <row r="15895" spans="7:7">
      <c r="G15895"/>
    </row>
    <row r="15896" spans="7:7">
      <c r="G15896"/>
    </row>
    <row r="15897" spans="7:7">
      <c r="G15897"/>
    </row>
    <row r="15898" spans="7:7">
      <c r="G15898"/>
    </row>
    <row r="15899" spans="7:7">
      <c r="G15899"/>
    </row>
    <row r="15900" spans="7:7">
      <c r="G15900"/>
    </row>
    <row r="15901" spans="7:7">
      <c r="G15901"/>
    </row>
    <row r="15902" spans="7:7">
      <c r="G15902"/>
    </row>
    <row r="15903" spans="7:7">
      <c r="G15903"/>
    </row>
    <row r="15904" spans="7:7">
      <c r="G15904"/>
    </row>
    <row r="15905" spans="7:7">
      <c r="G15905"/>
    </row>
    <row r="15906" spans="7:7">
      <c r="G15906"/>
    </row>
    <row r="15907" spans="7:7">
      <c r="G15907"/>
    </row>
    <row r="15908" spans="7:7">
      <c r="G15908"/>
    </row>
    <row r="15909" spans="7:7">
      <c r="G15909"/>
    </row>
    <row r="15910" spans="7:7">
      <c r="G15910"/>
    </row>
    <row r="15911" spans="7:7">
      <c r="G15911"/>
    </row>
    <row r="15912" spans="7:7">
      <c r="G15912"/>
    </row>
    <row r="15913" spans="7:7">
      <c r="G15913"/>
    </row>
    <row r="15914" spans="7:7">
      <c r="G15914"/>
    </row>
    <row r="15915" spans="7:7">
      <c r="G15915"/>
    </row>
    <row r="15916" spans="7:7">
      <c r="G15916"/>
    </row>
    <row r="15917" spans="7:7">
      <c r="G15917"/>
    </row>
    <row r="15918" spans="7:7">
      <c r="G15918"/>
    </row>
    <row r="15919" spans="7:7">
      <c r="G15919"/>
    </row>
    <row r="15920" spans="7:7">
      <c r="G15920"/>
    </row>
    <row r="15921" spans="7:7">
      <c r="G15921"/>
    </row>
    <row r="15922" spans="7:7">
      <c r="G15922"/>
    </row>
    <row r="15923" spans="7:7">
      <c r="G15923"/>
    </row>
    <row r="15924" spans="7:7">
      <c r="G15924"/>
    </row>
    <row r="15925" spans="7:7">
      <c r="G15925"/>
    </row>
    <row r="15926" spans="7:7">
      <c r="G15926"/>
    </row>
    <row r="15927" spans="7:7">
      <c r="G15927"/>
    </row>
    <row r="15928" spans="7:7">
      <c r="G15928"/>
    </row>
    <row r="15929" spans="7:7">
      <c r="G15929"/>
    </row>
    <row r="15930" spans="7:7">
      <c r="G15930"/>
    </row>
    <row r="15931" spans="7:7">
      <c r="G15931"/>
    </row>
    <row r="15932" spans="7:7">
      <c r="G15932"/>
    </row>
    <row r="15933" spans="7:7">
      <c r="G15933"/>
    </row>
    <row r="15934" spans="7:7">
      <c r="G15934"/>
    </row>
    <row r="15935" spans="7:7">
      <c r="G15935"/>
    </row>
    <row r="15936" spans="7:7">
      <c r="G15936"/>
    </row>
    <row r="15937" spans="7:7">
      <c r="G15937"/>
    </row>
    <row r="15938" spans="7:7">
      <c r="G15938"/>
    </row>
    <row r="15939" spans="7:7">
      <c r="G15939"/>
    </row>
    <row r="15940" spans="7:7">
      <c r="G15940"/>
    </row>
    <row r="15941" spans="7:7">
      <c r="G15941"/>
    </row>
    <row r="15942" spans="7:7">
      <c r="G15942"/>
    </row>
    <row r="15943" spans="7:7">
      <c r="G15943"/>
    </row>
    <row r="15944" spans="7:7">
      <c r="G15944"/>
    </row>
    <row r="15945" spans="7:7">
      <c r="G15945"/>
    </row>
    <row r="15946" spans="7:7">
      <c r="G15946"/>
    </row>
    <row r="15947" spans="7:7">
      <c r="G15947"/>
    </row>
    <row r="15948" spans="7:7">
      <c r="G15948"/>
    </row>
    <row r="15949" spans="7:7">
      <c r="G15949"/>
    </row>
    <row r="15950" spans="7:7">
      <c r="G15950"/>
    </row>
    <row r="15951" spans="7:7">
      <c r="G15951"/>
    </row>
    <row r="15952" spans="7:7">
      <c r="G15952"/>
    </row>
    <row r="15953" spans="7:7">
      <c r="G15953"/>
    </row>
    <row r="15954" spans="7:7">
      <c r="G15954"/>
    </row>
    <row r="15955" spans="7:7">
      <c r="G15955"/>
    </row>
    <row r="15956" spans="7:7">
      <c r="G15956"/>
    </row>
    <row r="15957" spans="7:7">
      <c r="G15957"/>
    </row>
    <row r="15958" spans="7:7">
      <c r="G15958"/>
    </row>
    <row r="15959" spans="7:7">
      <c r="G15959"/>
    </row>
    <row r="15960" spans="7:7">
      <c r="G15960"/>
    </row>
    <row r="15961" spans="7:7">
      <c r="G15961"/>
    </row>
    <row r="15962" spans="7:7">
      <c r="G15962"/>
    </row>
    <row r="15963" spans="7:7">
      <c r="G15963"/>
    </row>
    <row r="15964" spans="7:7">
      <c r="G15964"/>
    </row>
    <row r="15965" spans="7:7">
      <c r="G15965"/>
    </row>
    <row r="15966" spans="7:7">
      <c r="G15966"/>
    </row>
    <row r="15967" spans="7:7">
      <c r="G15967"/>
    </row>
    <row r="15968" spans="7:7">
      <c r="G15968"/>
    </row>
    <row r="15969" spans="7:7">
      <c r="G15969"/>
    </row>
    <row r="15970" spans="7:7">
      <c r="G15970"/>
    </row>
    <row r="15971" spans="7:7">
      <c r="G15971"/>
    </row>
    <row r="15972" spans="7:7">
      <c r="G15972"/>
    </row>
    <row r="15973" spans="7:7">
      <c r="G15973"/>
    </row>
    <row r="15974" spans="7:7">
      <c r="G15974"/>
    </row>
    <row r="15975" spans="7:7">
      <c r="G15975"/>
    </row>
    <row r="15976" spans="7:7">
      <c r="G15976"/>
    </row>
    <row r="15977" spans="7:7">
      <c r="G15977"/>
    </row>
    <row r="15978" spans="7:7">
      <c r="G15978"/>
    </row>
    <row r="15979" spans="7:7">
      <c r="G15979"/>
    </row>
    <row r="15980" spans="7:7">
      <c r="G15980"/>
    </row>
    <row r="15981" spans="7:7">
      <c r="G15981"/>
    </row>
    <row r="15982" spans="7:7">
      <c r="G15982"/>
    </row>
    <row r="15983" spans="7:7">
      <c r="G15983"/>
    </row>
    <row r="15984" spans="7:7">
      <c r="G15984"/>
    </row>
    <row r="15985" spans="7:7">
      <c r="G15985"/>
    </row>
    <row r="15986" spans="7:7">
      <c r="G15986"/>
    </row>
    <row r="15987" spans="7:7">
      <c r="G15987"/>
    </row>
    <row r="15988" spans="7:7">
      <c r="G15988"/>
    </row>
    <row r="15989" spans="7:7">
      <c r="G15989"/>
    </row>
    <row r="15990" spans="7:7">
      <c r="G15990"/>
    </row>
    <row r="15991" spans="7:7">
      <c r="G15991"/>
    </row>
    <row r="15992" spans="7:7">
      <c r="G15992"/>
    </row>
    <row r="15993" spans="7:7">
      <c r="G15993"/>
    </row>
    <row r="15994" spans="7:7">
      <c r="G15994"/>
    </row>
    <row r="15995" spans="7:7">
      <c r="G15995"/>
    </row>
    <row r="15996" spans="7:7">
      <c r="G15996"/>
    </row>
    <row r="15997" spans="7:7">
      <c r="G15997"/>
    </row>
    <row r="15998" spans="7:7">
      <c r="G15998"/>
    </row>
    <row r="15999" spans="7:7">
      <c r="G15999"/>
    </row>
    <row r="16000" spans="7:7">
      <c r="G16000"/>
    </row>
    <row r="16001" spans="7:7">
      <c r="G16001"/>
    </row>
    <row r="16002" spans="7:7">
      <c r="G16002"/>
    </row>
    <row r="16003" spans="7:7">
      <c r="G16003"/>
    </row>
    <row r="16004" spans="7:7">
      <c r="G16004"/>
    </row>
    <row r="16005" spans="7:7">
      <c r="G16005"/>
    </row>
    <row r="16006" spans="7:7">
      <c r="G16006"/>
    </row>
    <row r="16007" spans="7:7">
      <c r="G16007"/>
    </row>
    <row r="16008" spans="7:7">
      <c r="G16008"/>
    </row>
    <row r="16009" spans="7:7">
      <c r="G16009"/>
    </row>
    <row r="16010" spans="7:7">
      <c r="G16010"/>
    </row>
    <row r="16011" spans="7:7">
      <c r="G16011"/>
    </row>
    <row r="16012" spans="7:7">
      <c r="G16012"/>
    </row>
    <row r="16013" spans="7:7">
      <c r="G16013"/>
    </row>
    <row r="16014" spans="7:7">
      <c r="G16014"/>
    </row>
    <row r="16015" spans="7:7">
      <c r="G16015"/>
    </row>
    <row r="16016" spans="7:7">
      <c r="G16016"/>
    </row>
    <row r="16017" spans="7:7">
      <c r="G16017"/>
    </row>
    <row r="16018" spans="7:7">
      <c r="G16018"/>
    </row>
    <row r="16019" spans="7:7">
      <c r="G16019"/>
    </row>
    <row r="16020" spans="7:7">
      <c r="G16020"/>
    </row>
    <row r="16021" spans="7:7">
      <c r="G16021"/>
    </row>
    <row r="16022" spans="7:7">
      <c r="G16022"/>
    </row>
    <row r="16023" spans="7:7">
      <c r="G16023"/>
    </row>
    <row r="16024" spans="7:7">
      <c r="G16024"/>
    </row>
    <row r="16025" spans="7:7">
      <c r="G16025"/>
    </row>
    <row r="16026" spans="7:7">
      <c r="G16026"/>
    </row>
    <row r="16027" spans="7:7">
      <c r="G16027"/>
    </row>
    <row r="16028" spans="7:7">
      <c r="G16028"/>
    </row>
    <row r="16029" spans="7:7">
      <c r="G16029"/>
    </row>
    <row r="16030" spans="7:7">
      <c r="G16030"/>
    </row>
    <row r="16031" spans="7:7">
      <c r="G16031"/>
    </row>
    <row r="16032" spans="7:7">
      <c r="G16032"/>
    </row>
    <row r="16033" spans="7:7">
      <c r="G16033"/>
    </row>
    <row r="16034" spans="7:7">
      <c r="G16034"/>
    </row>
    <row r="16035" spans="7:7">
      <c r="G16035"/>
    </row>
    <row r="16036" spans="7:7">
      <c r="G16036"/>
    </row>
    <row r="16037" spans="7:7">
      <c r="G16037"/>
    </row>
    <row r="16038" spans="7:7">
      <c r="G16038"/>
    </row>
    <row r="16039" spans="7:7">
      <c r="G16039"/>
    </row>
    <row r="16040" spans="7:7">
      <c r="G16040"/>
    </row>
    <row r="16041" spans="7:7">
      <c r="G16041"/>
    </row>
    <row r="16042" spans="7:7">
      <c r="G16042"/>
    </row>
    <row r="16043" spans="7:7">
      <c r="G16043"/>
    </row>
    <row r="16044" spans="7:7">
      <c r="G16044"/>
    </row>
    <row r="16045" spans="7:7">
      <c r="G16045"/>
    </row>
    <row r="16046" spans="7:7">
      <c r="G16046"/>
    </row>
    <row r="16047" spans="7:7">
      <c r="G16047"/>
    </row>
    <row r="16048" spans="7:7">
      <c r="G16048"/>
    </row>
    <row r="16049" spans="7:7">
      <c r="G16049"/>
    </row>
    <row r="16050" spans="7:7">
      <c r="G16050"/>
    </row>
    <row r="16051" spans="7:7">
      <c r="G16051"/>
    </row>
    <row r="16052" spans="7:7">
      <c r="G16052"/>
    </row>
    <row r="16053" spans="7:7">
      <c r="G16053"/>
    </row>
    <row r="16054" spans="7:7">
      <c r="G16054"/>
    </row>
    <row r="16055" spans="7:7">
      <c r="G16055"/>
    </row>
    <row r="16056" spans="7:7">
      <c r="G16056"/>
    </row>
    <row r="16057" spans="7:7">
      <c r="G16057"/>
    </row>
    <row r="16058" spans="7:7">
      <c r="G16058"/>
    </row>
    <row r="16059" spans="7:7">
      <c r="G16059"/>
    </row>
    <row r="16060" spans="7:7">
      <c r="G16060"/>
    </row>
    <row r="16061" spans="7:7">
      <c r="G16061"/>
    </row>
    <row r="16062" spans="7:7">
      <c r="G16062"/>
    </row>
    <row r="16063" spans="7:7">
      <c r="G16063"/>
    </row>
    <row r="16064" spans="7:7">
      <c r="G16064"/>
    </row>
    <row r="16065" spans="7:7">
      <c r="G16065"/>
    </row>
    <row r="16066" spans="7:7">
      <c r="G16066"/>
    </row>
    <row r="16067" spans="7:7">
      <c r="G16067"/>
    </row>
    <row r="16068" spans="7:7">
      <c r="G16068"/>
    </row>
    <row r="16069" spans="7:7">
      <c r="G16069"/>
    </row>
    <row r="16070" spans="7:7">
      <c r="G16070"/>
    </row>
    <row r="16071" spans="7:7">
      <c r="G16071"/>
    </row>
    <row r="16072" spans="7:7">
      <c r="G16072"/>
    </row>
    <row r="16073" spans="7:7">
      <c r="G16073"/>
    </row>
    <row r="16074" spans="7:7">
      <c r="G16074"/>
    </row>
    <row r="16075" spans="7:7">
      <c r="G16075"/>
    </row>
    <row r="16076" spans="7:7">
      <c r="G16076"/>
    </row>
    <row r="16077" spans="7:7">
      <c r="G16077"/>
    </row>
    <row r="16078" spans="7:7">
      <c r="G16078"/>
    </row>
    <row r="16079" spans="7:7">
      <c r="G16079"/>
    </row>
    <row r="16080" spans="7:7">
      <c r="G16080"/>
    </row>
    <row r="16081" spans="7:7">
      <c r="G16081"/>
    </row>
    <row r="16082" spans="7:7">
      <c r="G16082"/>
    </row>
    <row r="16083" spans="7:7">
      <c r="G16083"/>
    </row>
    <row r="16084" spans="7:7">
      <c r="G16084"/>
    </row>
    <row r="16085" spans="7:7">
      <c r="G16085"/>
    </row>
    <row r="16086" spans="7:7">
      <c r="G16086"/>
    </row>
    <row r="16087" spans="7:7">
      <c r="G16087"/>
    </row>
    <row r="16088" spans="7:7">
      <c r="G16088"/>
    </row>
    <row r="16089" spans="7:7">
      <c r="G16089"/>
    </row>
    <row r="16090" spans="7:7">
      <c r="G16090"/>
    </row>
    <row r="16091" spans="7:7">
      <c r="G16091"/>
    </row>
    <row r="16092" spans="7:7">
      <c r="G16092"/>
    </row>
    <row r="16093" spans="7:7">
      <c r="G16093"/>
    </row>
    <row r="16094" spans="7:7">
      <c r="G16094"/>
    </row>
    <row r="16095" spans="7:7">
      <c r="G16095"/>
    </row>
    <row r="16096" spans="7:7">
      <c r="G16096"/>
    </row>
    <row r="16097" spans="7:7">
      <c r="G16097"/>
    </row>
    <row r="16098" spans="7:7">
      <c r="G16098"/>
    </row>
    <row r="16099" spans="7:7">
      <c r="G16099"/>
    </row>
    <row r="16100" spans="7:7">
      <c r="G16100"/>
    </row>
    <row r="16101" spans="7:7">
      <c r="G16101"/>
    </row>
    <row r="16102" spans="7:7">
      <c r="G16102"/>
    </row>
    <row r="16103" spans="7:7">
      <c r="G16103"/>
    </row>
    <row r="16104" spans="7:7">
      <c r="G16104"/>
    </row>
    <row r="16105" spans="7:7">
      <c r="G16105"/>
    </row>
    <row r="16106" spans="7:7">
      <c r="G16106"/>
    </row>
    <row r="16107" spans="7:7">
      <c r="G16107"/>
    </row>
    <row r="16108" spans="7:7">
      <c r="G16108"/>
    </row>
    <row r="16109" spans="7:7">
      <c r="G16109"/>
    </row>
    <row r="16110" spans="7:7">
      <c r="G16110"/>
    </row>
    <row r="16111" spans="7:7">
      <c r="G16111"/>
    </row>
    <row r="16112" spans="7:7">
      <c r="G16112"/>
    </row>
    <row r="16113" spans="7:7">
      <c r="G16113"/>
    </row>
    <row r="16114" spans="7:7">
      <c r="G16114"/>
    </row>
    <row r="16115" spans="7:7">
      <c r="G16115"/>
    </row>
    <row r="16116" spans="7:7">
      <c r="G16116"/>
    </row>
    <row r="16117" spans="7:7">
      <c r="G16117"/>
    </row>
    <row r="16118" spans="7:7">
      <c r="G16118"/>
    </row>
    <row r="16119" spans="7:7">
      <c r="G16119"/>
    </row>
    <row r="16120" spans="7:7">
      <c r="G16120"/>
    </row>
    <row r="16121" spans="7:7">
      <c r="G16121"/>
    </row>
    <row r="16122" spans="7:7">
      <c r="G16122"/>
    </row>
    <row r="16123" spans="7:7">
      <c r="G16123"/>
    </row>
    <row r="16124" spans="7:7">
      <c r="G16124"/>
    </row>
    <row r="16125" spans="7:7">
      <c r="G16125"/>
    </row>
    <row r="16126" spans="7:7">
      <c r="G16126"/>
    </row>
    <row r="16127" spans="7:7">
      <c r="G16127"/>
    </row>
    <row r="16128" spans="7:7">
      <c r="G16128"/>
    </row>
    <row r="16129" spans="7:7">
      <c r="G16129"/>
    </row>
    <row r="16130" spans="7:7">
      <c r="G16130"/>
    </row>
    <row r="16131" spans="7:7">
      <c r="G16131"/>
    </row>
    <row r="16132" spans="7:7">
      <c r="G16132"/>
    </row>
    <row r="16133" spans="7:7">
      <c r="G16133"/>
    </row>
    <row r="16134" spans="7:7">
      <c r="G16134"/>
    </row>
    <row r="16135" spans="7:7">
      <c r="G16135"/>
    </row>
    <row r="16136" spans="7:7">
      <c r="G16136"/>
    </row>
    <row r="16137" spans="7:7">
      <c r="G16137"/>
    </row>
    <row r="16138" spans="7:7">
      <c r="G16138"/>
    </row>
    <row r="16139" spans="7:7">
      <c r="G16139"/>
    </row>
    <row r="16140" spans="7:7">
      <c r="G16140"/>
    </row>
    <row r="16141" spans="7:7">
      <c r="G16141"/>
    </row>
    <row r="16142" spans="7:7">
      <c r="G16142"/>
    </row>
    <row r="16143" spans="7:7">
      <c r="G16143"/>
    </row>
    <row r="16144" spans="7:7">
      <c r="G16144"/>
    </row>
    <row r="16145" spans="7:7">
      <c r="G16145"/>
    </row>
    <row r="16146" spans="7:7">
      <c r="G16146"/>
    </row>
    <row r="16147" spans="7:7">
      <c r="G16147"/>
    </row>
    <row r="16148" spans="7:7">
      <c r="G16148"/>
    </row>
    <row r="16149" spans="7:7">
      <c r="G16149"/>
    </row>
    <row r="16150" spans="7:7">
      <c r="G16150"/>
    </row>
    <row r="16151" spans="7:7">
      <c r="G16151"/>
    </row>
    <row r="16152" spans="7:7">
      <c r="G16152"/>
    </row>
    <row r="16153" spans="7:7">
      <c r="G16153"/>
    </row>
    <row r="16154" spans="7:7">
      <c r="G16154"/>
    </row>
    <row r="16155" spans="7:7">
      <c r="G16155"/>
    </row>
    <row r="16156" spans="7:7">
      <c r="G16156"/>
    </row>
    <row r="16157" spans="7:7">
      <c r="G16157"/>
    </row>
    <row r="16158" spans="7:7">
      <c r="G16158"/>
    </row>
    <row r="16159" spans="7:7">
      <c r="G16159"/>
    </row>
    <row r="16160" spans="7:7">
      <c r="G16160"/>
    </row>
    <row r="16161" spans="7:7">
      <c r="G16161"/>
    </row>
    <row r="16162" spans="7:7">
      <c r="G16162"/>
    </row>
    <row r="16163" spans="7:7">
      <c r="G16163"/>
    </row>
    <row r="16164" spans="7:7">
      <c r="G16164"/>
    </row>
    <row r="16165" spans="7:7">
      <c r="G16165"/>
    </row>
    <row r="16166" spans="7:7">
      <c r="G16166"/>
    </row>
    <row r="16167" spans="7:7">
      <c r="G16167"/>
    </row>
    <row r="16168" spans="7:7">
      <c r="G16168"/>
    </row>
    <row r="16169" spans="7:7">
      <c r="G16169"/>
    </row>
    <row r="16170" spans="7:7">
      <c r="G16170"/>
    </row>
    <row r="16171" spans="7:7">
      <c r="G16171"/>
    </row>
    <row r="16172" spans="7:7">
      <c r="G16172"/>
    </row>
    <row r="16173" spans="7:7">
      <c r="G16173"/>
    </row>
    <row r="16174" spans="7:7">
      <c r="G16174"/>
    </row>
    <row r="16175" spans="7:7">
      <c r="G16175"/>
    </row>
    <row r="16176" spans="7:7">
      <c r="G16176"/>
    </row>
    <row r="16177" spans="7:7">
      <c r="G16177"/>
    </row>
    <row r="16178" spans="7:7">
      <c r="G16178"/>
    </row>
    <row r="16179" spans="7:7">
      <c r="G16179"/>
    </row>
    <row r="16180" spans="7:7">
      <c r="G16180"/>
    </row>
    <row r="16181" spans="7:7">
      <c r="G16181"/>
    </row>
    <row r="16182" spans="7:7">
      <c r="G16182"/>
    </row>
    <row r="16183" spans="7:7">
      <c r="G16183"/>
    </row>
    <row r="16184" spans="7:7">
      <c r="G16184"/>
    </row>
    <row r="16185" spans="7:7">
      <c r="G16185"/>
    </row>
    <row r="16186" spans="7:7">
      <c r="G16186"/>
    </row>
    <row r="16187" spans="7:7">
      <c r="G16187"/>
    </row>
    <row r="16188" spans="7:7">
      <c r="G16188"/>
    </row>
    <row r="16189" spans="7:7">
      <c r="G16189"/>
    </row>
    <row r="16190" spans="7:7">
      <c r="G16190"/>
    </row>
    <row r="16191" spans="7:7">
      <c r="G16191"/>
    </row>
    <row r="16192" spans="7:7">
      <c r="G16192"/>
    </row>
    <row r="16193" spans="7:7">
      <c r="G16193"/>
    </row>
    <row r="16194" spans="7:7">
      <c r="G16194"/>
    </row>
    <row r="16195" spans="7:7">
      <c r="G16195"/>
    </row>
    <row r="16196" spans="7:7">
      <c r="G16196"/>
    </row>
    <row r="16197" spans="7:7">
      <c r="G16197"/>
    </row>
    <row r="16198" spans="7:7">
      <c r="G16198"/>
    </row>
    <row r="16199" spans="7:7">
      <c r="G16199"/>
    </row>
    <row r="16200" spans="7:7">
      <c r="G16200"/>
    </row>
    <row r="16201" spans="7:7">
      <c r="G16201"/>
    </row>
    <row r="16202" spans="7:7">
      <c r="G16202"/>
    </row>
    <row r="16203" spans="7:7">
      <c r="G16203"/>
    </row>
    <row r="16204" spans="7:7">
      <c r="G16204"/>
    </row>
    <row r="16205" spans="7:7">
      <c r="G16205"/>
    </row>
    <row r="16206" spans="7:7">
      <c r="G16206"/>
    </row>
    <row r="16207" spans="7:7">
      <c r="G16207"/>
    </row>
    <row r="16208" spans="7:7">
      <c r="G16208"/>
    </row>
    <row r="16209" spans="7:7">
      <c r="G16209"/>
    </row>
    <row r="16210" spans="7:7">
      <c r="G16210"/>
    </row>
    <row r="16211" spans="7:7">
      <c r="G16211"/>
    </row>
    <row r="16212" spans="7:7">
      <c r="G16212"/>
    </row>
    <row r="16213" spans="7:7">
      <c r="G16213"/>
    </row>
    <row r="16214" spans="7:7">
      <c r="G16214"/>
    </row>
    <row r="16215" spans="7:7">
      <c r="G16215"/>
    </row>
    <row r="16216" spans="7:7">
      <c r="G16216"/>
    </row>
    <row r="16217" spans="7:7">
      <c r="G16217"/>
    </row>
    <row r="16218" spans="7:7">
      <c r="G16218"/>
    </row>
    <row r="16219" spans="7:7">
      <c r="G16219"/>
    </row>
    <row r="16220" spans="7:7">
      <c r="G16220"/>
    </row>
    <row r="16221" spans="7:7">
      <c r="G16221"/>
    </row>
    <row r="16222" spans="7:7">
      <c r="G16222"/>
    </row>
    <row r="16223" spans="7:7">
      <c r="G16223"/>
    </row>
    <row r="16224" spans="7:7">
      <c r="G16224"/>
    </row>
    <row r="16225" spans="7:7">
      <c r="G16225"/>
    </row>
    <row r="16226" spans="7:7">
      <c r="G16226"/>
    </row>
    <row r="16227" spans="7:7">
      <c r="G16227"/>
    </row>
    <row r="16228" spans="7:7">
      <c r="G16228"/>
    </row>
    <row r="16229" spans="7:7">
      <c r="G16229"/>
    </row>
    <row r="16230" spans="7:7">
      <c r="G16230"/>
    </row>
    <row r="16231" spans="7:7">
      <c r="G16231"/>
    </row>
    <row r="16232" spans="7:7">
      <c r="G16232"/>
    </row>
    <row r="16233" spans="7:7">
      <c r="G16233"/>
    </row>
    <row r="16234" spans="7:7">
      <c r="G16234"/>
    </row>
    <row r="16235" spans="7:7">
      <c r="G16235"/>
    </row>
    <row r="16236" spans="7:7">
      <c r="G16236"/>
    </row>
    <row r="16237" spans="7:7">
      <c r="G16237"/>
    </row>
    <row r="16238" spans="7:7">
      <c r="G16238"/>
    </row>
    <row r="16239" spans="7:7">
      <c r="G16239"/>
    </row>
    <row r="16240" spans="7:7">
      <c r="G16240"/>
    </row>
    <row r="16241" spans="7:7">
      <c r="G16241"/>
    </row>
    <row r="16242" spans="7:7">
      <c r="G16242"/>
    </row>
    <row r="16243" spans="7:7">
      <c r="G16243"/>
    </row>
    <row r="16244" spans="7:7">
      <c r="G16244"/>
    </row>
    <row r="16245" spans="7:7">
      <c r="G16245"/>
    </row>
    <row r="16246" spans="7:7">
      <c r="G16246"/>
    </row>
    <row r="16247" spans="7:7">
      <c r="G16247"/>
    </row>
    <row r="16248" spans="7:7">
      <c r="G16248"/>
    </row>
    <row r="16249" spans="7:7">
      <c r="G16249"/>
    </row>
    <row r="16250" spans="7:7">
      <c r="G16250"/>
    </row>
    <row r="16251" spans="7:7">
      <c r="G16251"/>
    </row>
    <row r="16252" spans="7:7">
      <c r="G16252"/>
    </row>
    <row r="16253" spans="7:7">
      <c r="G16253"/>
    </row>
    <row r="16254" spans="7:7">
      <c r="G16254"/>
    </row>
    <row r="16255" spans="7:7">
      <c r="G16255"/>
    </row>
    <row r="16256" spans="7:7">
      <c r="G16256"/>
    </row>
    <row r="16257" spans="7:7">
      <c r="G16257"/>
    </row>
    <row r="16258" spans="7:7">
      <c r="G16258"/>
    </row>
    <row r="16259" spans="7:7">
      <c r="G16259"/>
    </row>
    <row r="16260" spans="7:7">
      <c r="G16260"/>
    </row>
    <row r="16261" spans="7:7">
      <c r="G16261"/>
    </row>
    <row r="16262" spans="7:7">
      <c r="G16262"/>
    </row>
    <row r="16263" spans="7:7">
      <c r="G16263"/>
    </row>
    <row r="16264" spans="7:7">
      <c r="G16264"/>
    </row>
    <row r="16265" spans="7:7">
      <c r="G16265"/>
    </row>
    <row r="16266" spans="7:7">
      <c r="G16266"/>
    </row>
    <row r="16267" spans="7:7">
      <c r="G16267"/>
    </row>
    <row r="16268" spans="7:7">
      <c r="G16268"/>
    </row>
    <row r="16269" spans="7:7">
      <c r="G16269"/>
    </row>
    <row r="16270" spans="7:7">
      <c r="G16270"/>
    </row>
    <row r="16271" spans="7:7">
      <c r="G16271"/>
    </row>
    <row r="16272" spans="7:7">
      <c r="G16272"/>
    </row>
    <row r="16273" spans="7:7">
      <c r="G16273"/>
    </row>
    <row r="16274" spans="7:7">
      <c r="G16274"/>
    </row>
    <row r="16275" spans="7:7">
      <c r="G16275"/>
    </row>
    <row r="16276" spans="7:7">
      <c r="G16276"/>
    </row>
    <row r="16277" spans="7:7">
      <c r="G16277"/>
    </row>
    <row r="16278" spans="7:7">
      <c r="G16278"/>
    </row>
    <row r="16279" spans="7:7">
      <c r="G16279"/>
    </row>
    <row r="16280" spans="7:7">
      <c r="G16280"/>
    </row>
    <row r="16281" spans="7:7">
      <c r="G16281"/>
    </row>
    <row r="16282" spans="7:7">
      <c r="G16282"/>
    </row>
    <row r="16283" spans="7:7">
      <c r="G16283"/>
    </row>
    <row r="16284" spans="7:7">
      <c r="G16284"/>
    </row>
    <row r="16285" spans="7:7">
      <c r="G16285"/>
    </row>
    <row r="16286" spans="7:7">
      <c r="G16286"/>
    </row>
    <row r="16287" spans="7:7">
      <c r="G16287"/>
    </row>
    <row r="16288" spans="7:7">
      <c r="G16288"/>
    </row>
    <row r="16289" spans="7:7">
      <c r="G16289"/>
    </row>
    <row r="16290" spans="7:7">
      <c r="G16290"/>
    </row>
    <row r="16291" spans="7:7">
      <c r="G16291"/>
    </row>
    <row r="16292" spans="7:7">
      <c r="G16292"/>
    </row>
    <row r="16293" spans="7:7">
      <c r="G16293"/>
    </row>
    <row r="16294" spans="7:7">
      <c r="G16294"/>
    </row>
    <row r="16295" spans="7:7">
      <c r="G16295"/>
    </row>
    <row r="16296" spans="7:7">
      <c r="G16296"/>
    </row>
    <row r="16297" spans="7:7">
      <c r="G16297"/>
    </row>
    <row r="16298" spans="7:7">
      <c r="G16298"/>
    </row>
    <row r="16299" spans="7:7">
      <c r="G16299"/>
    </row>
    <row r="16300" spans="7:7">
      <c r="G16300"/>
    </row>
    <row r="16301" spans="7:7">
      <c r="G16301"/>
    </row>
    <row r="16302" spans="7:7">
      <c r="G16302"/>
    </row>
    <row r="16303" spans="7:7">
      <c r="G16303"/>
    </row>
    <row r="16304" spans="7:7">
      <c r="G16304"/>
    </row>
    <row r="16305" spans="7:7">
      <c r="G16305"/>
    </row>
    <row r="16306" spans="7:7">
      <c r="G16306"/>
    </row>
    <row r="16307" spans="7:7">
      <c r="G16307"/>
    </row>
    <row r="16308" spans="7:7">
      <c r="G16308"/>
    </row>
    <row r="16309" spans="7:7">
      <c r="G16309"/>
    </row>
    <row r="16310" spans="7:7">
      <c r="G16310"/>
    </row>
    <row r="16311" spans="7:7">
      <c r="G16311"/>
    </row>
    <row r="16312" spans="7:7">
      <c r="G16312"/>
    </row>
    <row r="16313" spans="7:7">
      <c r="G16313"/>
    </row>
    <row r="16314" spans="7:7">
      <c r="G16314"/>
    </row>
    <row r="16315" spans="7:7">
      <c r="G16315"/>
    </row>
    <row r="16316" spans="7:7">
      <c r="G16316"/>
    </row>
    <row r="16317" spans="7:7">
      <c r="G16317"/>
    </row>
    <row r="16318" spans="7:7">
      <c r="G16318"/>
    </row>
    <row r="16319" spans="7:7">
      <c r="G16319"/>
    </row>
    <row r="16320" spans="7:7">
      <c r="G16320"/>
    </row>
    <row r="16321" spans="7:7">
      <c r="G16321"/>
    </row>
    <row r="16322" spans="7:7">
      <c r="G16322"/>
    </row>
    <row r="16323" spans="7:7">
      <c r="G16323"/>
    </row>
    <row r="16324" spans="7:7">
      <c r="G16324"/>
    </row>
    <row r="16325" spans="7:7">
      <c r="G16325"/>
    </row>
    <row r="16326" spans="7:7">
      <c r="G16326"/>
    </row>
    <row r="16327" spans="7:7">
      <c r="G16327"/>
    </row>
    <row r="16328" spans="7:7">
      <c r="G16328"/>
    </row>
    <row r="16329" spans="7:7">
      <c r="G16329"/>
    </row>
    <row r="16330" spans="7:7">
      <c r="G16330"/>
    </row>
    <row r="16331" spans="7:7">
      <c r="G16331"/>
    </row>
    <row r="16332" spans="7:7">
      <c r="G16332"/>
    </row>
    <row r="16333" spans="7:7">
      <c r="G16333"/>
    </row>
    <row r="16334" spans="7:7">
      <c r="G16334"/>
    </row>
    <row r="16335" spans="7:7">
      <c r="G16335"/>
    </row>
    <row r="16336" spans="7:7">
      <c r="G16336"/>
    </row>
    <row r="16337" spans="7:7">
      <c r="G16337"/>
    </row>
    <row r="16338" spans="7:7">
      <c r="G16338"/>
    </row>
    <row r="16339" spans="7:7">
      <c r="G16339"/>
    </row>
    <row r="16340" spans="7:7">
      <c r="G16340"/>
    </row>
    <row r="16341" spans="7:7">
      <c r="G16341"/>
    </row>
    <row r="16342" spans="7:7">
      <c r="G16342"/>
    </row>
    <row r="16343" spans="7:7">
      <c r="G16343"/>
    </row>
    <row r="16344" spans="7:7">
      <c r="G16344"/>
    </row>
    <row r="16345" spans="7:7">
      <c r="G16345"/>
    </row>
    <row r="16346" spans="7:7">
      <c r="G16346"/>
    </row>
    <row r="16347" spans="7:7">
      <c r="G16347"/>
    </row>
    <row r="16348" spans="7:7">
      <c r="G16348"/>
    </row>
    <row r="16349" spans="7:7">
      <c r="G16349"/>
    </row>
    <row r="16350" spans="7:7">
      <c r="G16350"/>
    </row>
    <row r="16351" spans="7:7">
      <c r="G16351"/>
    </row>
    <row r="16352" spans="7:7">
      <c r="G16352"/>
    </row>
    <row r="16353" spans="7:7">
      <c r="G16353"/>
    </row>
    <row r="16354" spans="7:7">
      <c r="G16354"/>
    </row>
    <row r="16355" spans="7:7">
      <c r="G16355"/>
    </row>
    <row r="16356" spans="7:7">
      <c r="G16356"/>
    </row>
    <row r="16357" spans="7:7">
      <c r="G16357"/>
    </row>
    <row r="16358" spans="7:7">
      <c r="G16358"/>
    </row>
    <row r="16359" spans="7:7">
      <c r="G16359"/>
    </row>
    <row r="16360" spans="7:7">
      <c r="G16360"/>
    </row>
    <row r="16361" spans="7:7">
      <c r="G16361"/>
    </row>
    <row r="16362" spans="7:7">
      <c r="G16362"/>
    </row>
    <row r="16363" spans="7:7">
      <c r="G16363"/>
    </row>
    <row r="16364" spans="7:7">
      <c r="G16364"/>
    </row>
    <row r="16365" spans="7:7">
      <c r="G16365"/>
    </row>
    <row r="16366" spans="7:7">
      <c r="G16366"/>
    </row>
    <row r="16367" spans="7:7">
      <c r="G16367"/>
    </row>
    <row r="16368" spans="7:7">
      <c r="G16368"/>
    </row>
    <row r="16369" spans="7:7">
      <c r="G16369"/>
    </row>
    <row r="16370" spans="7:7">
      <c r="G16370"/>
    </row>
    <row r="16371" spans="7:7">
      <c r="G16371"/>
    </row>
    <row r="16372" spans="7:7">
      <c r="G16372"/>
    </row>
    <row r="16373" spans="7:7">
      <c r="G16373"/>
    </row>
    <row r="16374" spans="7:7">
      <c r="G16374"/>
    </row>
    <row r="16375" spans="7:7">
      <c r="G16375"/>
    </row>
    <row r="16376" spans="7:7">
      <c r="G16376"/>
    </row>
    <row r="16377" spans="7:7">
      <c r="G16377"/>
    </row>
    <row r="16378" spans="7:7">
      <c r="G16378"/>
    </row>
    <row r="16379" spans="7:7">
      <c r="G16379"/>
    </row>
    <row r="16380" spans="7:7">
      <c r="G16380"/>
    </row>
    <row r="16381" spans="7:7">
      <c r="G16381"/>
    </row>
    <row r="16382" spans="7:7">
      <c r="G16382"/>
    </row>
    <row r="16383" spans="7:7">
      <c r="G16383"/>
    </row>
    <row r="16384" spans="7:7">
      <c r="G16384"/>
    </row>
    <row r="16385" spans="7:7">
      <c r="G16385"/>
    </row>
    <row r="16386" spans="7:7">
      <c r="G16386"/>
    </row>
    <row r="16387" spans="7:7">
      <c r="G16387"/>
    </row>
    <row r="16388" spans="7:7">
      <c r="G16388"/>
    </row>
    <row r="16389" spans="7:7">
      <c r="G16389"/>
    </row>
    <row r="16390" spans="7:7">
      <c r="G16390"/>
    </row>
    <row r="16391" spans="7:7">
      <c r="G16391"/>
    </row>
    <row r="16392" spans="7:7">
      <c r="G16392"/>
    </row>
    <row r="16393" spans="7:7">
      <c r="G16393"/>
    </row>
    <row r="16394" spans="7:7">
      <c r="G16394"/>
    </row>
    <row r="16395" spans="7:7">
      <c r="G16395"/>
    </row>
    <row r="16396" spans="7:7">
      <c r="G16396"/>
    </row>
    <row r="16397" spans="7:7">
      <c r="G16397"/>
    </row>
    <row r="16398" spans="7:7">
      <c r="G16398"/>
    </row>
    <row r="16399" spans="7:7">
      <c r="G16399"/>
    </row>
    <row r="16400" spans="7:7">
      <c r="G16400"/>
    </row>
    <row r="16401" spans="7:7">
      <c r="G16401"/>
    </row>
    <row r="16402" spans="7:7">
      <c r="G16402"/>
    </row>
    <row r="16403" spans="7:7">
      <c r="G16403"/>
    </row>
    <row r="16404" spans="7:7">
      <c r="G16404"/>
    </row>
    <row r="16405" spans="7:7">
      <c r="G16405"/>
    </row>
    <row r="16406" spans="7:7">
      <c r="G16406"/>
    </row>
    <row r="16407" spans="7:7">
      <c r="G16407"/>
    </row>
    <row r="16408" spans="7:7">
      <c r="G16408"/>
    </row>
    <row r="16409" spans="7:7">
      <c r="G16409"/>
    </row>
    <row r="16410" spans="7:7">
      <c r="G16410"/>
    </row>
    <row r="16411" spans="7:7">
      <c r="G16411"/>
    </row>
    <row r="16412" spans="7:7">
      <c r="G16412"/>
    </row>
    <row r="16413" spans="7:7">
      <c r="G16413"/>
    </row>
    <row r="16414" spans="7:7">
      <c r="G16414"/>
    </row>
    <row r="16415" spans="7:7">
      <c r="G16415"/>
    </row>
    <row r="16416" spans="7:7">
      <c r="G16416"/>
    </row>
    <row r="16417" spans="7:7">
      <c r="G16417"/>
    </row>
    <row r="16418" spans="7:7">
      <c r="G16418"/>
    </row>
    <row r="16419" spans="7:7">
      <c r="G16419"/>
    </row>
    <row r="16420" spans="7:7">
      <c r="G16420"/>
    </row>
    <row r="16421" spans="7:7">
      <c r="G16421"/>
    </row>
    <row r="16422" spans="7:7">
      <c r="G16422"/>
    </row>
    <row r="16423" spans="7:7">
      <c r="G16423"/>
    </row>
    <row r="16424" spans="7:7">
      <c r="G16424"/>
    </row>
    <row r="16425" spans="7:7">
      <c r="G16425"/>
    </row>
    <row r="16426" spans="7:7">
      <c r="G16426"/>
    </row>
    <row r="16427" spans="7:7">
      <c r="G16427"/>
    </row>
    <row r="16428" spans="7:7">
      <c r="G16428"/>
    </row>
    <row r="16429" spans="7:7">
      <c r="G16429"/>
    </row>
    <row r="16430" spans="7:7">
      <c r="G16430"/>
    </row>
    <row r="16431" spans="7:7">
      <c r="G16431"/>
    </row>
    <row r="16432" spans="7:7">
      <c r="G16432"/>
    </row>
    <row r="16433" spans="7:7">
      <c r="G16433"/>
    </row>
    <row r="16434" spans="7:7">
      <c r="G16434"/>
    </row>
    <row r="16435" spans="7:7">
      <c r="G16435"/>
    </row>
    <row r="16436" spans="7:7">
      <c r="G16436"/>
    </row>
    <row r="16437" spans="7:7">
      <c r="G16437"/>
    </row>
    <row r="16438" spans="7:7">
      <c r="G16438"/>
    </row>
    <row r="16439" spans="7:7">
      <c r="G16439"/>
    </row>
    <row r="16440" spans="7:7">
      <c r="G16440"/>
    </row>
    <row r="16441" spans="7:7">
      <c r="G16441"/>
    </row>
    <row r="16442" spans="7:7">
      <c r="G16442"/>
    </row>
    <row r="16443" spans="7:7">
      <c r="G16443"/>
    </row>
    <row r="16444" spans="7:7">
      <c r="G16444"/>
    </row>
    <row r="16445" spans="7:7">
      <c r="G16445"/>
    </row>
    <row r="16446" spans="7:7">
      <c r="G16446"/>
    </row>
    <row r="16447" spans="7:7">
      <c r="G16447"/>
    </row>
    <row r="16448" spans="7:7">
      <c r="G16448"/>
    </row>
    <row r="16449" spans="7:7">
      <c r="G16449"/>
    </row>
    <row r="16450" spans="7:7">
      <c r="G16450"/>
    </row>
    <row r="16451" spans="7:7">
      <c r="G16451"/>
    </row>
    <row r="16452" spans="7:7">
      <c r="G16452"/>
    </row>
    <row r="16453" spans="7:7">
      <c r="G16453"/>
    </row>
    <row r="16454" spans="7:7">
      <c r="G16454"/>
    </row>
    <row r="16455" spans="7:7">
      <c r="G16455"/>
    </row>
    <row r="16456" spans="7:7">
      <c r="G16456"/>
    </row>
    <row r="16457" spans="7:7">
      <c r="G16457"/>
    </row>
    <row r="16458" spans="7:7">
      <c r="G16458"/>
    </row>
    <row r="16459" spans="7:7">
      <c r="G16459"/>
    </row>
    <row r="16460" spans="7:7">
      <c r="G16460"/>
    </row>
    <row r="16461" spans="7:7">
      <c r="G16461"/>
    </row>
    <row r="16462" spans="7:7">
      <c r="G16462"/>
    </row>
    <row r="16463" spans="7:7">
      <c r="G16463"/>
    </row>
    <row r="16464" spans="7:7">
      <c r="G16464"/>
    </row>
    <row r="16465" spans="7:7">
      <c r="G16465"/>
    </row>
    <row r="16466" spans="7:7">
      <c r="G16466"/>
    </row>
    <row r="16467" spans="7:7">
      <c r="G16467"/>
    </row>
    <row r="16468" spans="7:7">
      <c r="G16468"/>
    </row>
    <row r="16469" spans="7:7">
      <c r="G16469"/>
    </row>
    <row r="16470" spans="7:7">
      <c r="G16470"/>
    </row>
    <row r="16471" spans="7:7">
      <c r="G16471"/>
    </row>
    <row r="16472" spans="7:7">
      <c r="G16472"/>
    </row>
    <row r="16473" spans="7:7">
      <c r="G16473"/>
    </row>
    <row r="16474" spans="7:7">
      <c r="G16474"/>
    </row>
    <row r="16475" spans="7:7">
      <c r="G16475"/>
    </row>
    <row r="16476" spans="7:7">
      <c r="G16476"/>
    </row>
    <row r="16477" spans="7:7">
      <c r="G16477"/>
    </row>
    <row r="16478" spans="7:7">
      <c r="G16478"/>
    </row>
    <row r="16479" spans="7:7">
      <c r="G16479"/>
    </row>
    <row r="16480" spans="7:7">
      <c r="G16480"/>
    </row>
    <row r="16481" spans="7:7">
      <c r="G16481"/>
    </row>
    <row r="16482" spans="7:7">
      <c r="G16482"/>
    </row>
    <row r="16483" spans="7:7">
      <c r="G16483"/>
    </row>
    <row r="16484" spans="7:7">
      <c r="G16484"/>
    </row>
    <row r="16485" spans="7:7">
      <c r="G16485"/>
    </row>
    <row r="16486" spans="7:7">
      <c r="G16486"/>
    </row>
    <row r="16487" spans="7:7">
      <c r="G16487"/>
    </row>
    <row r="16488" spans="7:7">
      <c r="G16488"/>
    </row>
    <row r="16489" spans="7:7">
      <c r="G16489"/>
    </row>
    <row r="16490" spans="7:7">
      <c r="G16490"/>
    </row>
    <row r="16491" spans="7:7">
      <c r="G16491"/>
    </row>
    <row r="16492" spans="7:7">
      <c r="G16492"/>
    </row>
    <row r="16493" spans="7:7">
      <c r="G16493"/>
    </row>
    <row r="16494" spans="7:7">
      <c r="G16494"/>
    </row>
    <row r="16495" spans="7:7">
      <c r="G16495"/>
    </row>
    <row r="16496" spans="7:7">
      <c r="G16496"/>
    </row>
    <row r="16497" spans="7:7">
      <c r="G16497"/>
    </row>
    <row r="16498" spans="7:7">
      <c r="G16498"/>
    </row>
    <row r="16499" spans="7:7">
      <c r="G16499"/>
    </row>
    <row r="16500" spans="7:7">
      <c r="G16500"/>
    </row>
    <row r="16501" spans="7:7">
      <c r="G16501"/>
    </row>
    <row r="16502" spans="7:7">
      <c r="G16502"/>
    </row>
    <row r="16503" spans="7:7">
      <c r="G16503"/>
    </row>
    <row r="16504" spans="7:7">
      <c r="G16504"/>
    </row>
    <row r="16505" spans="7:7">
      <c r="G16505"/>
    </row>
    <row r="16506" spans="7:7">
      <c r="G16506"/>
    </row>
    <row r="16507" spans="7:7">
      <c r="G16507"/>
    </row>
    <row r="16508" spans="7:7">
      <c r="G16508"/>
    </row>
    <row r="16509" spans="7:7">
      <c r="G16509"/>
    </row>
    <row r="16510" spans="7:7">
      <c r="G16510"/>
    </row>
    <row r="16511" spans="7:7">
      <c r="G16511"/>
    </row>
    <row r="16512" spans="7:7">
      <c r="G16512"/>
    </row>
    <row r="16513" spans="7:7">
      <c r="G16513"/>
    </row>
    <row r="16514" spans="7:7">
      <c r="G16514"/>
    </row>
    <row r="16515" spans="7:7">
      <c r="G16515"/>
    </row>
    <row r="16516" spans="7:7">
      <c r="G16516"/>
    </row>
    <row r="16517" spans="7:7">
      <c r="G16517"/>
    </row>
    <row r="16518" spans="7:7">
      <c r="G16518"/>
    </row>
    <row r="16519" spans="7:7">
      <c r="G16519"/>
    </row>
    <row r="16520" spans="7:7">
      <c r="G16520"/>
    </row>
    <row r="16521" spans="7:7">
      <c r="G16521"/>
    </row>
    <row r="16522" spans="7:7">
      <c r="G16522"/>
    </row>
    <row r="16523" spans="7:7">
      <c r="G16523"/>
    </row>
    <row r="16524" spans="7:7">
      <c r="G16524"/>
    </row>
    <row r="16525" spans="7:7">
      <c r="G16525"/>
    </row>
    <row r="16526" spans="7:7">
      <c r="G16526"/>
    </row>
    <row r="16527" spans="7:7">
      <c r="G16527"/>
    </row>
    <row r="16528" spans="7:7">
      <c r="G16528"/>
    </row>
    <row r="16529" spans="7:7">
      <c r="G16529"/>
    </row>
    <row r="16530" spans="7:7">
      <c r="G16530"/>
    </row>
    <row r="16531" spans="7:7">
      <c r="G16531"/>
    </row>
    <row r="16532" spans="7:7">
      <c r="G16532"/>
    </row>
    <row r="16533" spans="7:7">
      <c r="G16533"/>
    </row>
    <row r="16534" spans="7:7">
      <c r="G16534"/>
    </row>
    <row r="16535" spans="7:7">
      <c r="G16535"/>
    </row>
    <row r="16536" spans="7:7">
      <c r="G16536"/>
    </row>
    <row r="16537" spans="7:7">
      <c r="G16537"/>
    </row>
    <row r="16538" spans="7:7">
      <c r="G16538"/>
    </row>
    <row r="16539" spans="7:7">
      <c r="G16539"/>
    </row>
    <row r="16540" spans="7:7">
      <c r="G16540"/>
    </row>
    <row r="16541" spans="7:7">
      <c r="G16541"/>
    </row>
    <row r="16542" spans="7:7">
      <c r="G16542"/>
    </row>
    <row r="16543" spans="7:7">
      <c r="G16543"/>
    </row>
    <row r="16544" spans="7:7">
      <c r="G16544"/>
    </row>
    <row r="16545" spans="7:7">
      <c r="G16545"/>
    </row>
    <row r="16546" spans="7:7">
      <c r="G16546"/>
    </row>
    <row r="16547" spans="7:7">
      <c r="G16547"/>
    </row>
    <row r="16548" spans="7:7">
      <c r="G16548"/>
    </row>
    <row r="16549" spans="7:7">
      <c r="G16549"/>
    </row>
    <row r="16550" spans="7:7">
      <c r="G16550"/>
    </row>
    <row r="16551" spans="7:7">
      <c r="G16551"/>
    </row>
    <row r="16552" spans="7:7">
      <c r="G16552"/>
    </row>
    <row r="16553" spans="7:7">
      <c r="G16553"/>
    </row>
    <row r="16554" spans="7:7">
      <c r="G16554"/>
    </row>
    <row r="16555" spans="7:7">
      <c r="G16555"/>
    </row>
    <row r="16556" spans="7:7">
      <c r="G16556"/>
    </row>
    <row r="16557" spans="7:7">
      <c r="G16557"/>
    </row>
    <row r="16558" spans="7:7">
      <c r="G16558"/>
    </row>
    <row r="16559" spans="7:7">
      <c r="G16559"/>
    </row>
    <row r="16560" spans="7:7">
      <c r="G16560"/>
    </row>
    <row r="16561" spans="7:7">
      <c r="G16561"/>
    </row>
    <row r="16562" spans="7:7">
      <c r="G16562"/>
    </row>
    <row r="16563" spans="7:7">
      <c r="G16563"/>
    </row>
    <row r="16564" spans="7:7">
      <c r="G16564"/>
    </row>
    <row r="16565" spans="7:7">
      <c r="G16565"/>
    </row>
    <row r="16566" spans="7:7">
      <c r="G16566"/>
    </row>
    <row r="16567" spans="7:7">
      <c r="G16567"/>
    </row>
    <row r="16568" spans="7:7">
      <c r="G16568"/>
    </row>
    <row r="16569" spans="7:7">
      <c r="G16569"/>
    </row>
    <row r="16570" spans="7:7">
      <c r="G16570"/>
    </row>
    <row r="16571" spans="7:7">
      <c r="G16571"/>
    </row>
    <row r="16572" spans="7:7">
      <c r="G16572"/>
    </row>
    <row r="16573" spans="7:7">
      <c r="G16573"/>
    </row>
    <row r="16574" spans="7:7">
      <c r="G16574"/>
    </row>
    <row r="16575" spans="7:7">
      <c r="G16575"/>
    </row>
    <row r="16576" spans="7:7">
      <c r="G16576"/>
    </row>
    <row r="16577" spans="7:7">
      <c r="G16577"/>
    </row>
    <row r="16578" spans="7:7">
      <c r="G16578"/>
    </row>
    <row r="16579" spans="7:7">
      <c r="G16579"/>
    </row>
    <row r="16580" spans="7:7">
      <c r="G16580"/>
    </row>
    <row r="16581" spans="7:7">
      <c r="G16581"/>
    </row>
    <row r="16582" spans="7:7">
      <c r="G16582"/>
    </row>
    <row r="16583" spans="7:7">
      <c r="G16583"/>
    </row>
    <row r="16584" spans="7:7">
      <c r="G16584"/>
    </row>
    <row r="16585" spans="7:7">
      <c r="G16585"/>
    </row>
    <row r="16586" spans="7:7">
      <c r="G16586"/>
    </row>
    <row r="16587" spans="7:7">
      <c r="G16587"/>
    </row>
    <row r="16588" spans="7:7">
      <c r="G16588"/>
    </row>
    <row r="16589" spans="7:7">
      <c r="G16589"/>
    </row>
    <row r="16590" spans="7:7">
      <c r="G16590"/>
    </row>
    <row r="16591" spans="7:7">
      <c r="G16591"/>
    </row>
    <row r="16592" spans="7:7">
      <c r="G16592"/>
    </row>
    <row r="16593" spans="7:7">
      <c r="G16593"/>
    </row>
    <row r="16594" spans="7:7">
      <c r="G16594"/>
    </row>
    <row r="16595" spans="7:7">
      <c r="G16595"/>
    </row>
    <row r="16596" spans="7:7">
      <c r="G16596"/>
    </row>
    <row r="16597" spans="7:7">
      <c r="G16597"/>
    </row>
    <row r="16598" spans="7:7">
      <c r="G16598"/>
    </row>
    <row r="16599" spans="7:7">
      <c r="G16599"/>
    </row>
    <row r="16600" spans="7:7">
      <c r="G16600"/>
    </row>
    <row r="16601" spans="7:7">
      <c r="G16601"/>
    </row>
    <row r="16602" spans="7:7">
      <c r="G16602"/>
    </row>
    <row r="16603" spans="7:7">
      <c r="G16603"/>
    </row>
    <row r="16604" spans="7:7">
      <c r="G16604"/>
    </row>
    <row r="16605" spans="7:7">
      <c r="G16605"/>
    </row>
    <row r="16606" spans="7:7">
      <c r="G16606"/>
    </row>
    <row r="16607" spans="7:7">
      <c r="G16607"/>
    </row>
    <row r="16608" spans="7:7">
      <c r="G16608"/>
    </row>
    <row r="16609" spans="7:7">
      <c r="G16609"/>
    </row>
    <row r="16610" spans="7:7">
      <c r="G16610"/>
    </row>
    <row r="16611" spans="7:7">
      <c r="G16611"/>
    </row>
    <row r="16612" spans="7:7">
      <c r="G16612"/>
    </row>
    <row r="16613" spans="7:7">
      <c r="G16613"/>
    </row>
    <row r="16614" spans="7:7">
      <c r="G16614"/>
    </row>
    <row r="16615" spans="7:7">
      <c r="G16615"/>
    </row>
    <row r="16616" spans="7:7">
      <c r="G16616"/>
    </row>
    <row r="16617" spans="7:7">
      <c r="G16617"/>
    </row>
    <row r="16618" spans="7:7">
      <c r="G16618"/>
    </row>
    <row r="16619" spans="7:7">
      <c r="G16619"/>
    </row>
    <row r="16620" spans="7:7">
      <c r="G16620"/>
    </row>
    <row r="16621" spans="7:7">
      <c r="G16621"/>
    </row>
    <row r="16622" spans="7:7">
      <c r="G16622"/>
    </row>
    <row r="16623" spans="7:7">
      <c r="G16623"/>
    </row>
    <row r="16624" spans="7:7">
      <c r="G16624"/>
    </row>
    <row r="16625" spans="7:7">
      <c r="G16625"/>
    </row>
    <row r="16626" spans="7:7">
      <c r="G16626"/>
    </row>
    <row r="16627" spans="7:7">
      <c r="G16627"/>
    </row>
    <row r="16628" spans="7:7">
      <c r="G16628"/>
    </row>
    <row r="16629" spans="7:7">
      <c r="G16629"/>
    </row>
    <row r="16630" spans="7:7">
      <c r="G16630"/>
    </row>
    <row r="16631" spans="7:7">
      <c r="G16631"/>
    </row>
    <row r="16632" spans="7:7">
      <c r="G16632"/>
    </row>
    <row r="16633" spans="7:7">
      <c r="G16633"/>
    </row>
    <row r="16634" spans="7:7">
      <c r="G16634"/>
    </row>
    <row r="16635" spans="7:7">
      <c r="G16635"/>
    </row>
    <row r="16636" spans="7:7">
      <c r="G16636"/>
    </row>
    <row r="16637" spans="7:7">
      <c r="G16637"/>
    </row>
    <row r="16638" spans="7:7">
      <c r="G16638"/>
    </row>
    <row r="16639" spans="7:7">
      <c r="G16639"/>
    </row>
    <row r="16640" spans="7:7">
      <c r="G16640"/>
    </row>
    <row r="16641" spans="7:7">
      <c r="G16641"/>
    </row>
    <row r="16642" spans="7:7">
      <c r="G16642"/>
    </row>
    <row r="16643" spans="7:7">
      <c r="G16643"/>
    </row>
    <row r="16644" spans="7:7">
      <c r="G16644"/>
    </row>
    <row r="16645" spans="7:7">
      <c r="G16645"/>
    </row>
    <row r="16646" spans="7:7">
      <c r="G16646"/>
    </row>
    <row r="16647" spans="7:7">
      <c r="G16647"/>
    </row>
    <row r="16648" spans="7:7">
      <c r="G16648"/>
    </row>
    <row r="16649" spans="7:7">
      <c r="G16649"/>
    </row>
    <row r="16650" spans="7:7">
      <c r="G16650"/>
    </row>
    <row r="16651" spans="7:7">
      <c r="G16651"/>
    </row>
    <row r="16652" spans="7:7">
      <c r="G16652"/>
    </row>
    <row r="16653" spans="7:7">
      <c r="G16653"/>
    </row>
    <row r="16654" spans="7:7">
      <c r="G16654"/>
    </row>
    <row r="16655" spans="7:7">
      <c r="G16655"/>
    </row>
    <row r="16656" spans="7:7">
      <c r="G16656"/>
    </row>
    <row r="16657" spans="7:7">
      <c r="G16657"/>
    </row>
    <row r="16658" spans="7:7">
      <c r="G16658"/>
    </row>
    <row r="16659" spans="7:7">
      <c r="G16659"/>
    </row>
    <row r="16660" spans="7:7">
      <c r="G16660"/>
    </row>
    <row r="16661" spans="7:7">
      <c r="G16661"/>
    </row>
    <row r="16662" spans="7:7">
      <c r="G16662"/>
    </row>
    <row r="16663" spans="7:7">
      <c r="G16663"/>
    </row>
    <row r="16664" spans="7:7">
      <c r="G16664"/>
    </row>
    <row r="16665" spans="7:7">
      <c r="G16665"/>
    </row>
    <row r="16666" spans="7:7">
      <c r="G16666"/>
    </row>
    <row r="16667" spans="7:7">
      <c r="G16667"/>
    </row>
    <row r="16668" spans="7:7">
      <c r="G16668"/>
    </row>
    <row r="16669" spans="7:7">
      <c r="G16669"/>
    </row>
    <row r="16670" spans="7:7">
      <c r="G16670"/>
    </row>
    <row r="16671" spans="7:7">
      <c r="G16671"/>
    </row>
    <row r="16672" spans="7:7">
      <c r="G16672"/>
    </row>
    <row r="16673" spans="7:7">
      <c r="G16673"/>
    </row>
    <row r="16674" spans="7:7">
      <c r="G16674"/>
    </row>
    <row r="16675" spans="7:7">
      <c r="G16675"/>
    </row>
    <row r="16676" spans="7:7">
      <c r="G16676"/>
    </row>
    <row r="16677" spans="7:7">
      <c r="G16677"/>
    </row>
    <row r="16678" spans="7:7">
      <c r="G16678"/>
    </row>
    <row r="16679" spans="7:7">
      <c r="G16679"/>
    </row>
    <row r="16680" spans="7:7">
      <c r="G16680"/>
    </row>
    <row r="16681" spans="7:7">
      <c r="G16681"/>
    </row>
    <row r="16682" spans="7:7">
      <c r="G16682"/>
    </row>
    <row r="16683" spans="7:7">
      <c r="G16683"/>
    </row>
    <row r="16684" spans="7:7">
      <c r="G16684"/>
    </row>
    <row r="16685" spans="7:7">
      <c r="G16685"/>
    </row>
    <row r="16686" spans="7:7">
      <c r="G16686"/>
    </row>
    <row r="16687" spans="7:7">
      <c r="G16687"/>
    </row>
    <row r="16688" spans="7:7">
      <c r="G16688"/>
    </row>
    <row r="16689" spans="7:7">
      <c r="G16689"/>
    </row>
    <row r="16690" spans="7:7">
      <c r="G16690"/>
    </row>
    <row r="16691" spans="7:7">
      <c r="G16691"/>
    </row>
    <row r="16692" spans="7:7">
      <c r="G16692"/>
    </row>
    <row r="16693" spans="7:7">
      <c r="G16693"/>
    </row>
    <row r="16694" spans="7:7">
      <c r="G16694"/>
    </row>
    <row r="16695" spans="7:7">
      <c r="G16695"/>
    </row>
    <row r="16696" spans="7:7">
      <c r="G16696"/>
    </row>
    <row r="16697" spans="7:7">
      <c r="G16697"/>
    </row>
    <row r="16698" spans="7:7">
      <c r="G16698"/>
    </row>
    <row r="16699" spans="7:7">
      <c r="G16699"/>
    </row>
    <row r="16700" spans="7:7">
      <c r="G16700"/>
    </row>
    <row r="16701" spans="7:7">
      <c r="G16701"/>
    </row>
    <row r="16702" spans="7:7">
      <c r="G16702"/>
    </row>
    <row r="16703" spans="7:7">
      <c r="G16703"/>
    </row>
    <row r="16704" spans="7:7">
      <c r="G16704"/>
    </row>
    <row r="16705" spans="7:7">
      <c r="G16705"/>
    </row>
    <row r="16706" spans="7:7">
      <c r="G16706"/>
    </row>
    <row r="16707" spans="7:7">
      <c r="G16707"/>
    </row>
    <row r="16708" spans="7:7">
      <c r="G16708"/>
    </row>
    <row r="16709" spans="7:7">
      <c r="G16709"/>
    </row>
    <row r="16710" spans="7:7">
      <c r="G16710"/>
    </row>
    <row r="16711" spans="7:7">
      <c r="G16711"/>
    </row>
    <row r="16712" spans="7:7">
      <c r="G16712"/>
    </row>
    <row r="16713" spans="7:7">
      <c r="G16713"/>
    </row>
    <row r="16714" spans="7:7">
      <c r="G16714"/>
    </row>
    <row r="16715" spans="7:7">
      <c r="G16715"/>
    </row>
    <row r="16716" spans="7:7">
      <c r="G16716"/>
    </row>
    <row r="16717" spans="7:7">
      <c r="G16717"/>
    </row>
    <row r="16718" spans="7:7">
      <c r="G16718"/>
    </row>
    <row r="16719" spans="7:7">
      <c r="G16719"/>
    </row>
    <row r="16720" spans="7:7">
      <c r="G16720"/>
    </row>
    <row r="16721" spans="7:7">
      <c r="G16721"/>
    </row>
    <row r="16722" spans="7:7">
      <c r="G16722"/>
    </row>
    <row r="16723" spans="7:7">
      <c r="G16723"/>
    </row>
    <row r="16724" spans="7:7">
      <c r="G16724"/>
    </row>
    <row r="16725" spans="7:7">
      <c r="G16725"/>
    </row>
    <row r="16726" spans="7:7">
      <c r="G16726"/>
    </row>
    <row r="16727" spans="7:7">
      <c r="G16727"/>
    </row>
    <row r="16728" spans="7:7">
      <c r="G16728"/>
    </row>
    <row r="16729" spans="7:7">
      <c r="G16729"/>
    </row>
    <row r="16730" spans="7:7">
      <c r="G16730"/>
    </row>
    <row r="16731" spans="7:7">
      <c r="G16731"/>
    </row>
    <row r="16732" spans="7:7">
      <c r="G16732"/>
    </row>
    <row r="16733" spans="7:7">
      <c r="G16733"/>
    </row>
    <row r="16734" spans="7:7">
      <c r="G16734"/>
    </row>
    <row r="16735" spans="7:7">
      <c r="G16735"/>
    </row>
    <row r="16736" spans="7:7">
      <c r="G16736"/>
    </row>
    <row r="16737" spans="7:7">
      <c r="G16737"/>
    </row>
    <row r="16738" spans="7:7">
      <c r="G16738"/>
    </row>
    <row r="16739" spans="7:7">
      <c r="G16739"/>
    </row>
    <row r="16740" spans="7:7">
      <c r="G16740"/>
    </row>
    <row r="16741" spans="7:7">
      <c r="G16741"/>
    </row>
    <row r="16742" spans="7:7">
      <c r="G16742"/>
    </row>
    <row r="16743" spans="7:7">
      <c r="G16743"/>
    </row>
    <row r="16744" spans="7:7">
      <c r="G16744"/>
    </row>
    <row r="16745" spans="7:7">
      <c r="G16745"/>
    </row>
    <row r="16746" spans="7:7">
      <c r="G16746"/>
    </row>
    <row r="16747" spans="7:7">
      <c r="G16747"/>
    </row>
    <row r="16748" spans="7:7">
      <c r="G16748"/>
    </row>
    <row r="16749" spans="7:7">
      <c r="G16749"/>
    </row>
    <row r="16750" spans="7:7">
      <c r="G16750"/>
    </row>
    <row r="16751" spans="7:7">
      <c r="G16751"/>
    </row>
    <row r="16752" spans="7:7">
      <c r="G16752"/>
    </row>
    <row r="16753" spans="7:7">
      <c r="G16753"/>
    </row>
    <row r="16754" spans="7:7">
      <c r="G16754"/>
    </row>
    <row r="16755" spans="7:7">
      <c r="G16755"/>
    </row>
    <row r="16756" spans="7:7">
      <c r="G16756"/>
    </row>
    <row r="16757" spans="7:7">
      <c r="G16757"/>
    </row>
    <row r="16758" spans="7:7">
      <c r="G16758"/>
    </row>
    <row r="16759" spans="7:7">
      <c r="G16759"/>
    </row>
    <row r="16760" spans="7:7">
      <c r="G16760"/>
    </row>
    <row r="16761" spans="7:7">
      <c r="G16761"/>
    </row>
    <row r="16762" spans="7:7">
      <c r="G16762"/>
    </row>
    <row r="16763" spans="7:7">
      <c r="G16763"/>
    </row>
    <row r="16764" spans="7:7">
      <c r="G16764"/>
    </row>
    <row r="16765" spans="7:7">
      <c r="G16765"/>
    </row>
    <row r="16766" spans="7:7">
      <c r="G16766"/>
    </row>
    <row r="16767" spans="7:7">
      <c r="G16767"/>
    </row>
    <row r="16768" spans="7:7">
      <c r="G16768"/>
    </row>
    <row r="16769" spans="7:7">
      <c r="G16769"/>
    </row>
    <row r="16770" spans="7:7">
      <c r="G16770"/>
    </row>
    <row r="16771" spans="7:7">
      <c r="G16771"/>
    </row>
    <row r="16772" spans="7:7">
      <c r="G16772"/>
    </row>
    <row r="16773" spans="7:7">
      <c r="G16773"/>
    </row>
    <row r="16774" spans="7:7">
      <c r="G16774"/>
    </row>
    <row r="16775" spans="7:7">
      <c r="G16775"/>
    </row>
    <row r="16776" spans="7:7">
      <c r="G16776"/>
    </row>
    <row r="16777" spans="7:7">
      <c r="G16777"/>
    </row>
    <row r="16778" spans="7:7">
      <c r="G16778"/>
    </row>
    <row r="16779" spans="7:7">
      <c r="G16779"/>
    </row>
    <row r="16780" spans="7:7">
      <c r="G16780"/>
    </row>
    <row r="16781" spans="7:7">
      <c r="G16781"/>
    </row>
    <row r="16782" spans="7:7">
      <c r="G16782"/>
    </row>
    <row r="16783" spans="7:7">
      <c r="G16783"/>
    </row>
    <row r="16784" spans="7:7">
      <c r="G16784"/>
    </row>
    <row r="16785" spans="7:7">
      <c r="G16785"/>
    </row>
    <row r="16786" spans="7:7">
      <c r="G16786"/>
    </row>
    <row r="16787" spans="7:7">
      <c r="G16787"/>
    </row>
    <row r="16788" spans="7:7">
      <c r="G16788"/>
    </row>
    <row r="16789" spans="7:7">
      <c r="G16789"/>
    </row>
    <row r="16790" spans="7:7">
      <c r="G16790"/>
    </row>
    <row r="16791" spans="7:7">
      <c r="G16791"/>
    </row>
    <row r="16792" spans="7:7">
      <c r="G16792"/>
    </row>
    <row r="16793" spans="7:7">
      <c r="G16793"/>
    </row>
    <row r="16794" spans="7:7">
      <c r="G16794"/>
    </row>
    <row r="16795" spans="7:7">
      <c r="G16795"/>
    </row>
    <row r="16796" spans="7:7">
      <c r="G16796"/>
    </row>
    <row r="16797" spans="7:7">
      <c r="G16797"/>
    </row>
    <row r="16798" spans="7:7">
      <c r="G16798"/>
    </row>
    <row r="16799" spans="7:7">
      <c r="G16799"/>
    </row>
    <row r="16800" spans="7:7">
      <c r="G16800"/>
    </row>
    <row r="16801" spans="7:7">
      <c r="G16801"/>
    </row>
    <row r="16802" spans="7:7">
      <c r="G16802"/>
    </row>
    <row r="16803" spans="7:7">
      <c r="G16803"/>
    </row>
    <row r="16804" spans="7:7">
      <c r="G16804"/>
    </row>
    <row r="16805" spans="7:7">
      <c r="G16805"/>
    </row>
    <row r="16806" spans="7:7">
      <c r="G16806"/>
    </row>
    <row r="16807" spans="7:7">
      <c r="G16807"/>
    </row>
    <row r="16808" spans="7:7">
      <c r="G16808"/>
    </row>
    <row r="16809" spans="7:7">
      <c r="G16809"/>
    </row>
    <row r="16810" spans="7:7">
      <c r="G16810"/>
    </row>
    <row r="16811" spans="7:7">
      <c r="G16811"/>
    </row>
    <row r="16812" spans="7:7">
      <c r="G16812"/>
    </row>
    <row r="16813" spans="7:7">
      <c r="G16813"/>
    </row>
    <row r="16814" spans="7:7">
      <c r="G16814"/>
    </row>
    <row r="16815" spans="7:7">
      <c r="G16815"/>
    </row>
    <row r="16816" spans="7:7">
      <c r="G16816"/>
    </row>
    <row r="16817" spans="7:7">
      <c r="G16817"/>
    </row>
    <row r="16818" spans="7:7">
      <c r="G16818"/>
    </row>
    <row r="16819" spans="7:7">
      <c r="G16819"/>
    </row>
    <row r="16820" spans="7:7">
      <c r="G16820"/>
    </row>
    <row r="16821" spans="7:7">
      <c r="G16821"/>
    </row>
    <row r="16822" spans="7:7">
      <c r="G16822"/>
    </row>
    <row r="16823" spans="7:7">
      <c r="G16823"/>
    </row>
    <row r="16824" spans="7:7">
      <c r="G16824"/>
    </row>
    <row r="16825" spans="7:7">
      <c r="G16825"/>
    </row>
    <row r="16826" spans="7:7">
      <c r="G16826"/>
    </row>
    <row r="16827" spans="7:7">
      <c r="G16827"/>
    </row>
    <row r="16828" spans="7:7">
      <c r="G16828"/>
    </row>
    <row r="16829" spans="7:7">
      <c r="G16829"/>
    </row>
    <row r="16830" spans="7:7">
      <c r="G16830"/>
    </row>
    <row r="16831" spans="7:7">
      <c r="G16831"/>
    </row>
    <row r="16832" spans="7:7">
      <c r="G16832"/>
    </row>
    <row r="16833" spans="7:7">
      <c r="G16833"/>
    </row>
    <row r="16834" spans="7:7">
      <c r="G16834"/>
    </row>
    <row r="16835" spans="7:7">
      <c r="G16835"/>
    </row>
    <row r="16836" spans="7:7">
      <c r="G16836"/>
    </row>
    <row r="16837" spans="7:7">
      <c r="G16837"/>
    </row>
    <row r="16838" spans="7:7">
      <c r="G16838"/>
    </row>
    <row r="16839" spans="7:7">
      <c r="G16839"/>
    </row>
    <row r="16840" spans="7:7">
      <c r="G16840"/>
    </row>
    <row r="16841" spans="7:7">
      <c r="G16841"/>
    </row>
    <row r="16842" spans="7:7">
      <c r="G16842"/>
    </row>
    <row r="16843" spans="7:7">
      <c r="G16843"/>
    </row>
    <row r="16844" spans="7:7">
      <c r="G16844"/>
    </row>
    <row r="16845" spans="7:7">
      <c r="G16845"/>
    </row>
    <row r="16846" spans="7:7">
      <c r="G16846"/>
    </row>
    <row r="16847" spans="7:7">
      <c r="G16847"/>
    </row>
    <row r="16848" spans="7:7">
      <c r="G16848"/>
    </row>
    <row r="16849" spans="7:7">
      <c r="G16849"/>
    </row>
    <row r="16850" spans="7:7">
      <c r="G16850"/>
    </row>
    <row r="16851" spans="7:7">
      <c r="G16851"/>
    </row>
    <row r="16852" spans="7:7">
      <c r="G16852"/>
    </row>
    <row r="16853" spans="7:7">
      <c r="G16853"/>
    </row>
    <row r="16854" spans="7:7">
      <c r="G16854"/>
    </row>
    <row r="16855" spans="7:7">
      <c r="G16855"/>
    </row>
    <row r="16856" spans="7:7">
      <c r="G16856"/>
    </row>
    <row r="16857" spans="7:7">
      <c r="G16857"/>
    </row>
    <row r="16858" spans="7:7">
      <c r="G16858"/>
    </row>
    <row r="16859" spans="7:7">
      <c r="G16859"/>
    </row>
    <row r="16860" spans="7:7">
      <c r="G16860"/>
    </row>
    <row r="16861" spans="7:7">
      <c r="G16861"/>
    </row>
    <row r="16862" spans="7:7">
      <c r="G16862"/>
    </row>
    <row r="16863" spans="7:7">
      <c r="G16863"/>
    </row>
    <row r="16864" spans="7:7">
      <c r="G16864"/>
    </row>
    <row r="16865" spans="7:7">
      <c r="G16865"/>
    </row>
    <row r="16866" spans="7:7">
      <c r="G16866"/>
    </row>
    <row r="16867" spans="7:7">
      <c r="G16867"/>
    </row>
    <row r="16868" spans="7:7">
      <c r="G16868"/>
    </row>
    <row r="16869" spans="7:7">
      <c r="G16869"/>
    </row>
    <row r="16870" spans="7:7">
      <c r="G16870"/>
    </row>
    <row r="16871" spans="7:7">
      <c r="G16871"/>
    </row>
    <row r="16872" spans="7:7">
      <c r="G16872"/>
    </row>
    <row r="16873" spans="7:7">
      <c r="G16873"/>
    </row>
    <row r="16874" spans="7:7">
      <c r="G16874"/>
    </row>
    <row r="16875" spans="7:7">
      <c r="G16875"/>
    </row>
    <row r="16876" spans="7:7">
      <c r="G16876"/>
    </row>
    <row r="16877" spans="7:7">
      <c r="G16877"/>
    </row>
    <row r="16878" spans="7:7">
      <c r="G16878"/>
    </row>
    <row r="16879" spans="7:7">
      <c r="G16879"/>
    </row>
    <row r="16880" spans="7:7">
      <c r="G16880"/>
    </row>
    <row r="16881" spans="7:7">
      <c r="G16881"/>
    </row>
    <row r="16882" spans="7:7">
      <c r="G16882"/>
    </row>
    <row r="16883" spans="7:7">
      <c r="G16883"/>
    </row>
    <row r="16884" spans="7:7">
      <c r="G16884"/>
    </row>
    <row r="16885" spans="7:7">
      <c r="G16885"/>
    </row>
    <row r="16886" spans="7:7">
      <c r="G16886"/>
    </row>
    <row r="16887" spans="7:7">
      <c r="G16887"/>
    </row>
    <row r="16888" spans="7:7">
      <c r="G16888"/>
    </row>
    <row r="16889" spans="7:7">
      <c r="G16889"/>
    </row>
    <row r="16890" spans="7:7">
      <c r="G16890"/>
    </row>
    <row r="16891" spans="7:7">
      <c r="G16891"/>
    </row>
    <row r="16892" spans="7:7">
      <c r="G16892"/>
    </row>
    <row r="16893" spans="7:7">
      <c r="G16893"/>
    </row>
    <row r="16894" spans="7:7">
      <c r="G16894"/>
    </row>
    <row r="16895" spans="7:7">
      <c r="G16895"/>
    </row>
    <row r="16896" spans="7:7">
      <c r="G16896"/>
    </row>
    <row r="16897" spans="7:7">
      <c r="G16897"/>
    </row>
    <row r="16898" spans="7:7">
      <c r="G16898"/>
    </row>
    <row r="16899" spans="7:7">
      <c r="G16899"/>
    </row>
    <row r="16900" spans="7:7">
      <c r="G16900"/>
    </row>
    <row r="16901" spans="7:7">
      <c r="G16901"/>
    </row>
    <row r="16902" spans="7:7">
      <c r="G16902"/>
    </row>
    <row r="16903" spans="7:7">
      <c r="G16903"/>
    </row>
    <row r="16904" spans="7:7">
      <c r="G16904"/>
    </row>
    <row r="16905" spans="7:7">
      <c r="G16905"/>
    </row>
    <row r="16906" spans="7:7">
      <c r="G16906"/>
    </row>
    <row r="16907" spans="7:7">
      <c r="G16907"/>
    </row>
    <row r="16908" spans="7:7">
      <c r="G16908"/>
    </row>
    <row r="16909" spans="7:7">
      <c r="G16909"/>
    </row>
    <row r="16910" spans="7:7">
      <c r="G16910"/>
    </row>
    <row r="16911" spans="7:7">
      <c r="G16911"/>
    </row>
    <row r="16912" spans="7:7">
      <c r="G16912"/>
    </row>
    <row r="16913" spans="7:7">
      <c r="G16913"/>
    </row>
    <row r="16914" spans="7:7">
      <c r="G16914"/>
    </row>
    <row r="16915" spans="7:7">
      <c r="G16915"/>
    </row>
    <row r="16916" spans="7:7">
      <c r="G16916"/>
    </row>
    <row r="16917" spans="7:7">
      <c r="G16917"/>
    </row>
    <row r="16918" spans="7:7">
      <c r="G16918"/>
    </row>
    <row r="16919" spans="7:7">
      <c r="G16919"/>
    </row>
    <row r="16920" spans="7:7">
      <c r="G16920"/>
    </row>
    <row r="16921" spans="7:7">
      <c r="G16921"/>
    </row>
    <row r="16922" spans="7:7">
      <c r="G16922"/>
    </row>
    <row r="16923" spans="7:7">
      <c r="G16923"/>
    </row>
    <row r="16924" spans="7:7">
      <c r="G16924"/>
    </row>
    <row r="16925" spans="7:7">
      <c r="G16925"/>
    </row>
    <row r="16926" spans="7:7">
      <c r="G16926"/>
    </row>
    <row r="16927" spans="7:7">
      <c r="G16927"/>
    </row>
    <row r="16928" spans="7:7">
      <c r="G16928"/>
    </row>
    <row r="16929" spans="7:7">
      <c r="G16929"/>
    </row>
    <row r="16930" spans="7:7">
      <c r="G16930"/>
    </row>
    <row r="16931" spans="7:7">
      <c r="G16931"/>
    </row>
    <row r="16932" spans="7:7">
      <c r="G16932"/>
    </row>
    <row r="16933" spans="7:7">
      <c r="G16933"/>
    </row>
    <row r="16934" spans="7:7">
      <c r="G16934"/>
    </row>
    <row r="16935" spans="7:7">
      <c r="G16935"/>
    </row>
    <row r="16936" spans="7:7">
      <c r="G16936"/>
    </row>
    <row r="16937" spans="7:7">
      <c r="G16937"/>
    </row>
    <row r="16938" spans="7:7">
      <c r="G16938"/>
    </row>
    <row r="16939" spans="7:7">
      <c r="G16939"/>
    </row>
    <row r="16940" spans="7:7">
      <c r="G16940"/>
    </row>
    <row r="16941" spans="7:7">
      <c r="G16941"/>
    </row>
    <row r="16942" spans="7:7">
      <c r="G16942"/>
    </row>
    <row r="16943" spans="7:7">
      <c r="G16943"/>
    </row>
    <row r="16944" spans="7:7">
      <c r="G16944"/>
    </row>
    <row r="16945" spans="7:7">
      <c r="G16945"/>
    </row>
    <row r="16946" spans="7:7">
      <c r="G16946"/>
    </row>
    <row r="16947" spans="7:7">
      <c r="G16947"/>
    </row>
    <row r="16948" spans="7:7">
      <c r="G16948"/>
    </row>
    <row r="16949" spans="7:7">
      <c r="G16949"/>
    </row>
    <row r="16950" spans="7:7">
      <c r="G16950"/>
    </row>
    <row r="16951" spans="7:7">
      <c r="G16951"/>
    </row>
    <row r="16952" spans="7:7">
      <c r="G16952"/>
    </row>
    <row r="16953" spans="7:7">
      <c r="G16953"/>
    </row>
    <row r="16954" spans="7:7">
      <c r="G16954"/>
    </row>
    <row r="16955" spans="7:7">
      <c r="G16955"/>
    </row>
    <row r="16956" spans="7:7">
      <c r="G16956"/>
    </row>
    <row r="16957" spans="7:7">
      <c r="G16957"/>
    </row>
    <row r="16958" spans="7:7">
      <c r="G16958"/>
    </row>
    <row r="16959" spans="7:7">
      <c r="G16959"/>
    </row>
    <row r="16960" spans="7:7">
      <c r="G16960"/>
    </row>
    <row r="16961" spans="7:7">
      <c r="G16961"/>
    </row>
    <row r="16962" spans="7:7">
      <c r="G16962"/>
    </row>
    <row r="16963" spans="7:7">
      <c r="G16963"/>
    </row>
    <row r="16964" spans="7:7">
      <c r="G16964"/>
    </row>
    <row r="16965" spans="7:7">
      <c r="G16965"/>
    </row>
    <row r="16966" spans="7:7">
      <c r="G16966"/>
    </row>
    <row r="16967" spans="7:7">
      <c r="G16967"/>
    </row>
    <row r="16968" spans="7:7">
      <c r="G16968"/>
    </row>
    <row r="16969" spans="7:7">
      <c r="G16969"/>
    </row>
    <row r="16970" spans="7:7">
      <c r="G16970"/>
    </row>
    <row r="16971" spans="7:7">
      <c r="G16971"/>
    </row>
    <row r="16972" spans="7:7">
      <c r="G16972"/>
    </row>
    <row r="16973" spans="7:7">
      <c r="G16973"/>
    </row>
    <row r="16974" spans="7:7">
      <c r="G16974"/>
    </row>
    <row r="16975" spans="7:7">
      <c r="G16975"/>
    </row>
    <row r="16976" spans="7:7">
      <c r="G16976"/>
    </row>
    <row r="16977" spans="7:7">
      <c r="G16977"/>
    </row>
    <row r="16978" spans="7:7">
      <c r="G16978"/>
    </row>
    <row r="16979" spans="7:7">
      <c r="G16979"/>
    </row>
    <row r="16980" spans="7:7">
      <c r="G16980"/>
    </row>
    <row r="16981" spans="7:7">
      <c r="G16981"/>
    </row>
    <row r="16982" spans="7:7">
      <c r="G16982"/>
    </row>
    <row r="16983" spans="7:7">
      <c r="G16983"/>
    </row>
    <row r="16984" spans="7:7">
      <c r="G16984"/>
    </row>
    <row r="16985" spans="7:7">
      <c r="G16985"/>
    </row>
    <row r="16986" spans="7:7">
      <c r="G16986"/>
    </row>
    <row r="16987" spans="7:7">
      <c r="G16987"/>
    </row>
    <row r="16988" spans="7:7">
      <c r="G16988"/>
    </row>
    <row r="16989" spans="7:7">
      <c r="G16989"/>
    </row>
    <row r="16990" spans="7:7">
      <c r="G16990"/>
    </row>
    <row r="16991" spans="7:7">
      <c r="G16991"/>
    </row>
    <row r="16992" spans="7:7">
      <c r="G16992"/>
    </row>
    <row r="16993" spans="7:7">
      <c r="G16993"/>
    </row>
    <row r="16994" spans="7:7">
      <c r="G16994"/>
    </row>
    <row r="16995" spans="7:7">
      <c r="G16995"/>
    </row>
    <row r="16996" spans="7:7">
      <c r="G16996"/>
    </row>
    <row r="16997" spans="7:7">
      <c r="G16997"/>
    </row>
    <row r="16998" spans="7:7">
      <c r="G16998"/>
    </row>
    <row r="16999" spans="7:7">
      <c r="G16999"/>
    </row>
    <row r="17000" spans="7:7">
      <c r="G17000"/>
    </row>
    <row r="17001" spans="7:7">
      <c r="G17001"/>
    </row>
    <row r="17002" spans="7:7">
      <c r="G17002"/>
    </row>
    <row r="17003" spans="7:7">
      <c r="G17003"/>
    </row>
    <row r="17004" spans="7:7">
      <c r="G17004"/>
    </row>
    <row r="17005" spans="7:7">
      <c r="G17005"/>
    </row>
    <row r="17006" spans="7:7">
      <c r="G17006"/>
    </row>
    <row r="17007" spans="7:7">
      <c r="G17007"/>
    </row>
    <row r="17008" spans="7:7">
      <c r="G17008"/>
    </row>
    <row r="17009" spans="7:7">
      <c r="G17009"/>
    </row>
    <row r="17010" spans="7:7">
      <c r="G17010"/>
    </row>
    <row r="17011" spans="7:7">
      <c r="G17011"/>
    </row>
    <row r="17012" spans="7:7">
      <c r="G17012"/>
    </row>
    <row r="17013" spans="7:7">
      <c r="G17013"/>
    </row>
    <row r="17014" spans="7:7">
      <c r="G17014"/>
    </row>
    <row r="17015" spans="7:7">
      <c r="G17015"/>
    </row>
    <row r="17016" spans="7:7">
      <c r="G17016"/>
    </row>
    <row r="17017" spans="7:7">
      <c r="G17017"/>
    </row>
    <row r="17018" spans="7:7">
      <c r="G17018"/>
    </row>
    <row r="17019" spans="7:7">
      <c r="G17019"/>
    </row>
    <row r="17020" spans="7:7">
      <c r="G17020"/>
    </row>
    <row r="17021" spans="7:7">
      <c r="G17021"/>
    </row>
    <row r="17022" spans="7:7">
      <c r="G17022"/>
    </row>
    <row r="17023" spans="7:7">
      <c r="G17023"/>
    </row>
    <row r="17024" spans="7:7">
      <c r="G17024"/>
    </row>
    <row r="17025" spans="7:7">
      <c r="G17025"/>
    </row>
    <row r="17026" spans="7:7">
      <c r="G17026"/>
    </row>
    <row r="17027" spans="7:7">
      <c r="G17027"/>
    </row>
    <row r="17028" spans="7:7">
      <c r="G17028"/>
    </row>
    <row r="17029" spans="7:7">
      <c r="G17029"/>
    </row>
    <row r="17030" spans="7:7">
      <c r="G17030"/>
    </row>
    <row r="17031" spans="7:7">
      <c r="G17031"/>
    </row>
    <row r="17032" spans="7:7">
      <c r="G17032"/>
    </row>
    <row r="17033" spans="7:7">
      <c r="G17033"/>
    </row>
    <row r="17034" spans="7:7">
      <c r="G17034"/>
    </row>
    <row r="17035" spans="7:7">
      <c r="G17035"/>
    </row>
    <row r="17036" spans="7:7">
      <c r="G17036"/>
    </row>
    <row r="17037" spans="7:7">
      <c r="G17037"/>
    </row>
    <row r="17038" spans="7:7">
      <c r="G17038"/>
    </row>
    <row r="17039" spans="7:7">
      <c r="G17039"/>
    </row>
    <row r="17040" spans="7:7">
      <c r="G17040"/>
    </row>
    <row r="17041" spans="7:7">
      <c r="G17041"/>
    </row>
    <row r="17042" spans="7:7">
      <c r="G17042"/>
    </row>
    <row r="17043" spans="7:7">
      <c r="G17043"/>
    </row>
    <row r="17044" spans="7:7">
      <c r="G17044"/>
    </row>
    <row r="17045" spans="7:7">
      <c r="G17045"/>
    </row>
    <row r="17046" spans="7:7">
      <c r="G17046"/>
    </row>
    <row r="17047" spans="7:7">
      <c r="G17047"/>
    </row>
    <row r="17048" spans="7:7">
      <c r="G17048"/>
    </row>
    <row r="17049" spans="7:7">
      <c r="G17049"/>
    </row>
    <row r="17050" spans="7:7">
      <c r="G17050"/>
    </row>
    <row r="17051" spans="7:7">
      <c r="G17051"/>
    </row>
    <row r="17052" spans="7:7">
      <c r="G17052"/>
    </row>
    <row r="17053" spans="7:7">
      <c r="G17053"/>
    </row>
    <row r="17054" spans="7:7">
      <c r="G17054"/>
    </row>
    <row r="17055" spans="7:7">
      <c r="G17055"/>
    </row>
    <row r="17056" spans="7:7">
      <c r="G17056"/>
    </row>
    <row r="17057" spans="7:7">
      <c r="G17057"/>
    </row>
    <row r="17058" spans="7:7">
      <c r="G17058"/>
    </row>
    <row r="17059" spans="7:7">
      <c r="G17059"/>
    </row>
    <row r="17060" spans="7:7">
      <c r="G17060"/>
    </row>
    <row r="17061" spans="7:7">
      <c r="G17061"/>
    </row>
    <row r="17062" spans="7:7">
      <c r="G17062"/>
    </row>
    <row r="17063" spans="7:7">
      <c r="G17063"/>
    </row>
    <row r="17064" spans="7:7">
      <c r="G17064"/>
    </row>
    <row r="17065" spans="7:7">
      <c r="G17065"/>
    </row>
    <row r="17066" spans="7:7">
      <c r="G17066"/>
    </row>
    <row r="17067" spans="7:7">
      <c r="G17067"/>
    </row>
    <row r="17068" spans="7:7">
      <c r="G17068"/>
    </row>
    <row r="17069" spans="7:7">
      <c r="G17069"/>
    </row>
    <row r="17070" spans="7:7">
      <c r="G17070"/>
    </row>
    <row r="17071" spans="7:7">
      <c r="G17071"/>
    </row>
    <row r="17072" spans="7:7">
      <c r="G17072"/>
    </row>
    <row r="17073" spans="7:7">
      <c r="G17073"/>
    </row>
    <row r="17074" spans="7:7">
      <c r="G17074"/>
    </row>
    <row r="17075" spans="7:7">
      <c r="G17075"/>
    </row>
    <row r="17076" spans="7:7">
      <c r="G17076"/>
    </row>
    <row r="17077" spans="7:7">
      <c r="G17077"/>
    </row>
    <row r="17078" spans="7:7">
      <c r="G17078"/>
    </row>
    <row r="17079" spans="7:7">
      <c r="G17079"/>
    </row>
    <row r="17080" spans="7:7">
      <c r="G17080"/>
    </row>
    <row r="17081" spans="7:7">
      <c r="G17081"/>
    </row>
    <row r="17082" spans="7:7">
      <c r="G17082"/>
    </row>
    <row r="17083" spans="7:7">
      <c r="G17083"/>
    </row>
    <row r="17084" spans="7:7">
      <c r="G17084"/>
    </row>
    <row r="17085" spans="7:7">
      <c r="G17085"/>
    </row>
    <row r="17086" spans="7:7">
      <c r="G17086"/>
    </row>
    <row r="17087" spans="7:7">
      <c r="G17087"/>
    </row>
    <row r="17088" spans="7:7">
      <c r="G17088"/>
    </row>
    <row r="17089" spans="7:7">
      <c r="G17089"/>
    </row>
    <row r="17090" spans="7:7">
      <c r="G17090"/>
    </row>
    <row r="17091" spans="7:7">
      <c r="G17091"/>
    </row>
    <row r="17092" spans="7:7">
      <c r="G17092"/>
    </row>
    <row r="17093" spans="7:7">
      <c r="G17093"/>
    </row>
    <row r="17094" spans="7:7">
      <c r="G17094"/>
    </row>
    <row r="17095" spans="7:7">
      <c r="G17095"/>
    </row>
    <row r="17096" spans="7:7">
      <c r="G17096"/>
    </row>
    <row r="17097" spans="7:7">
      <c r="G17097"/>
    </row>
    <row r="17098" spans="7:7">
      <c r="G17098"/>
    </row>
    <row r="17099" spans="7:7">
      <c r="G17099"/>
    </row>
    <row r="17100" spans="7:7">
      <c r="G17100"/>
    </row>
    <row r="17101" spans="7:7">
      <c r="G17101"/>
    </row>
    <row r="17102" spans="7:7">
      <c r="G17102"/>
    </row>
    <row r="17103" spans="7:7">
      <c r="G17103"/>
    </row>
    <row r="17104" spans="7:7">
      <c r="G17104"/>
    </row>
    <row r="17105" spans="7:7">
      <c r="G17105"/>
    </row>
    <row r="17106" spans="7:7">
      <c r="G17106"/>
    </row>
    <row r="17107" spans="7:7">
      <c r="G17107"/>
    </row>
    <row r="17108" spans="7:7">
      <c r="G17108"/>
    </row>
    <row r="17109" spans="7:7">
      <c r="G17109"/>
    </row>
    <row r="17110" spans="7:7">
      <c r="G17110"/>
    </row>
    <row r="17111" spans="7:7">
      <c r="G17111"/>
    </row>
    <row r="17112" spans="7:7">
      <c r="G17112"/>
    </row>
    <row r="17113" spans="7:7">
      <c r="G17113"/>
    </row>
    <row r="17114" spans="7:7">
      <c r="G17114"/>
    </row>
    <row r="17115" spans="7:7">
      <c r="G17115"/>
    </row>
    <row r="17116" spans="7:7">
      <c r="G17116"/>
    </row>
    <row r="17117" spans="7:7">
      <c r="G17117"/>
    </row>
    <row r="17118" spans="7:7">
      <c r="G17118"/>
    </row>
    <row r="17119" spans="7:7">
      <c r="G17119"/>
    </row>
    <row r="17120" spans="7:7">
      <c r="G17120"/>
    </row>
    <row r="17121" spans="7:7">
      <c r="G17121"/>
    </row>
    <row r="17122" spans="7:7">
      <c r="G17122"/>
    </row>
    <row r="17123" spans="7:7">
      <c r="G17123"/>
    </row>
    <row r="17124" spans="7:7">
      <c r="G17124"/>
    </row>
    <row r="17125" spans="7:7">
      <c r="G17125"/>
    </row>
    <row r="17126" spans="7:7">
      <c r="G17126"/>
    </row>
    <row r="17127" spans="7:7">
      <c r="G17127"/>
    </row>
    <row r="17128" spans="7:7">
      <c r="G17128"/>
    </row>
    <row r="17129" spans="7:7">
      <c r="G17129"/>
    </row>
    <row r="17130" spans="7:7">
      <c r="G17130"/>
    </row>
    <row r="17131" spans="7:7">
      <c r="G17131"/>
    </row>
    <row r="17132" spans="7:7">
      <c r="G17132"/>
    </row>
    <row r="17133" spans="7:7">
      <c r="G17133"/>
    </row>
    <row r="17134" spans="7:7">
      <c r="G17134"/>
    </row>
    <row r="17135" spans="7:7">
      <c r="G17135"/>
    </row>
    <row r="17136" spans="7:7">
      <c r="G17136"/>
    </row>
    <row r="17137" spans="7:7">
      <c r="G17137"/>
    </row>
    <row r="17138" spans="7:7">
      <c r="G17138"/>
    </row>
    <row r="17139" spans="7:7">
      <c r="G17139"/>
    </row>
    <row r="17140" spans="7:7">
      <c r="G17140"/>
    </row>
    <row r="17141" spans="7:7">
      <c r="G17141"/>
    </row>
    <row r="17142" spans="7:7">
      <c r="G17142"/>
    </row>
    <row r="17143" spans="7:7">
      <c r="G17143"/>
    </row>
    <row r="17144" spans="7:7">
      <c r="G17144"/>
    </row>
    <row r="17145" spans="7:7">
      <c r="G17145"/>
    </row>
    <row r="17146" spans="7:7">
      <c r="G17146"/>
    </row>
    <row r="17147" spans="7:7">
      <c r="G17147"/>
    </row>
    <row r="17148" spans="7:7">
      <c r="G17148"/>
    </row>
    <row r="17149" spans="7:7">
      <c r="G17149"/>
    </row>
    <row r="17150" spans="7:7">
      <c r="G17150"/>
    </row>
    <row r="17151" spans="7:7">
      <c r="G17151"/>
    </row>
    <row r="17152" spans="7:7">
      <c r="G17152"/>
    </row>
    <row r="17153" spans="7:7">
      <c r="G17153"/>
    </row>
    <row r="17154" spans="7:7">
      <c r="G17154"/>
    </row>
    <row r="17155" spans="7:7">
      <c r="G17155"/>
    </row>
    <row r="17156" spans="7:7">
      <c r="G17156"/>
    </row>
    <row r="17157" spans="7:7">
      <c r="G17157"/>
    </row>
    <row r="17158" spans="7:7">
      <c r="G17158"/>
    </row>
    <row r="17159" spans="7:7">
      <c r="G17159"/>
    </row>
    <row r="17160" spans="7:7">
      <c r="G17160"/>
    </row>
    <row r="17161" spans="7:7">
      <c r="G17161"/>
    </row>
    <row r="17162" spans="7:7">
      <c r="G17162"/>
    </row>
    <row r="17163" spans="7:7">
      <c r="G17163"/>
    </row>
    <row r="17164" spans="7:7">
      <c r="G17164"/>
    </row>
    <row r="17165" spans="7:7">
      <c r="G17165"/>
    </row>
    <row r="17166" spans="7:7">
      <c r="G17166"/>
    </row>
    <row r="17167" spans="7:7">
      <c r="G17167"/>
    </row>
    <row r="17168" spans="7:7">
      <c r="G17168"/>
    </row>
    <row r="17169" spans="7:7">
      <c r="G17169"/>
    </row>
    <row r="17170" spans="7:7">
      <c r="G17170"/>
    </row>
    <row r="17171" spans="7:7">
      <c r="G17171"/>
    </row>
    <row r="17172" spans="7:7">
      <c r="G17172"/>
    </row>
    <row r="17173" spans="7:7">
      <c r="G17173"/>
    </row>
    <row r="17174" spans="7:7">
      <c r="G17174"/>
    </row>
    <row r="17175" spans="7:7">
      <c r="G17175"/>
    </row>
    <row r="17176" spans="7:7">
      <c r="G17176"/>
    </row>
    <row r="17177" spans="7:7">
      <c r="G17177"/>
    </row>
    <row r="17178" spans="7:7">
      <c r="G17178"/>
    </row>
    <row r="17179" spans="7:7">
      <c r="G17179"/>
    </row>
    <row r="17180" spans="7:7">
      <c r="G17180"/>
    </row>
    <row r="17181" spans="7:7">
      <c r="G17181"/>
    </row>
    <row r="17182" spans="7:7">
      <c r="G17182"/>
    </row>
    <row r="17183" spans="7:7">
      <c r="G17183"/>
    </row>
    <row r="17184" spans="7:7">
      <c r="G17184"/>
    </row>
    <row r="17185" spans="7:7">
      <c r="G17185"/>
    </row>
    <row r="17186" spans="7:7">
      <c r="G17186"/>
    </row>
    <row r="17187" spans="7:7">
      <c r="G17187"/>
    </row>
    <row r="17188" spans="7:7">
      <c r="G17188"/>
    </row>
    <row r="17189" spans="7:7">
      <c r="G17189"/>
    </row>
    <row r="17190" spans="7:7">
      <c r="G17190"/>
    </row>
    <row r="17191" spans="7:7">
      <c r="G17191"/>
    </row>
    <row r="17192" spans="7:7">
      <c r="G17192"/>
    </row>
    <row r="17193" spans="7:7">
      <c r="G17193"/>
    </row>
    <row r="17194" spans="7:7">
      <c r="G17194"/>
    </row>
    <row r="17195" spans="7:7">
      <c r="G17195"/>
    </row>
    <row r="17196" spans="7:7">
      <c r="G17196"/>
    </row>
    <row r="17197" spans="7:7">
      <c r="G17197"/>
    </row>
    <row r="17198" spans="7:7">
      <c r="G17198"/>
    </row>
    <row r="17199" spans="7:7">
      <c r="G17199"/>
    </row>
    <row r="17200" spans="7:7">
      <c r="G17200"/>
    </row>
    <row r="17201" spans="7:7">
      <c r="G17201"/>
    </row>
    <row r="17202" spans="7:7">
      <c r="G17202"/>
    </row>
    <row r="17203" spans="7:7">
      <c r="G17203"/>
    </row>
    <row r="17204" spans="7:7">
      <c r="G17204"/>
    </row>
    <row r="17205" spans="7:7">
      <c r="G17205"/>
    </row>
    <row r="17206" spans="7:7">
      <c r="G17206"/>
    </row>
    <row r="17207" spans="7:7">
      <c r="G17207"/>
    </row>
    <row r="17208" spans="7:7">
      <c r="G17208"/>
    </row>
    <row r="17209" spans="7:7">
      <c r="G17209"/>
    </row>
    <row r="17210" spans="7:7">
      <c r="G17210"/>
    </row>
    <row r="17211" spans="7:7">
      <c r="G17211"/>
    </row>
    <row r="17212" spans="7:7">
      <c r="G17212"/>
    </row>
    <row r="17213" spans="7:7">
      <c r="G17213"/>
    </row>
    <row r="17214" spans="7:7">
      <c r="G17214"/>
    </row>
    <row r="17215" spans="7:7">
      <c r="G17215"/>
    </row>
    <row r="17216" spans="7:7">
      <c r="G17216"/>
    </row>
    <row r="17217" spans="7:7">
      <c r="G17217"/>
    </row>
    <row r="17218" spans="7:7">
      <c r="G17218"/>
    </row>
    <row r="17219" spans="7:7">
      <c r="G17219"/>
    </row>
    <row r="17220" spans="7:7">
      <c r="G17220"/>
    </row>
    <row r="17221" spans="7:7">
      <c r="G17221"/>
    </row>
    <row r="17222" spans="7:7">
      <c r="G17222"/>
    </row>
    <row r="17223" spans="7:7">
      <c r="G17223"/>
    </row>
    <row r="17224" spans="7:7">
      <c r="G17224"/>
    </row>
    <row r="17225" spans="7:7">
      <c r="G17225"/>
    </row>
    <row r="17226" spans="7:7">
      <c r="G17226"/>
    </row>
    <row r="17227" spans="7:7">
      <c r="G17227"/>
    </row>
    <row r="17228" spans="7:7">
      <c r="G17228"/>
    </row>
    <row r="17229" spans="7:7">
      <c r="G17229"/>
    </row>
    <row r="17230" spans="7:7">
      <c r="G17230"/>
    </row>
    <row r="17231" spans="7:7">
      <c r="G17231"/>
    </row>
    <row r="17232" spans="7:7">
      <c r="G17232"/>
    </row>
    <row r="17233" spans="7:7">
      <c r="G17233"/>
    </row>
    <row r="17234" spans="7:7">
      <c r="G17234"/>
    </row>
    <row r="17235" spans="7:7">
      <c r="G17235"/>
    </row>
    <row r="17236" spans="7:7">
      <c r="G17236"/>
    </row>
    <row r="17237" spans="7:7">
      <c r="G17237"/>
    </row>
    <row r="17238" spans="7:7">
      <c r="G17238"/>
    </row>
    <row r="17239" spans="7:7">
      <c r="G17239"/>
    </row>
    <row r="17240" spans="7:7">
      <c r="G17240"/>
    </row>
    <row r="17241" spans="7:7">
      <c r="G17241"/>
    </row>
    <row r="17242" spans="7:7">
      <c r="G17242"/>
    </row>
    <row r="17243" spans="7:7">
      <c r="G17243"/>
    </row>
    <row r="17244" spans="7:7">
      <c r="G17244"/>
    </row>
    <row r="17245" spans="7:7">
      <c r="G17245"/>
    </row>
    <row r="17246" spans="7:7">
      <c r="G17246"/>
    </row>
    <row r="17247" spans="7:7">
      <c r="G17247"/>
    </row>
    <row r="17248" spans="7:7">
      <c r="G17248"/>
    </row>
    <row r="17249" spans="7:7">
      <c r="G17249"/>
    </row>
    <row r="17250" spans="7:7">
      <c r="G17250"/>
    </row>
    <row r="17251" spans="7:7">
      <c r="G17251"/>
    </row>
    <row r="17252" spans="7:7">
      <c r="G17252"/>
    </row>
    <row r="17253" spans="7:7">
      <c r="G17253"/>
    </row>
    <row r="17254" spans="7:7">
      <c r="G17254"/>
    </row>
    <row r="17255" spans="7:7">
      <c r="G17255"/>
    </row>
    <row r="17256" spans="7:7">
      <c r="G17256"/>
    </row>
    <row r="17257" spans="7:7">
      <c r="G17257"/>
    </row>
    <row r="17258" spans="7:7">
      <c r="G17258"/>
    </row>
    <row r="17259" spans="7:7">
      <c r="G17259"/>
    </row>
    <row r="17260" spans="7:7">
      <c r="G17260"/>
    </row>
    <row r="17261" spans="7:7">
      <c r="G17261"/>
    </row>
    <row r="17262" spans="7:7">
      <c r="G17262"/>
    </row>
    <row r="17263" spans="7:7">
      <c r="G17263"/>
    </row>
    <row r="17264" spans="7:7">
      <c r="G17264"/>
    </row>
    <row r="17265" spans="7:7">
      <c r="G17265"/>
    </row>
    <row r="17266" spans="7:7">
      <c r="G17266"/>
    </row>
    <row r="17267" spans="7:7">
      <c r="G17267"/>
    </row>
    <row r="17268" spans="7:7">
      <c r="G17268"/>
    </row>
    <row r="17269" spans="7:7">
      <c r="G17269"/>
    </row>
    <row r="17270" spans="7:7">
      <c r="G17270"/>
    </row>
    <row r="17271" spans="7:7">
      <c r="G17271"/>
    </row>
    <row r="17272" spans="7:7">
      <c r="G17272"/>
    </row>
    <row r="17273" spans="7:7">
      <c r="G17273"/>
    </row>
    <row r="17274" spans="7:7">
      <c r="G17274"/>
    </row>
    <row r="17275" spans="7:7">
      <c r="G17275"/>
    </row>
    <row r="17276" spans="7:7">
      <c r="G17276"/>
    </row>
    <row r="17277" spans="7:7">
      <c r="G17277"/>
    </row>
    <row r="17278" spans="7:7">
      <c r="G17278"/>
    </row>
    <row r="17279" spans="7:7">
      <c r="G17279"/>
    </row>
    <row r="17280" spans="7:7">
      <c r="G17280"/>
    </row>
    <row r="17281" spans="7:7">
      <c r="G17281"/>
    </row>
    <row r="17282" spans="7:7">
      <c r="G17282"/>
    </row>
    <row r="17283" spans="7:7">
      <c r="G17283"/>
    </row>
    <row r="17284" spans="7:7">
      <c r="G17284"/>
    </row>
    <row r="17285" spans="7:7">
      <c r="G17285"/>
    </row>
    <row r="17286" spans="7:7">
      <c r="G17286"/>
    </row>
    <row r="17287" spans="7:7">
      <c r="G17287"/>
    </row>
    <row r="17288" spans="7:7">
      <c r="G17288"/>
    </row>
    <row r="17289" spans="7:7">
      <c r="G17289"/>
    </row>
    <row r="17290" spans="7:7">
      <c r="G17290"/>
    </row>
    <row r="17291" spans="7:7">
      <c r="G17291"/>
    </row>
    <row r="17292" spans="7:7">
      <c r="G17292"/>
    </row>
    <row r="17293" spans="7:7">
      <c r="G17293"/>
    </row>
    <row r="17294" spans="7:7">
      <c r="G17294"/>
    </row>
    <row r="17295" spans="7:7">
      <c r="G17295"/>
    </row>
    <row r="17296" spans="7:7">
      <c r="G17296"/>
    </row>
    <row r="17297" spans="7:7">
      <c r="G17297"/>
    </row>
    <row r="17298" spans="7:7">
      <c r="G17298"/>
    </row>
    <row r="17299" spans="7:7">
      <c r="G17299"/>
    </row>
    <row r="17300" spans="7:7">
      <c r="G17300"/>
    </row>
    <row r="17301" spans="7:7">
      <c r="G17301"/>
    </row>
    <row r="17302" spans="7:7">
      <c r="G17302"/>
    </row>
    <row r="17303" spans="7:7">
      <c r="G17303"/>
    </row>
    <row r="17304" spans="7:7">
      <c r="G17304"/>
    </row>
    <row r="17305" spans="7:7">
      <c r="G17305"/>
    </row>
    <row r="17306" spans="7:7">
      <c r="G17306"/>
    </row>
    <row r="17307" spans="7:7">
      <c r="G17307"/>
    </row>
    <row r="17308" spans="7:7">
      <c r="G17308"/>
    </row>
    <row r="17309" spans="7:7">
      <c r="G17309"/>
    </row>
    <row r="17310" spans="7:7">
      <c r="G17310"/>
    </row>
    <row r="17311" spans="7:7">
      <c r="G17311"/>
    </row>
    <row r="17312" spans="7:7">
      <c r="G17312"/>
    </row>
    <row r="17313" spans="7:7">
      <c r="G17313"/>
    </row>
    <row r="17314" spans="7:7">
      <c r="G17314"/>
    </row>
    <row r="17315" spans="7:7">
      <c r="G17315"/>
    </row>
    <row r="17316" spans="7:7">
      <c r="G17316"/>
    </row>
    <row r="17317" spans="7:7">
      <c r="G17317"/>
    </row>
    <row r="17318" spans="7:7">
      <c r="G17318"/>
    </row>
    <row r="17319" spans="7:7">
      <c r="G17319"/>
    </row>
    <row r="17320" spans="7:7">
      <c r="G17320"/>
    </row>
    <row r="17321" spans="7:7">
      <c r="G17321"/>
    </row>
    <row r="17322" spans="7:7">
      <c r="G17322"/>
    </row>
    <row r="17323" spans="7:7">
      <c r="G17323"/>
    </row>
    <row r="17324" spans="7:7">
      <c r="G17324"/>
    </row>
    <row r="17325" spans="7:7">
      <c r="G17325"/>
    </row>
    <row r="17326" spans="7:7">
      <c r="G17326"/>
    </row>
    <row r="17327" spans="7:7">
      <c r="G17327"/>
    </row>
    <row r="17328" spans="7:7">
      <c r="G17328"/>
    </row>
    <row r="17329" spans="7:7">
      <c r="G17329"/>
    </row>
    <row r="17330" spans="7:7">
      <c r="G17330"/>
    </row>
    <row r="17331" spans="7:7">
      <c r="G17331"/>
    </row>
    <row r="17332" spans="7:7">
      <c r="G17332"/>
    </row>
    <row r="17333" spans="7:7">
      <c r="G17333"/>
    </row>
    <row r="17334" spans="7:7">
      <c r="G17334"/>
    </row>
    <row r="17335" spans="7:7">
      <c r="G17335"/>
    </row>
    <row r="17336" spans="7:7">
      <c r="G17336"/>
    </row>
    <row r="17337" spans="7:7">
      <c r="G17337"/>
    </row>
    <row r="17338" spans="7:7">
      <c r="G17338"/>
    </row>
    <row r="17339" spans="7:7">
      <c r="G17339"/>
    </row>
    <row r="17340" spans="7:7">
      <c r="G17340"/>
    </row>
    <row r="17341" spans="7:7">
      <c r="G17341"/>
    </row>
    <row r="17342" spans="7:7">
      <c r="G17342"/>
    </row>
    <row r="17343" spans="7:7">
      <c r="G17343"/>
    </row>
    <row r="17344" spans="7:7">
      <c r="G17344"/>
    </row>
    <row r="17345" spans="7:7">
      <c r="G17345"/>
    </row>
    <row r="17346" spans="7:7">
      <c r="G17346"/>
    </row>
    <row r="17347" spans="7:7">
      <c r="G17347"/>
    </row>
    <row r="17348" spans="7:7">
      <c r="G17348"/>
    </row>
    <row r="17349" spans="7:7">
      <c r="G17349"/>
    </row>
    <row r="17350" spans="7:7">
      <c r="G17350"/>
    </row>
    <row r="17351" spans="7:7">
      <c r="G17351"/>
    </row>
    <row r="17352" spans="7:7">
      <c r="G17352"/>
    </row>
    <row r="17353" spans="7:7">
      <c r="G17353"/>
    </row>
    <row r="17354" spans="7:7">
      <c r="G17354"/>
    </row>
    <row r="17355" spans="7:7">
      <c r="G17355"/>
    </row>
    <row r="17356" spans="7:7">
      <c r="G17356"/>
    </row>
    <row r="17357" spans="7:7">
      <c r="G17357"/>
    </row>
    <row r="17358" spans="7:7">
      <c r="G17358"/>
    </row>
    <row r="17359" spans="7:7">
      <c r="G17359"/>
    </row>
    <row r="17360" spans="7:7">
      <c r="G17360"/>
    </row>
    <row r="17361" spans="7:7">
      <c r="G17361"/>
    </row>
    <row r="17362" spans="7:7">
      <c r="G17362"/>
    </row>
    <row r="17363" spans="7:7">
      <c r="G17363"/>
    </row>
    <row r="17364" spans="7:7">
      <c r="G17364"/>
    </row>
    <row r="17365" spans="7:7">
      <c r="G17365"/>
    </row>
    <row r="17366" spans="7:7">
      <c r="G17366"/>
    </row>
    <row r="17367" spans="7:7">
      <c r="G17367"/>
    </row>
    <row r="17368" spans="7:7">
      <c r="G17368"/>
    </row>
    <row r="17369" spans="7:7">
      <c r="G17369"/>
    </row>
    <row r="17370" spans="7:7">
      <c r="G17370"/>
    </row>
    <row r="17371" spans="7:7">
      <c r="G17371"/>
    </row>
    <row r="17372" spans="7:7">
      <c r="G17372"/>
    </row>
    <row r="17373" spans="7:7">
      <c r="G17373"/>
    </row>
    <row r="17374" spans="7:7">
      <c r="G17374"/>
    </row>
    <row r="17375" spans="7:7">
      <c r="G17375"/>
    </row>
    <row r="17376" spans="7:7">
      <c r="G17376"/>
    </row>
    <row r="17377" spans="7:7">
      <c r="G17377"/>
    </row>
    <row r="17378" spans="7:7">
      <c r="G17378"/>
    </row>
    <row r="17379" spans="7:7">
      <c r="G17379"/>
    </row>
    <row r="17380" spans="7:7">
      <c r="G17380"/>
    </row>
    <row r="17381" spans="7:7">
      <c r="G17381"/>
    </row>
    <row r="17382" spans="7:7">
      <c r="G17382"/>
    </row>
    <row r="17383" spans="7:7">
      <c r="G17383"/>
    </row>
    <row r="17384" spans="7:7">
      <c r="G17384"/>
    </row>
    <row r="17385" spans="7:7">
      <c r="G17385"/>
    </row>
    <row r="17386" spans="7:7">
      <c r="G17386"/>
    </row>
    <row r="17387" spans="7:7">
      <c r="G17387"/>
    </row>
    <row r="17388" spans="7:7">
      <c r="G17388"/>
    </row>
    <row r="17389" spans="7:7">
      <c r="G17389"/>
    </row>
    <row r="17390" spans="7:7">
      <c r="G17390"/>
    </row>
    <row r="17391" spans="7:7">
      <c r="G17391"/>
    </row>
    <row r="17392" spans="7:7">
      <c r="G17392"/>
    </row>
    <row r="17393" spans="7:7">
      <c r="G17393"/>
    </row>
    <row r="17394" spans="7:7">
      <c r="G17394"/>
    </row>
    <row r="17395" spans="7:7">
      <c r="G17395"/>
    </row>
    <row r="17396" spans="7:7">
      <c r="G17396"/>
    </row>
    <row r="17397" spans="7:7">
      <c r="G17397"/>
    </row>
    <row r="17398" spans="7:7">
      <c r="G17398"/>
    </row>
    <row r="17399" spans="7:7">
      <c r="G17399"/>
    </row>
    <row r="17400" spans="7:7">
      <c r="G17400"/>
    </row>
    <row r="17401" spans="7:7">
      <c r="G17401"/>
    </row>
    <row r="17402" spans="7:7">
      <c r="G17402"/>
    </row>
    <row r="17403" spans="7:7">
      <c r="G17403"/>
    </row>
    <row r="17404" spans="7:7">
      <c r="G17404"/>
    </row>
    <row r="17405" spans="7:7">
      <c r="G17405"/>
    </row>
    <row r="17406" spans="7:7">
      <c r="G17406"/>
    </row>
    <row r="17407" spans="7:7">
      <c r="G17407"/>
    </row>
    <row r="17408" spans="7:7">
      <c r="G17408"/>
    </row>
    <row r="17409" spans="7:7">
      <c r="G17409"/>
    </row>
    <row r="17410" spans="7:7">
      <c r="G17410"/>
    </row>
    <row r="17411" spans="7:7">
      <c r="G17411"/>
    </row>
    <row r="17412" spans="7:7">
      <c r="G17412"/>
    </row>
    <row r="17413" spans="7:7">
      <c r="G17413"/>
    </row>
    <row r="17414" spans="7:7">
      <c r="G17414"/>
    </row>
    <row r="17415" spans="7:7">
      <c r="G17415"/>
    </row>
    <row r="17416" spans="7:7">
      <c r="G17416"/>
    </row>
    <row r="17417" spans="7:7">
      <c r="G17417"/>
    </row>
    <row r="17418" spans="7:7">
      <c r="G17418"/>
    </row>
    <row r="17419" spans="7:7">
      <c r="G17419"/>
    </row>
    <row r="17420" spans="7:7">
      <c r="G17420"/>
    </row>
    <row r="17421" spans="7:7">
      <c r="G17421"/>
    </row>
    <row r="17422" spans="7:7">
      <c r="G17422"/>
    </row>
    <row r="17423" spans="7:7">
      <c r="G17423"/>
    </row>
    <row r="17424" spans="7:7">
      <c r="G17424"/>
    </row>
    <row r="17425" spans="7:7">
      <c r="G17425"/>
    </row>
    <row r="17426" spans="7:7">
      <c r="G17426"/>
    </row>
    <row r="17427" spans="7:7">
      <c r="G17427"/>
    </row>
    <row r="17428" spans="7:7">
      <c r="G17428"/>
    </row>
    <row r="17429" spans="7:7">
      <c r="G17429"/>
    </row>
    <row r="17430" spans="7:7">
      <c r="G17430"/>
    </row>
    <row r="17431" spans="7:7">
      <c r="G17431"/>
    </row>
    <row r="17432" spans="7:7">
      <c r="G17432"/>
    </row>
    <row r="17433" spans="7:7">
      <c r="G17433"/>
    </row>
    <row r="17434" spans="7:7">
      <c r="G17434"/>
    </row>
    <row r="17435" spans="7:7">
      <c r="G17435"/>
    </row>
    <row r="17436" spans="7:7">
      <c r="G17436"/>
    </row>
    <row r="17437" spans="7:7">
      <c r="G17437"/>
    </row>
    <row r="17438" spans="7:7">
      <c r="G17438"/>
    </row>
    <row r="17439" spans="7:7">
      <c r="G17439"/>
    </row>
    <row r="17440" spans="7:7">
      <c r="G17440"/>
    </row>
    <row r="17441" spans="7:7">
      <c r="G17441"/>
    </row>
    <row r="17442" spans="7:7">
      <c r="G17442"/>
    </row>
    <row r="17443" spans="7:7">
      <c r="G17443"/>
    </row>
    <row r="17444" spans="7:7">
      <c r="G17444"/>
    </row>
    <row r="17445" spans="7:7">
      <c r="G17445"/>
    </row>
    <row r="17446" spans="7:7">
      <c r="G17446"/>
    </row>
    <row r="17447" spans="7:7">
      <c r="G17447"/>
    </row>
    <row r="17448" spans="7:7">
      <c r="G17448"/>
    </row>
    <row r="17449" spans="7:7">
      <c r="G17449"/>
    </row>
    <row r="17450" spans="7:7">
      <c r="G17450"/>
    </row>
    <row r="17451" spans="7:7">
      <c r="G17451"/>
    </row>
    <row r="17452" spans="7:7">
      <c r="G17452"/>
    </row>
    <row r="17453" spans="7:7">
      <c r="G17453"/>
    </row>
    <row r="17454" spans="7:7">
      <c r="G17454"/>
    </row>
    <row r="17455" spans="7:7">
      <c r="G17455"/>
    </row>
    <row r="17456" spans="7:7">
      <c r="G17456"/>
    </row>
    <row r="17457" spans="7:7">
      <c r="G17457"/>
    </row>
    <row r="17458" spans="7:7">
      <c r="G17458"/>
    </row>
    <row r="17459" spans="7:7">
      <c r="G17459"/>
    </row>
    <row r="17460" spans="7:7">
      <c r="G17460"/>
    </row>
    <row r="17461" spans="7:7">
      <c r="G17461"/>
    </row>
    <row r="17462" spans="7:7">
      <c r="G17462"/>
    </row>
    <row r="17463" spans="7:7">
      <c r="G17463"/>
    </row>
    <row r="17464" spans="7:7">
      <c r="G17464"/>
    </row>
    <row r="17465" spans="7:7">
      <c r="G17465"/>
    </row>
    <row r="17466" spans="7:7">
      <c r="G17466"/>
    </row>
    <row r="17467" spans="7:7">
      <c r="G17467"/>
    </row>
    <row r="17468" spans="7:7">
      <c r="G17468"/>
    </row>
    <row r="17469" spans="7:7">
      <c r="G17469"/>
    </row>
    <row r="17470" spans="7:7">
      <c r="G17470"/>
    </row>
    <row r="17471" spans="7:7">
      <c r="G17471"/>
    </row>
    <row r="17472" spans="7:7">
      <c r="G17472"/>
    </row>
    <row r="17473" spans="7:7">
      <c r="G17473"/>
    </row>
    <row r="17474" spans="7:7">
      <c r="G17474"/>
    </row>
    <row r="17475" spans="7:7">
      <c r="G17475"/>
    </row>
    <row r="17476" spans="7:7">
      <c r="G17476"/>
    </row>
    <row r="17477" spans="7:7">
      <c r="G17477"/>
    </row>
    <row r="17478" spans="7:7">
      <c r="G17478"/>
    </row>
    <row r="17479" spans="7:7">
      <c r="G17479"/>
    </row>
    <row r="17480" spans="7:7">
      <c r="G17480"/>
    </row>
    <row r="17481" spans="7:7">
      <c r="G17481"/>
    </row>
    <row r="17482" spans="7:7">
      <c r="G17482"/>
    </row>
    <row r="17483" spans="7:7">
      <c r="G17483"/>
    </row>
    <row r="17484" spans="7:7">
      <c r="G17484"/>
    </row>
    <row r="17485" spans="7:7">
      <c r="G17485"/>
    </row>
    <row r="17486" spans="7:7">
      <c r="G17486"/>
    </row>
    <row r="17487" spans="7:7">
      <c r="G17487"/>
    </row>
    <row r="17488" spans="7:7">
      <c r="G17488"/>
    </row>
    <row r="17489" spans="7:7">
      <c r="G17489"/>
    </row>
    <row r="17490" spans="7:7">
      <c r="G17490"/>
    </row>
    <row r="17491" spans="7:7">
      <c r="G17491"/>
    </row>
    <row r="17492" spans="7:7">
      <c r="G17492"/>
    </row>
    <row r="17493" spans="7:7">
      <c r="G17493"/>
    </row>
    <row r="17494" spans="7:7">
      <c r="G17494"/>
    </row>
    <row r="17495" spans="7:7">
      <c r="G17495"/>
    </row>
    <row r="17496" spans="7:7">
      <c r="G17496"/>
    </row>
    <row r="17497" spans="7:7">
      <c r="G17497"/>
    </row>
    <row r="17498" spans="7:7">
      <c r="G17498"/>
    </row>
    <row r="17499" spans="7:7">
      <c r="G17499"/>
    </row>
    <row r="17500" spans="7:7">
      <c r="G17500"/>
    </row>
    <row r="17501" spans="7:7">
      <c r="G17501"/>
    </row>
    <row r="17502" spans="7:7">
      <c r="G17502"/>
    </row>
    <row r="17503" spans="7:7">
      <c r="G17503"/>
    </row>
    <row r="17504" spans="7:7">
      <c r="G17504"/>
    </row>
    <row r="17505" spans="7:7">
      <c r="G17505"/>
    </row>
    <row r="17506" spans="7:7">
      <c r="G17506"/>
    </row>
    <row r="17507" spans="7:7">
      <c r="G17507"/>
    </row>
    <row r="17508" spans="7:7">
      <c r="G17508"/>
    </row>
    <row r="17509" spans="7:7">
      <c r="G17509"/>
    </row>
    <row r="17510" spans="7:7">
      <c r="G17510"/>
    </row>
    <row r="17511" spans="7:7">
      <c r="G17511"/>
    </row>
    <row r="17512" spans="7:7">
      <c r="G17512"/>
    </row>
    <row r="17513" spans="7:7">
      <c r="G17513"/>
    </row>
    <row r="17514" spans="7:7">
      <c r="G17514"/>
    </row>
    <row r="17515" spans="7:7">
      <c r="G17515"/>
    </row>
    <row r="17516" spans="7:7">
      <c r="G17516"/>
    </row>
    <row r="17517" spans="7:7">
      <c r="G17517"/>
    </row>
    <row r="17518" spans="7:7">
      <c r="G17518"/>
    </row>
    <row r="17519" spans="7:7">
      <c r="G17519"/>
    </row>
    <row r="17520" spans="7:7">
      <c r="G17520"/>
    </row>
    <row r="17521" spans="7:7">
      <c r="G17521"/>
    </row>
    <row r="17522" spans="7:7">
      <c r="G17522"/>
    </row>
    <row r="17523" spans="7:7">
      <c r="G17523"/>
    </row>
    <row r="17524" spans="7:7">
      <c r="G17524"/>
    </row>
    <row r="17525" spans="7:7">
      <c r="G17525"/>
    </row>
    <row r="17526" spans="7:7">
      <c r="G17526"/>
    </row>
    <row r="17527" spans="7:7">
      <c r="G17527"/>
    </row>
    <row r="17528" spans="7:7">
      <c r="G17528"/>
    </row>
    <row r="17529" spans="7:7">
      <c r="G17529"/>
    </row>
    <row r="17530" spans="7:7">
      <c r="G17530"/>
    </row>
    <row r="17531" spans="7:7">
      <c r="G17531"/>
    </row>
    <row r="17532" spans="7:7">
      <c r="G17532"/>
    </row>
    <row r="17533" spans="7:7">
      <c r="G17533"/>
    </row>
    <row r="17534" spans="7:7">
      <c r="G17534"/>
    </row>
    <row r="17535" spans="7:7">
      <c r="G17535"/>
    </row>
    <row r="17536" spans="7:7">
      <c r="G17536"/>
    </row>
    <row r="17537" spans="7:7">
      <c r="G17537"/>
    </row>
    <row r="17538" spans="7:7">
      <c r="G17538"/>
    </row>
    <row r="17539" spans="7:7">
      <c r="G17539"/>
    </row>
    <row r="17540" spans="7:7">
      <c r="G17540"/>
    </row>
    <row r="17541" spans="7:7">
      <c r="G17541"/>
    </row>
    <row r="17542" spans="7:7">
      <c r="G17542"/>
    </row>
    <row r="17543" spans="7:7">
      <c r="G17543"/>
    </row>
    <row r="17544" spans="7:7">
      <c r="G17544"/>
    </row>
    <row r="17545" spans="7:7">
      <c r="G17545"/>
    </row>
    <row r="17546" spans="7:7">
      <c r="G17546"/>
    </row>
    <row r="17547" spans="7:7">
      <c r="G17547"/>
    </row>
    <row r="17548" spans="7:7">
      <c r="G17548"/>
    </row>
    <row r="17549" spans="7:7">
      <c r="G17549"/>
    </row>
    <row r="17550" spans="7:7">
      <c r="G17550"/>
    </row>
    <row r="17551" spans="7:7">
      <c r="G17551"/>
    </row>
    <row r="17552" spans="7:7">
      <c r="G17552"/>
    </row>
    <row r="17553" spans="7:7">
      <c r="G17553"/>
    </row>
    <row r="17554" spans="7:7">
      <c r="G17554"/>
    </row>
    <row r="17555" spans="7:7">
      <c r="G17555"/>
    </row>
    <row r="17556" spans="7:7">
      <c r="G17556"/>
    </row>
    <row r="17557" spans="7:7">
      <c r="G17557"/>
    </row>
    <row r="17558" spans="7:7">
      <c r="G17558"/>
    </row>
    <row r="17559" spans="7:7">
      <c r="G17559"/>
    </row>
    <row r="17560" spans="7:7">
      <c r="G17560"/>
    </row>
    <row r="17561" spans="7:7">
      <c r="G17561"/>
    </row>
    <row r="17562" spans="7:7">
      <c r="G17562"/>
    </row>
    <row r="17563" spans="7:7">
      <c r="G17563"/>
    </row>
    <row r="17564" spans="7:7">
      <c r="G17564"/>
    </row>
    <row r="17565" spans="7:7">
      <c r="G17565"/>
    </row>
    <row r="17566" spans="7:7">
      <c r="G17566"/>
    </row>
    <row r="17567" spans="7:7">
      <c r="G17567"/>
    </row>
    <row r="17568" spans="7:7">
      <c r="G17568"/>
    </row>
    <row r="17569" spans="7:7">
      <c r="G17569"/>
    </row>
    <row r="17570" spans="7:7">
      <c r="G17570"/>
    </row>
    <row r="17571" spans="7:7">
      <c r="G17571"/>
    </row>
    <row r="17572" spans="7:7">
      <c r="G17572"/>
    </row>
    <row r="17573" spans="7:7">
      <c r="G17573"/>
    </row>
    <row r="17574" spans="7:7">
      <c r="G17574"/>
    </row>
    <row r="17575" spans="7:7">
      <c r="G17575"/>
    </row>
    <row r="17576" spans="7:7">
      <c r="G17576"/>
    </row>
    <row r="17577" spans="7:7">
      <c r="G17577"/>
    </row>
    <row r="17578" spans="7:7">
      <c r="G17578"/>
    </row>
    <row r="17579" spans="7:7">
      <c r="G17579"/>
    </row>
    <row r="17580" spans="7:7">
      <c r="G17580"/>
    </row>
    <row r="17581" spans="7:7">
      <c r="G17581"/>
    </row>
    <row r="17582" spans="7:7">
      <c r="G17582"/>
    </row>
    <row r="17583" spans="7:7">
      <c r="G17583"/>
    </row>
    <row r="17584" spans="7:7">
      <c r="G17584"/>
    </row>
    <row r="17585" spans="7:7">
      <c r="G17585"/>
    </row>
    <row r="17586" spans="7:7">
      <c r="G17586"/>
    </row>
    <row r="17587" spans="7:7">
      <c r="G17587"/>
    </row>
    <row r="17588" spans="7:7">
      <c r="G17588"/>
    </row>
    <row r="17589" spans="7:7">
      <c r="G17589"/>
    </row>
    <row r="17590" spans="7:7">
      <c r="G17590"/>
    </row>
    <row r="17591" spans="7:7">
      <c r="G17591"/>
    </row>
    <row r="17592" spans="7:7">
      <c r="G17592"/>
    </row>
    <row r="17593" spans="7:7">
      <c r="G17593"/>
    </row>
    <row r="17594" spans="7:7">
      <c r="G17594"/>
    </row>
    <row r="17595" spans="7:7">
      <c r="G17595"/>
    </row>
    <row r="17596" spans="7:7">
      <c r="G17596"/>
    </row>
    <row r="17597" spans="7:7">
      <c r="G17597"/>
    </row>
    <row r="17598" spans="7:7">
      <c r="G17598"/>
    </row>
    <row r="17599" spans="7:7">
      <c r="G17599"/>
    </row>
    <row r="17600" spans="7:7">
      <c r="G17600"/>
    </row>
    <row r="17601" spans="7:7">
      <c r="G17601"/>
    </row>
    <row r="17602" spans="7:7">
      <c r="G17602"/>
    </row>
    <row r="17603" spans="7:7">
      <c r="G17603"/>
    </row>
    <row r="17604" spans="7:7">
      <c r="G17604"/>
    </row>
    <row r="17605" spans="7:7">
      <c r="G17605"/>
    </row>
    <row r="17606" spans="7:7">
      <c r="G17606"/>
    </row>
    <row r="17607" spans="7:7">
      <c r="G17607"/>
    </row>
    <row r="17608" spans="7:7">
      <c r="G17608"/>
    </row>
    <row r="17609" spans="7:7">
      <c r="G17609"/>
    </row>
    <row r="17610" spans="7:7">
      <c r="G17610"/>
    </row>
    <row r="17611" spans="7:7">
      <c r="G17611"/>
    </row>
    <row r="17612" spans="7:7">
      <c r="G17612"/>
    </row>
    <row r="17613" spans="7:7">
      <c r="G17613"/>
    </row>
    <row r="17614" spans="7:7">
      <c r="G17614"/>
    </row>
    <row r="17615" spans="7:7">
      <c r="G17615"/>
    </row>
    <row r="17616" spans="7:7">
      <c r="G17616"/>
    </row>
    <row r="17617" spans="7:7">
      <c r="G17617"/>
    </row>
    <row r="17618" spans="7:7">
      <c r="G17618"/>
    </row>
    <row r="17619" spans="7:7">
      <c r="G17619"/>
    </row>
    <row r="17620" spans="7:7">
      <c r="G17620"/>
    </row>
    <row r="17621" spans="7:7">
      <c r="G17621"/>
    </row>
    <row r="17622" spans="7:7">
      <c r="G17622"/>
    </row>
    <row r="17623" spans="7:7">
      <c r="G17623"/>
    </row>
    <row r="17624" spans="7:7">
      <c r="G17624"/>
    </row>
    <row r="17625" spans="7:7">
      <c r="G17625"/>
    </row>
    <row r="17626" spans="7:7">
      <c r="G17626"/>
    </row>
    <row r="17627" spans="7:7">
      <c r="G17627"/>
    </row>
    <row r="17628" spans="7:7">
      <c r="G17628"/>
    </row>
    <row r="17629" spans="7:7">
      <c r="G17629"/>
    </row>
    <row r="17630" spans="7:7">
      <c r="G17630"/>
    </row>
    <row r="17631" spans="7:7">
      <c r="G17631"/>
    </row>
    <row r="17632" spans="7:7">
      <c r="G17632"/>
    </row>
    <row r="17633" spans="7:7">
      <c r="G17633"/>
    </row>
    <row r="17634" spans="7:7">
      <c r="G17634"/>
    </row>
    <row r="17635" spans="7:7">
      <c r="G17635"/>
    </row>
    <row r="17636" spans="7:7">
      <c r="G17636"/>
    </row>
    <row r="17637" spans="7:7">
      <c r="G17637"/>
    </row>
    <row r="17638" spans="7:7">
      <c r="G17638"/>
    </row>
    <row r="17639" spans="7:7">
      <c r="G17639"/>
    </row>
    <row r="17640" spans="7:7">
      <c r="G17640"/>
    </row>
    <row r="17641" spans="7:7">
      <c r="G17641"/>
    </row>
    <row r="17642" spans="7:7">
      <c r="G17642"/>
    </row>
    <row r="17643" spans="7:7">
      <c r="G17643"/>
    </row>
    <row r="17644" spans="7:7">
      <c r="G17644"/>
    </row>
    <row r="17645" spans="7:7">
      <c r="G17645"/>
    </row>
    <row r="17646" spans="7:7">
      <c r="G17646"/>
    </row>
    <row r="17647" spans="7:7">
      <c r="G17647"/>
    </row>
    <row r="17648" spans="7:7">
      <c r="G17648"/>
    </row>
    <row r="17649" spans="7:7">
      <c r="G17649"/>
    </row>
    <row r="17650" spans="7:7">
      <c r="G17650"/>
    </row>
    <row r="17651" spans="7:7">
      <c r="G17651"/>
    </row>
    <row r="17652" spans="7:7">
      <c r="G17652"/>
    </row>
    <row r="17653" spans="7:7">
      <c r="G17653"/>
    </row>
    <row r="17654" spans="7:7">
      <c r="G17654"/>
    </row>
    <row r="17655" spans="7:7">
      <c r="G17655"/>
    </row>
    <row r="17656" spans="7:7">
      <c r="G17656"/>
    </row>
    <row r="17657" spans="7:7">
      <c r="G17657"/>
    </row>
    <row r="17658" spans="7:7">
      <c r="G17658"/>
    </row>
    <row r="17659" spans="7:7">
      <c r="G17659"/>
    </row>
    <row r="17660" spans="7:7">
      <c r="G17660"/>
    </row>
    <row r="17661" spans="7:7">
      <c r="G17661"/>
    </row>
    <row r="17662" spans="7:7">
      <c r="G17662"/>
    </row>
    <row r="17663" spans="7:7">
      <c r="G17663"/>
    </row>
    <row r="17664" spans="7:7">
      <c r="G17664"/>
    </row>
    <row r="17665" spans="7:7">
      <c r="G17665"/>
    </row>
    <row r="17666" spans="7:7">
      <c r="G17666"/>
    </row>
    <row r="17667" spans="7:7">
      <c r="G17667"/>
    </row>
    <row r="17668" spans="7:7">
      <c r="G17668"/>
    </row>
    <row r="17669" spans="7:7">
      <c r="G17669"/>
    </row>
    <row r="17670" spans="7:7">
      <c r="G17670"/>
    </row>
    <row r="17671" spans="7:7">
      <c r="G17671"/>
    </row>
    <row r="17672" spans="7:7">
      <c r="G17672"/>
    </row>
    <row r="17673" spans="7:7">
      <c r="G17673"/>
    </row>
    <row r="17674" spans="7:7">
      <c r="G17674"/>
    </row>
    <row r="17675" spans="7:7">
      <c r="G17675"/>
    </row>
    <row r="17676" spans="7:7">
      <c r="G17676"/>
    </row>
    <row r="17677" spans="7:7">
      <c r="G17677"/>
    </row>
    <row r="17678" spans="7:7">
      <c r="G17678"/>
    </row>
    <row r="17679" spans="7:7">
      <c r="G17679"/>
    </row>
    <row r="17680" spans="7:7">
      <c r="G17680"/>
    </row>
    <row r="17681" spans="7:7">
      <c r="G17681"/>
    </row>
    <row r="17682" spans="7:7">
      <c r="G17682"/>
    </row>
    <row r="17683" spans="7:7">
      <c r="G17683"/>
    </row>
    <row r="17684" spans="7:7">
      <c r="G17684"/>
    </row>
    <row r="17685" spans="7:7">
      <c r="G17685"/>
    </row>
    <row r="17686" spans="7:7">
      <c r="G17686"/>
    </row>
    <row r="17687" spans="7:7">
      <c r="G17687"/>
    </row>
    <row r="17688" spans="7:7">
      <c r="G17688"/>
    </row>
    <row r="17689" spans="7:7">
      <c r="G17689"/>
    </row>
    <row r="17690" spans="7:7">
      <c r="G17690"/>
    </row>
    <row r="17691" spans="7:7">
      <c r="G17691"/>
    </row>
    <row r="17692" spans="7:7">
      <c r="G17692"/>
    </row>
    <row r="17693" spans="7:7">
      <c r="G17693"/>
    </row>
    <row r="17694" spans="7:7">
      <c r="G17694"/>
    </row>
    <row r="17695" spans="7:7">
      <c r="G17695"/>
    </row>
    <row r="17696" spans="7:7">
      <c r="G17696"/>
    </row>
    <row r="17697" spans="7:7">
      <c r="G17697"/>
    </row>
    <row r="17698" spans="7:7">
      <c r="G17698"/>
    </row>
    <row r="17699" spans="7:7">
      <c r="G17699"/>
    </row>
    <row r="17700" spans="7:7">
      <c r="G17700"/>
    </row>
    <row r="17701" spans="7:7">
      <c r="G17701"/>
    </row>
    <row r="17702" spans="7:7">
      <c r="G17702"/>
    </row>
    <row r="17703" spans="7:7">
      <c r="G17703"/>
    </row>
    <row r="17704" spans="7:7">
      <c r="G17704"/>
    </row>
    <row r="17705" spans="7:7">
      <c r="G17705"/>
    </row>
    <row r="17706" spans="7:7">
      <c r="G17706"/>
    </row>
    <row r="17707" spans="7:7">
      <c r="G17707"/>
    </row>
    <row r="17708" spans="7:7">
      <c r="G17708"/>
    </row>
    <row r="17709" spans="7:7">
      <c r="G17709"/>
    </row>
    <row r="17710" spans="7:7">
      <c r="G17710"/>
    </row>
    <row r="17711" spans="7:7">
      <c r="G17711"/>
    </row>
    <row r="17712" spans="7:7">
      <c r="G17712"/>
    </row>
    <row r="17713" spans="7:7">
      <c r="G17713"/>
    </row>
    <row r="17714" spans="7:7">
      <c r="G17714"/>
    </row>
    <row r="17715" spans="7:7">
      <c r="G17715"/>
    </row>
    <row r="17716" spans="7:7">
      <c r="G17716"/>
    </row>
    <row r="17717" spans="7:7">
      <c r="G17717"/>
    </row>
    <row r="17718" spans="7:7">
      <c r="G17718"/>
    </row>
    <row r="17719" spans="7:7">
      <c r="G17719"/>
    </row>
    <row r="17720" spans="7:7">
      <c r="G17720"/>
    </row>
    <row r="17721" spans="7:7">
      <c r="G17721"/>
    </row>
    <row r="17722" spans="7:7">
      <c r="G17722"/>
    </row>
    <row r="17723" spans="7:7">
      <c r="G17723"/>
    </row>
    <row r="17724" spans="7:7">
      <c r="G17724"/>
    </row>
    <row r="17725" spans="7:7">
      <c r="G17725"/>
    </row>
    <row r="17726" spans="7:7">
      <c r="G17726"/>
    </row>
    <row r="17727" spans="7:7">
      <c r="G17727"/>
    </row>
    <row r="17728" spans="7:7">
      <c r="G17728"/>
    </row>
    <row r="17729" spans="7:7">
      <c r="G17729"/>
    </row>
    <row r="17730" spans="7:7">
      <c r="G17730"/>
    </row>
    <row r="17731" spans="7:7">
      <c r="G17731"/>
    </row>
    <row r="17732" spans="7:7">
      <c r="G17732"/>
    </row>
    <row r="17733" spans="7:7">
      <c r="G17733"/>
    </row>
    <row r="17734" spans="7:7">
      <c r="G17734"/>
    </row>
    <row r="17735" spans="7:7">
      <c r="G17735"/>
    </row>
    <row r="17736" spans="7:7">
      <c r="G17736"/>
    </row>
    <row r="17737" spans="7:7">
      <c r="G17737"/>
    </row>
    <row r="17738" spans="7:7">
      <c r="G17738"/>
    </row>
    <row r="17739" spans="7:7">
      <c r="G17739"/>
    </row>
    <row r="17740" spans="7:7">
      <c r="G17740"/>
    </row>
    <row r="17741" spans="7:7">
      <c r="G17741"/>
    </row>
    <row r="17742" spans="7:7">
      <c r="G17742"/>
    </row>
    <row r="17743" spans="7:7">
      <c r="G17743"/>
    </row>
    <row r="17744" spans="7:7">
      <c r="G17744"/>
    </row>
    <row r="17745" spans="7:7">
      <c r="G17745"/>
    </row>
    <row r="17746" spans="7:7">
      <c r="G17746"/>
    </row>
    <row r="17747" spans="7:7">
      <c r="G17747"/>
    </row>
    <row r="17748" spans="7:7">
      <c r="G17748"/>
    </row>
    <row r="17749" spans="7:7">
      <c r="G17749"/>
    </row>
    <row r="17750" spans="7:7">
      <c r="G17750"/>
    </row>
    <row r="17751" spans="7:7">
      <c r="G17751"/>
    </row>
    <row r="17752" spans="7:7">
      <c r="G17752"/>
    </row>
    <row r="17753" spans="7:7">
      <c r="G17753"/>
    </row>
    <row r="17754" spans="7:7">
      <c r="G17754"/>
    </row>
    <row r="17755" spans="7:7">
      <c r="G17755"/>
    </row>
    <row r="17756" spans="7:7">
      <c r="G17756"/>
    </row>
    <row r="17757" spans="7:7">
      <c r="G17757"/>
    </row>
    <row r="17758" spans="7:7">
      <c r="G17758"/>
    </row>
    <row r="17759" spans="7:7">
      <c r="G17759"/>
    </row>
    <row r="17760" spans="7:7">
      <c r="G17760"/>
    </row>
    <row r="17761" spans="7:7">
      <c r="G17761"/>
    </row>
    <row r="17762" spans="7:7">
      <c r="G17762"/>
    </row>
    <row r="17763" spans="7:7">
      <c r="G17763"/>
    </row>
    <row r="17764" spans="7:7">
      <c r="G17764"/>
    </row>
    <row r="17765" spans="7:7">
      <c r="G17765"/>
    </row>
    <row r="17766" spans="7:7">
      <c r="G17766"/>
    </row>
    <row r="17767" spans="7:7">
      <c r="G17767"/>
    </row>
    <row r="17768" spans="7:7">
      <c r="G17768"/>
    </row>
    <row r="17769" spans="7:7">
      <c r="G17769"/>
    </row>
    <row r="17770" spans="7:7">
      <c r="G17770"/>
    </row>
    <row r="17771" spans="7:7">
      <c r="G17771"/>
    </row>
    <row r="17772" spans="7:7">
      <c r="G17772"/>
    </row>
    <row r="17773" spans="7:7">
      <c r="G17773"/>
    </row>
    <row r="17774" spans="7:7">
      <c r="G17774"/>
    </row>
    <row r="17775" spans="7:7">
      <c r="G17775"/>
    </row>
    <row r="17776" spans="7:7">
      <c r="G17776"/>
    </row>
    <row r="17777" spans="7:7">
      <c r="G17777"/>
    </row>
    <row r="17778" spans="7:7">
      <c r="G17778"/>
    </row>
    <row r="17779" spans="7:7">
      <c r="G17779"/>
    </row>
    <row r="17780" spans="7:7">
      <c r="G17780"/>
    </row>
    <row r="17781" spans="7:7">
      <c r="G17781"/>
    </row>
    <row r="17782" spans="7:7">
      <c r="G17782"/>
    </row>
    <row r="17783" spans="7:7">
      <c r="G17783"/>
    </row>
    <row r="17784" spans="7:7">
      <c r="G17784"/>
    </row>
    <row r="17785" spans="7:7">
      <c r="G17785"/>
    </row>
    <row r="17786" spans="7:7">
      <c r="G17786"/>
    </row>
    <row r="17787" spans="7:7">
      <c r="G17787"/>
    </row>
    <row r="17788" spans="7:7">
      <c r="G17788"/>
    </row>
    <row r="17789" spans="7:7">
      <c r="G17789"/>
    </row>
    <row r="17790" spans="7:7">
      <c r="G17790"/>
    </row>
    <row r="17791" spans="7:7">
      <c r="G17791"/>
    </row>
    <row r="17792" spans="7:7">
      <c r="G17792"/>
    </row>
    <row r="17793" spans="7:7">
      <c r="G17793"/>
    </row>
    <row r="17794" spans="7:7">
      <c r="G17794"/>
    </row>
    <row r="17795" spans="7:7">
      <c r="G17795"/>
    </row>
    <row r="17796" spans="7:7">
      <c r="G17796"/>
    </row>
    <row r="17797" spans="7:7">
      <c r="G17797"/>
    </row>
    <row r="17798" spans="7:7">
      <c r="G17798"/>
    </row>
    <row r="17799" spans="7:7">
      <c r="G17799"/>
    </row>
    <row r="17800" spans="7:7">
      <c r="G17800"/>
    </row>
    <row r="17801" spans="7:7">
      <c r="G17801"/>
    </row>
    <row r="17802" spans="7:7">
      <c r="G17802"/>
    </row>
    <row r="17803" spans="7:7">
      <c r="G17803"/>
    </row>
    <row r="17804" spans="7:7">
      <c r="G17804"/>
    </row>
    <row r="17805" spans="7:7">
      <c r="G17805"/>
    </row>
    <row r="17806" spans="7:7">
      <c r="G17806"/>
    </row>
    <row r="17807" spans="7:7">
      <c r="G17807"/>
    </row>
    <row r="17808" spans="7:7">
      <c r="G17808"/>
    </row>
    <row r="17809" spans="7:7">
      <c r="G17809"/>
    </row>
    <row r="17810" spans="7:7">
      <c r="G17810"/>
    </row>
    <row r="17811" spans="7:7">
      <c r="G17811"/>
    </row>
    <row r="17812" spans="7:7">
      <c r="G17812"/>
    </row>
    <row r="17813" spans="7:7">
      <c r="G17813"/>
    </row>
    <row r="17814" spans="7:7">
      <c r="G17814"/>
    </row>
    <row r="17815" spans="7:7">
      <c r="G17815"/>
    </row>
    <row r="17816" spans="7:7">
      <c r="G17816"/>
    </row>
    <row r="17817" spans="7:7">
      <c r="G17817"/>
    </row>
    <row r="17818" spans="7:7">
      <c r="G17818"/>
    </row>
    <row r="17819" spans="7:7">
      <c r="G17819"/>
    </row>
    <row r="17820" spans="7:7">
      <c r="G17820"/>
    </row>
    <row r="17821" spans="7:7">
      <c r="G17821"/>
    </row>
    <row r="17822" spans="7:7">
      <c r="G17822"/>
    </row>
    <row r="17823" spans="7:7">
      <c r="G17823"/>
    </row>
    <row r="17824" spans="7:7">
      <c r="G17824"/>
    </row>
    <row r="17825" spans="7:7">
      <c r="G17825"/>
    </row>
    <row r="17826" spans="7:7">
      <c r="G17826"/>
    </row>
    <row r="17827" spans="7:7">
      <c r="G17827"/>
    </row>
    <row r="17828" spans="7:7">
      <c r="G17828"/>
    </row>
    <row r="17829" spans="7:7">
      <c r="G17829"/>
    </row>
    <row r="17830" spans="7:7">
      <c r="G17830"/>
    </row>
    <row r="17831" spans="7:7">
      <c r="G17831"/>
    </row>
    <row r="17832" spans="7:7">
      <c r="G17832"/>
    </row>
    <row r="17833" spans="7:7">
      <c r="G17833"/>
    </row>
    <row r="17834" spans="7:7">
      <c r="G17834"/>
    </row>
    <row r="17835" spans="7:7">
      <c r="G17835"/>
    </row>
    <row r="17836" spans="7:7">
      <c r="G17836"/>
    </row>
    <row r="17837" spans="7:7">
      <c r="G17837"/>
    </row>
    <row r="17838" spans="7:7">
      <c r="G17838"/>
    </row>
    <row r="17839" spans="7:7">
      <c r="G17839"/>
    </row>
    <row r="17840" spans="7:7">
      <c r="G17840"/>
    </row>
    <row r="17841" spans="7:7">
      <c r="G17841"/>
    </row>
    <row r="17842" spans="7:7">
      <c r="G17842"/>
    </row>
    <row r="17843" spans="7:7">
      <c r="G17843"/>
    </row>
    <row r="17844" spans="7:7">
      <c r="G17844"/>
    </row>
    <row r="17845" spans="7:7">
      <c r="G17845"/>
    </row>
    <row r="17846" spans="7:7">
      <c r="G17846"/>
    </row>
    <row r="17847" spans="7:7">
      <c r="G17847"/>
    </row>
    <row r="17848" spans="7:7">
      <c r="G17848"/>
    </row>
    <row r="17849" spans="7:7">
      <c r="G17849"/>
    </row>
    <row r="17850" spans="7:7">
      <c r="G17850"/>
    </row>
    <row r="17851" spans="7:7">
      <c r="G17851"/>
    </row>
    <row r="17852" spans="7:7">
      <c r="G17852"/>
    </row>
    <row r="17853" spans="7:7">
      <c r="G17853"/>
    </row>
    <row r="17854" spans="7:7">
      <c r="G17854"/>
    </row>
    <row r="17855" spans="7:7">
      <c r="G17855"/>
    </row>
    <row r="17856" spans="7:7">
      <c r="G17856"/>
    </row>
    <row r="17857" spans="7:7">
      <c r="G17857"/>
    </row>
    <row r="17858" spans="7:7">
      <c r="G17858"/>
    </row>
    <row r="17859" spans="7:7">
      <c r="G17859"/>
    </row>
    <row r="17860" spans="7:7">
      <c r="G17860"/>
    </row>
    <row r="17861" spans="7:7">
      <c r="G17861"/>
    </row>
    <row r="17862" spans="7:7">
      <c r="G17862"/>
    </row>
    <row r="17863" spans="7:7">
      <c r="G17863"/>
    </row>
    <row r="17864" spans="7:7">
      <c r="G17864"/>
    </row>
    <row r="17865" spans="7:7">
      <c r="G17865"/>
    </row>
    <row r="17866" spans="7:7">
      <c r="G17866"/>
    </row>
    <row r="17867" spans="7:7">
      <c r="G17867"/>
    </row>
    <row r="17868" spans="7:7">
      <c r="G17868"/>
    </row>
    <row r="17869" spans="7:7">
      <c r="G17869"/>
    </row>
    <row r="17870" spans="7:7">
      <c r="G17870"/>
    </row>
    <row r="17871" spans="7:7">
      <c r="G17871"/>
    </row>
    <row r="17872" spans="7:7">
      <c r="G17872"/>
    </row>
    <row r="17873" spans="7:7">
      <c r="G17873"/>
    </row>
    <row r="17874" spans="7:7">
      <c r="G17874"/>
    </row>
    <row r="17875" spans="7:7">
      <c r="G17875"/>
    </row>
    <row r="17876" spans="7:7">
      <c r="G17876"/>
    </row>
    <row r="17877" spans="7:7">
      <c r="G17877"/>
    </row>
    <row r="17878" spans="7:7">
      <c r="G17878"/>
    </row>
    <row r="17879" spans="7:7">
      <c r="G17879"/>
    </row>
    <row r="17880" spans="7:7">
      <c r="G17880"/>
    </row>
    <row r="17881" spans="7:7">
      <c r="G17881"/>
    </row>
    <row r="17882" spans="7:7">
      <c r="G17882"/>
    </row>
    <row r="17883" spans="7:7">
      <c r="G17883"/>
    </row>
    <row r="17884" spans="7:7">
      <c r="G17884"/>
    </row>
    <row r="17885" spans="7:7">
      <c r="G17885"/>
    </row>
    <row r="17886" spans="7:7">
      <c r="G17886"/>
    </row>
    <row r="17887" spans="7:7">
      <c r="G17887"/>
    </row>
    <row r="17888" spans="7:7">
      <c r="G17888"/>
    </row>
    <row r="17889" spans="7:7">
      <c r="G17889"/>
    </row>
    <row r="17890" spans="7:7">
      <c r="G17890"/>
    </row>
    <row r="17891" spans="7:7">
      <c r="G17891"/>
    </row>
    <row r="17892" spans="7:7">
      <c r="G17892"/>
    </row>
    <row r="17893" spans="7:7">
      <c r="G17893"/>
    </row>
    <row r="17894" spans="7:7">
      <c r="G17894"/>
    </row>
    <row r="17895" spans="7:7">
      <c r="G17895"/>
    </row>
    <row r="17896" spans="7:7">
      <c r="G17896"/>
    </row>
    <row r="17897" spans="7:7">
      <c r="G17897"/>
    </row>
    <row r="17898" spans="7:7">
      <c r="G17898"/>
    </row>
    <row r="17899" spans="7:7">
      <c r="G17899"/>
    </row>
    <row r="17900" spans="7:7">
      <c r="G17900"/>
    </row>
    <row r="17901" spans="7:7">
      <c r="G17901"/>
    </row>
    <row r="17902" spans="7:7">
      <c r="G17902"/>
    </row>
    <row r="17903" spans="7:7">
      <c r="G17903"/>
    </row>
    <row r="17904" spans="7:7">
      <c r="G17904"/>
    </row>
    <row r="17905" spans="7:7">
      <c r="G17905"/>
    </row>
    <row r="17906" spans="7:7">
      <c r="G17906"/>
    </row>
    <row r="17907" spans="7:7">
      <c r="G17907"/>
    </row>
    <row r="17908" spans="7:7">
      <c r="G17908"/>
    </row>
    <row r="17909" spans="7:7">
      <c r="G17909"/>
    </row>
    <row r="17910" spans="7:7">
      <c r="G17910"/>
    </row>
    <row r="17911" spans="7:7">
      <c r="G17911"/>
    </row>
    <row r="17912" spans="7:7">
      <c r="G17912"/>
    </row>
    <row r="17913" spans="7:7">
      <c r="G17913"/>
    </row>
    <row r="17914" spans="7:7">
      <c r="G17914"/>
    </row>
    <row r="17915" spans="7:7">
      <c r="G17915"/>
    </row>
    <row r="17916" spans="7:7">
      <c r="G17916"/>
    </row>
    <row r="17917" spans="7:7">
      <c r="G17917"/>
    </row>
    <row r="17918" spans="7:7">
      <c r="G17918"/>
    </row>
    <row r="17919" spans="7:7">
      <c r="G17919"/>
    </row>
    <row r="17920" spans="7:7">
      <c r="G17920"/>
    </row>
    <row r="17921" spans="7:7">
      <c r="G17921"/>
    </row>
    <row r="17922" spans="7:7">
      <c r="G17922"/>
    </row>
    <row r="17923" spans="7:7">
      <c r="G17923"/>
    </row>
    <row r="17924" spans="7:7">
      <c r="G17924"/>
    </row>
    <row r="17925" spans="7:7">
      <c r="G17925"/>
    </row>
    <row r="17926" spans="7:7">
      <c r="G17926"/>
    </row>
    <row r="17927" spans="7:7">
      <c r="G17927"/>
    </row>
    <row r="17928" spans="7:7">
      <c r="G17928"/>
    </row>
    <row r="17929" spans="7:7">
      <c r="G17929"/>
    </row>
    <row r="17930" spans="7:7">
      <c r="G17930"/>
    </row>
    <row r="17931" spans="7:7">
      <c r="G17931"/>
    </row>
    <row r="17932" spans="7:7">
      <c r="G17932"/>
    </row>
    <row r="17933" spans="7:7">
      <c r="G17933"/>
    </row>
    <row r="17934" spans="7:7">
      <c r="G17934"/>
    </row>
    <row r="17935" spans="7:7">
      <c r="G17935"/>
    </row>
    <row r="17936" spans="7:7">
      <c r="G17936"/>
    </row>
    <row r="17937" spans="7:7">
      <c r="G17937"/>
    </row>
    <row r="17938" spans="7:7">
      <c r="G17938"/>
    </row>
    <row r="17939" spans="7:7">
      <c r="G17939"/>
    </row>
    <row r="17940" spans="7:7">
      <c r="G17940"/>
    </row>
    <row r="17941" spans="7:7">
      <c r="G17941"/>
    </row>
    <row r="17942" spans="7:7">
      <c r="G17942"/>
    </row>
    <row r="17943" spans="7:7">
      <c r="G17943"/>
    </row>
    <row r="17944" spans="7:7">
      <c r="G17944"/>
    </row>
    <row r="17945" spans="7:7">
      <c r="G17945"/>
    </row>
    <row r="17946" spans="7:7">
      <c r="G17946"/>
    </row>
    <row r="17947" spans="7:7">
      <c r="G17947"/>
    </row>
    <row r="17948" spans="7:7">
      <c r="G17948"/>
    </row>
    <row r="17949" spans="7:7">
      <c r="G17949"/>
    </row>
    <row r="17950" spans="7:7">
      <c r="G17950"/>
    </row>
    <row r="17951" spans="7:7">
      <c r="G17951"/>
    </row>
    <row r="17952" spans="7:7">
      <c r="G17952"/>
    </row>
    <row r="17953" spans="7:7">
      <c r="G17953"/>
    </row>
    <row r="17954" spans="7:7">
      <c r="G17954"/>
    </row>
    <row r="17955" spans="7:7">
      <c r="G17955"/>
    </row>
    <row r="17956" spans="7:7">
      <c r="G17956"/>
    </row>
    <row r="17957" spans="7:7">
      <c r="G17957"/>
    </row>
    <row r="17958" spans="7:7">
      <c r="G17958"/>
    </row>
    <row r="17959" spans="7:7">
      <c r="G17959"/>
    </row>
    <row r="17960" spans="7:7">
      <c r="G17960"/>
    </row>
    <row r="17961" spans="7:7">
      <c r="G17961"/>
    </row>
    <row r="17962" spans="7:7">
      <c r="G17962"/>
    </row>
    <row r="17963" spans="7:7">
      <c r="G17963"/>
    </row>
    <row r="17964" spans="7:7">
      <c r="G17964"/>
    </row>
    <row r="17965" spans="7:7">
      <c r="G17965"/>
    </row>
    <row r="17966" spans="7:7">
      <c r="G17966"/>
    </row>
    <row r="17967" spans="7:7">
      <c r="G17967"/>
    </row>
    <row r="17968" spans="7:7">
      <c r="G17968"/>
    </row>
    <row r="17969" spans="7:7">
      <c r="G17969"/>
    </row>
    <row r="17970" spans="7:7">
      <c r="G17970"/>
    </row>
    <row r="17971" spans="7:7">
      <c r="G17971"/>
    </row>
    <row r="17972" spans="7:7">
      <c r="G17972"/>
    </row>
    <row r="17973" spans="7:7">
      <c r="G17973"/>
    </row>
    <row r="17974" spans="7:7">
      <c r="G17974"/>
    </row>
    <row r="17975" spans="7:7">
      <c r="G17975"/>
    </row>
    <row r="17976" spans="7:7">
      <c r="G17976"/>
    </row>
    <row r="17977" spans="7:7">
      <c r="G17977"/>
    </row>
    <row r="17978" spans="7:7">
      <c r="G17978"/>
    </row>
    <row r="17979" spans="7:7">
      <c r="G17979"/>
    </row>
    <row r="17980" spans="7:7">
      <c r="G17980"/>
    </row>
    <row r="17981" spans="7:7">
      <c r="G17981"/>
    </row>
    <row r="17982" spans="7:7">
      <c r="G17982"/>
    </row>
    <row r="17983" spans="7:7">
      <c r="G17983"/>
    </row>
    <row r="17984" spans="7:7">
      <c r="G17984"/>
    </row>
    <row r="17985" spans="7:7">
      <c r="G17985"/>
    </row>
    <row r="17986" spans="7:7">
      <c r="G17986"/>
    </row>
    <row r="17987" spans="7:7">
      <c r="G17987"/>
    </row>
    <row r="17988" spans="7:7">
      <c r="G17988"/>
    </row>
    <row r="17989" spans="7:7">
      <c r="G17989"/>
    </row>
    <row r="17990" spans="7:7">
      <c r="G17990"/>
    </row>
    <row r="17991" spans="7:7">
      <c r="G17991"/>
    </row>
    <row r="17992" spans="7:7">
      <c r="G17992"/>
    </row>
    <row r="17993" spans="7:7">
      <c r="G17993"/>
    </row>
    <row r="17994" spans="7:7">
      <c r="G17994"/>
    </row>
    <row r="17995" spans="7:7">
      <c r="G17995"/>
    </row>
    <row r="17996" spans="7:7">
      <c r="G17996"/>
    </row>
    <row r="17997" spans="7:7">
      <c r="G17997"/>
    </row>
    <row r="17998" spans="7:7">
      <c r="G17998"/>
    </row>
    <row r="17999" spans="7:7">
      <c r="G17999"/>
    </row>
    <row r="18000" spans="7:7">
      <c r="G18000"/>
    </row>
    <row r="18001" spans="7:7">
      <c r="G18001"/>
    </row>
    <row r="18002" spans="7:7">
      <c r="G18002"/>
    </row>
    <row r="18003" spans="7:7">
      <c r="G18003"/>
    </row>
    <row r="18004" spans="7:7">
      <c r="G18004"/>
    </row>
    <row r="18005" spans="7:7">
      <c r="G18005"/>
    </row>
    <row r="18006" spans="7:7">
      <c r="G18006"/>
    </row>
    <row r="18007" spans="7:7">
      <c r="G18007"/>
    </row>
    <row r="18008" spans="7:7">
      <c r="G18008"/>
    </row>
    <row r="18009" spans="7:7">
      <c r="G18009"/>
    </row>
    <row r="18010" spans="7:7">
      <c r="G18010"/>
    </row>
    <row r="18011" spans="7:7">
      <c r="G18011"/>
    </row>
    <row r="18012" spans="7:7">
      <c r="G18012"/>
    </row>
    <row r="18013" spans="7:7">
      <c r="G18013"/>
    </row>
    <row r="18014" spans="7:7">
      <c r="G18014"/>
    </row>
    <row r="18015" spans="7:7">
      <c r="G18015"/>
    </row>
    <row r="18016" spans="7:7">
      <c r="G18016"/>
    </row>
    <row r="18017" spans="7:7">
      <c r="G18017"/>
    </row>
    <row r="18018" spans="7:7">
      <c r="G18018"/>
    </row>
    <row r="18019" spans="7:7">
      <c r="G18019"/>
    </row>
    <row r="18020" spans="7:7">
      <c r="G18020"/>
    </row>
    <row r="18021" spans="7:7">
      <c r="G18021"/>
    </row>
    <row r="18022" spans="7:7">
      <c r="G18022"/>
    </row>
    <row r="18023" spans="7:7">
      <c r="G18023"/>
    </row>
    <row r="18024" spans="7:7">
      <c r="G18024"/>
    </row>
    <row r="18025" spans="7:7">
      <c r="G18025"/>
    </row>
    <row r="18026" spans="7:7">
      <c r="G18026"/>
    </row>
    <row r="18027" spans="7:7">
      <c r="G18027"/>
    </row>
    <row r="18028" spans="7:7">
      <c r="G18028"/>
    </row>
    <row r="18029" spans="7:7">
      <c r="G18029"/>
    </row>
    <row r="18030" spans="7:7">
      <c r="G18030"/>
    </row>
    <row r="18031" spans="7:7">
      <c r="G18031"/>
    </row>
    <row r="18032" spans="7:7">
      <c r="G18032"/>
    </row>
    <row r="18033" spans="7:7">
      <c r="G18033"/>
    </row>
    <row r="18034" spans="7:7">
      <c r="G18034"/>
    </row>
    <row r="18035" spans="7:7">
      <c r="G18035"/>
    </row>
    <row r="18036" spans="7:7">
      <c r="G18036"/>
    </row>
    <row r="18037" spans="7:7">
      <c r="G18037"/>
    </row>
    <row r="18038" spans="7:7">
      <c r="G18038"/>
    </row>
    <row r="18039" spans="7:7">
      <c r="G18039"/>
    </row>
    <row r="18040" spans="7:7">
      <c r="G18040"/>
    </row>
    <row r="18041" spans="7:7">
      <c r="G18041"/>
    </row>
    <row r="18042" spans="7:7">
      <c r="G18042"/>
    </row>
    <row r="18043" spans="7:7">
      <c r="G18043"/>
    </row>
    <row r="18044" spans="7:7">
      <c r="G18044"/>
    </row>
    <row r="18045" spans="7:7">
      <c r="G18045"/>
    </row>
    <row r="18046" spans="7:7">
      <c r="G18046"/>
    </row>
    <row r="18047" spans="7:7">
      <c r="G18047"/>
    </row>
    <row r="18048" spans="7:7">
      <c r="G18048"/>
    </row>
    <row r="18049" spans="7:7">
      <c r="G18049"/>
    </row>
    <row r="18050" spans="7:7">
      <c r="G18050"/>
    </row>
    <row r="18051" spans="7:7">
      <c r="G18051"/>
    </row>
    <row r="18052" spans="7:7">
      <c r="G18052"/>
    </row>
    <row r="18053" spans="7:7">
      <c r="G18053"/>
    </row>
    <row r="18054" spans="7:7">
      <c r="G18054"/>
    </row>
    <row r="18055" spans="7:7">
      <c r="G18055"/>
    </row>
    <row r="18056" spans="7:7">
      <c r="G18056"/>
    </row>
    <row r="18057" spans="7:7">
      <c r="G18057"/>
    </row>
    <row r="18058" spans="7:7">
      <c r="G18058"/>
    </row>
    <row r="18059" spans="7:7">
      <c r="G18059"/>
    </row>
    <row r="18060" spans="7:7">
      <c r="G18060"/>
    </row>
    <row r="18061" spans="7:7">
      <c r="G18061"/>
    </row>
    <row r="18062" spans="7:7">
      <c r="G18062"/>
    </row>
    <row r="18063" spans="7:7">
      <c r="G18063"/>
    </row>
    <row r="18064" spans="7:7">
      <c r="G18064"/>
    </row>
    <row r="18065" spans="7:7">
      <c r="G18065"/>
    </row>
    <row r="18066" spans="7:7">
      <c r="G18066"/>
    </row>
    <row r="18067" spans="7:7">
      <c r="G18067"/>
    </row>
    <row r="18068" spans="7:7">
      <c r="G18068"/>
    </row>
    <row r="18069" spans="7:7">
      <c r="G18069"/>
    </row>
    <row r="18070" spans="7:7">
      <c r="G18070"/>
    </row>
    <row r="18071" spans="7:7">
      <c r="G18071"/>
    </row>
    <row r="18072" spans="7:7">
      <c r="G18072"/>
    </row>
    <row r="18073" spans="7:7">
      <c r="G18073"/>
    </row>
    <row r="18074" spans="7:7">
      <c r="G18074"/>
    </row>
    <row r="18075" spans="7:7">
      <c r="G18075"/>
    </row>
    <row r="18076" spans="7:7">
      <c r="G18076"/>
    </row>
    <row r="18077" spans="7:7">
      <c r="G18077"/>
    </row>
    <row r="18078" spans="7:7">
      <c r="G18078"/>
    </row>
    <row r="18079" spans="7:7">
      <c r="G18079"/>
    </row>
    <row r="18080" spans="7:7">
      <c r="G18080"/>
    </row>
    <row r="18081" spans="7:7">
      <c r="G18081"/>
    </row>
    <row r="18082" spans="7:7">
      <c r="G18082"/>
    </row>
    <row r="18083" spans="7:7">
      <c r="G18083"/>
    </row>
    <row r="18084" spans="7:7">
      <c r="G18084"/>
    </row>
    <row r="18085" spans="7:7">
      <c r="G18085"/>
    </row>
    <row r="18086" spans="7:7">
      <c r="G18086"/>
    </row>
    <row r="18087" spans="7:7">
      <c r="G18087"/>
    </row>
    <row r="18088" spans="7:7">
      <c r="G18088"/>
    </row>
    <row r="18089" spans="7:7">
      <c r="G18089"/>
    </row>
    <row r="18090" spans="7:7">
      <c r="G18090"/>
    </row>
    <row r="18091" spans="7:7">
      <c r="G18091"/>
    </row>
    <row r="18092" spans="7:7">
      <c r="G18092"/>
    </row>
    <row r="18093" spans="7:7">
      <c r="G18093"/>
    </row>
    <row r="18094" spans="7:7">
      <c r="G18094"/>
    </row>
    <row r="18095" spans="7:7">
      <c r="G18095"/>
    </row>
    <row r="18096" spans="7:7">
      <c r="G18096"/>
    </row>
    <row r="18097" spans="7:7">
      <c r="G18097"/>
    </row>
    <row r="18098" spans="7:7">
      <c r="G18098"/>
    </row>
    <row r="18099" spans="7:7">
      <c r="G18099"/>
    </row>
    <row r="18100" spans="7:7">
      <c r="G18100"/>
    </row>
    <row r="18101" spans="7:7">
      <c r="G18101"/>
    </row>
    <row r="18102" spans="7:7">
      <c r="G18102"/>
    </row>
    <row r="18103" spans="7:7">
      <c r="G18103"/>
    </row>
    <row r="18104" spans="7:7">
      <c r="G18104"/>
    </row>
    <row r="18105" spans="7:7">
      <c r="G18105"/>
    </row>
    <row r="18106" spans="7:7">
      <c r="G18106"/>
    </row>
    <row r="18107" spans="7:7">
      <c r="G18107"/>
    </row>
    <row r="18108" spans="7:7">
      <c r="G18108"/>
    </row>
    <row r="18109" spans="7:7">
      <c r="G18109"/>
    </row>
    <row r="18110" spans="7:7">
      <c r="G18110"/>
    </row>
    <row r="18111" spans="7:7">
      <c r="G18111"/>
    </row>
    <row r="18112" spans="7:7">
      <c r="G18112"/>
    </row>
    <row r="18113" spans="7:7">
      <c r="G18113"/>
    </row>
    <row r="18114" spans="7:7">
      <c r="G18114"/>
    </row>
    <row r="18115" spans="7:7">
      <c r="G18115"/>
    </row>
    <row r="18116" spans="7:7">
      <c r="G18116"/>
    </row>
    <row r="18117" spans="7:7">
      <c r="G18117"/>
    </row>
    <row r="18118" spans="7:7">
      <c r="G18118"/>
    </row>
    <row r="18119" spans="7:7">
      <c r="G18119"/>
    </row>
    <row r="18120" spans="7:7">
      <c r="G18120"/>
    </row>
    <row r="18121" spans="7:7">
      <c r="G18121"/>
    </row>
    <row r="18122" spans="7:7">
      <c r="G18122"/>
    </row>
    <row r="18123" spans="7:7">
      <c r="G18123"/>
    </row>
    <row r="18124" spans="7:7">
      <c r="G18124"/>
    </row>
    <row r="18125" spans="7:7">
      <c r="G18125"/>
    </row>
    <row r="18126" spans="7:7">
      <c r="G18126"/>
    </row>
    <row r="18127" spans="7:7">
      <c r="G18127"/>
    </row>
    <row r="18128" spans="7:7">
      <c r="G18128"/>
    </row>
    <row r="18129" spans="7:7">
      <c r="G18129"/>
    </row>
    <row r="18130" spans="7:7">
      <c r="G18130"/>
    </row>
    <row r="18131" spans="7:7">
      <c r="G18131"/>
    </row>
    <row r="18132" spans="7:7">
      <c r="G18132"/>
    </row>
    <row r="18133" spans="7:7">
      <c r="G18133"/>
    </row>
    <row r="18134" spans="7:7">
      <c r="G18134"/>
    </row>
    <row r="18135" spans="7:7">
      <c r="G18135"/>
    </row>
    <row r="18136" spans="7:7">
      <c r="G18136"/>
    </row>
    <row r="18137" spans="7:7">
      <c r="G18137"/>
    </row>
    <row r="18138" spans="7:7">
      <c r="G18138"/>
    </row>
    <row r="18139" spans="7:7">
      <c r="G18139"/>
    </row>
    <row r="18140" spans="7:7">
      <c r="G18140"/>
    </row>
    <row r="18141" spans="7:7">
      <c r="G18141"/>
    </row>
    <row r="18142" spans="7:7">
      <c r="G18142"/>
    </row>
    <row r="18143" spans="7:7">
      <c r="G18143"/>
    </row>
    <row r="18144" spans="7:7">
      <c r="G18144"/>
    </row>
    <row r="18145" spans="7:7">
      <c r="G18145"/>
    </row>
    <row r="18146" spans="7:7">
      <c r="G18146"/>
    </row>
    <row r="18147" spans="7:7">
      <c r="G18147"/>
    </row>
    <row r="18148" spans="7:7">
      <c r="G18148"/>
    </row>
    <row r="18149" spans="7:7">
      <c r="G18149"/>
    </row>
    <row r="18150" spans="7:7">
      <c r="G18150"/>
    </row>
    <row r="18151" spans="7:7">
      <c r="G18151"/>
    </row>
    <row r="18152" spans="7:7">
      <c r="G18152"/>
    </row>
    <row r="18153" spans="7:7">
      <c r="G18153"/>
    </row>
    <row r="18154" spans="7:7">
      <c r="G18154"/>
    </row>
    <row r="18155" spans="7:7">
      <c r="G18155"/>
    </row>
    <row r="18156" spans="7:7">
      <c r="G18156"/>
    </row>
    <row r="18157" spans="7:7">
      <c r="G18157"/>
    </row>
    <row r="18158" spans="7:7">
      <c r="G18158"/>
    </row>
    <row r="18159" spans="7:7">
      <c r="G18159"/>
    </row>
    <row r="18160" spans="7:7">
      <c r="G18160"/>
    </row>
    <row r="18161" spans="7:7">
      <c r="G18161"/>
    </row>
    <row r="18162" spans="7:7">
      <c r="G18162"/>
    </row>
    <row r="18163" spans="7:7">
      <c r="G18163"/>
    </row>
    <row r="18164" spans="7:7">
      <c r="G18164"/>
    </row>
    <row r="18165" spans="7:7">
      <c r="G18165"/>
    </row>
    <row r="18166" spans="7:7">
      <c r="G18166"/>
    </row>
    <row r="18167" spans="7:7">
      <c r="G18167"/>
    </row>
    <row r="18168" spans="7:7">
      <c r="G18168"/>
    </row>
    <row r="18169" spans="7:7">
      <c r="G18169"/>
    </row>
    <row r="18170" spans="7:7">
      <c r="G18170"/>
    </row>
    <row r="18171" spans="7:7">
      <c r="G18171"/>
    </row>
    <row r="18172" spans="7:7">
      <c r="G18172"/>
    </row>
    <row r="18173" spans="7:7">
      <c r="G18173"/>
    </row>
    <row r="18174" spans="7:7">
      <c r="G18174"/>
    </row>
    <row r="18175" spans="7:7">
      <c r="G18175"/>
    </row>
    <row r="18176" spans="7:7">
      <c r="G18176"/>
    </row>
    <row r="18177" spans="7:7">
      <c r="G18177"/>
    </row>
    <row r="18178" spans="7:7">
      <c r="G18178"/>
    </row>
    <row r="18179" spans="7:7">
      <c r="G18179"/>
    </row>
    <row r="18180" spans="7:7">
      <c r="G18180"/>
    </row>
    <row r="18181" spans="7:7">
      <c r="G18181"/>
    </row>
    <row r="18182" spans="7:7">
      <c r="G18182"/>
    </row>
    <row r="18183" spans="7:7">
      <c r="G18183"/>
    </row>
    <row r="18184" spans="7:7">
      <c r="G18184"/>
    </row>
    <row r="18185" spans="7:7">
      <c r="G18185"/>
    </row>
    <row r="18186" spans="7:7">
      <c r="G18186"/>
    </row>
    <row r="18187" spans="7:7">
      <c r="G18187"/>
    </row>
    <row r="18188" spans="7:7">
      <c r="G18188"/>
    </row>
    <row r="18189" spans="7:7">
      <c r="G18189"/>
    </row>
    <row r="18190" spans="7:7">
      <c r="G18190"/>
    </row>
    <row r="18191" spans="7:7">
      <c r="G18191"/>
    </row>
    <row r="18192" spans="7:7">
      <c r="G18192"/>
    </row>
    <row r="18193" spans="7:7">
      <c r="G18193"/>
    </row>
    <row r="18194" spans="7:7">
      <c r="G18194"/>
    </row>
    <row r="18195" spans="7:7">
      <c r="G18195"/>
    </row>
    <row r="18196" spans="7:7">
      <c r="G18196"/>
    </row>
    <row r="18197" spans="7:7">
      <c r="G18197"/>
    </row>
    <row r="18198" spans="7:7">
      <c r="G18198"/>
    </row>
    <row r="18199" spans="7:7">
      <c r="G18199"/>
    </row>
    <row r="18200" spans="7:7">
      <c r="G18200"/>
    </row>
    <row r="18201" spans="7:7">
      <c r="G18201"/>
    </row>
    <row r="18202" spans="7:7">
      <c r="G18202"/>
    </row>
    <row r="18203" spans="7:7">
      <c r="G18203"/>
    </row>
    <row r="18204" spans="7:7">
      <c r="G18204"/>
    </row>
    <row r="18205" spans="7:7">
      <c r="G18205"/>
    </row>
    <row r="18206" spans="7:7">
      <c r="G18206"/>
    </row>
    <row r="18207" spans="7:7">
      <c r="G18207"/>
    </row>
    <row r="18208" spans="7:7">
      <c r="G18208"/>
    </row>
    <row r="18209" spans="7:7">
      <c r="G18209"/>
    </row>
    <row r="18210" spans="7:7">
      <c r="G18210"/>
    </row>
    <row r="18211" spans="7:7">
      <c r="G18211"/>
    </row>
    <row r="18212" spans="7:7">
      <c r="G18212"/>
    </row>
    <row r="18213" spans="7:7">
      <c r="G18213"/>
    </row>
    <row r="18214" spans="7:7">
      <c r="G18214"/>
    </row>
    <row r="18215" spans="7:7">
      <c r="G18215"/>
    </row>
    <row r="18216" spans="7:7">
      <c r="G18216"/>
    </row>
    <row r="18217" spans="7:7">
      <c r="G18217"/>
    </row>
    <row r="18218" spans="7:7">
      <c r="G18218"/>
    </row>
    <row r="18219" spans="7:7">
      <c r="G18219"/>
    </row>
    <row r="18220" spans="7:7">
      <c r="G18220"/>
    </row>
    <row r="18221" spans="7:7">
      <c r="G18221"/>
    </row>
    <row r="18222" spans="7:7">
      <c r="G18222"/>
    </row>
    <row r="18223" spans="7:7">
      <c r="G18223"/>
    </row>
    <row r="18224" spans="7:7">
      <c r="G18224"/>
    </row>
    <row r="18225" spans="7:7">
      <c r="G18225"/>
    </row>
    <row r="18226" spans="7:7">
      <c r="G18226"/>
    </row>
    <row r="18227" spans="7:7">
      <c r="G18227"/>
    </row>
    <row r="18228" spans="7:7">
      <c r="G18228"/>
    </row>
    <row r="18229" spans="7:7">
      <c r="G18229"/>
    </row>
    <row r="18230" spans="7:7">
      <c r="G18230"/>
    </row>
    <row r="18231" spans="7:7">
      <c r="G18231"/>
    </row>
    <row r="18232" spans="7:7">
      <c r="G18232"/>
    </row>
    <row r="18233" spans="7:7">
      <c r="G18233"/>
    </row>
    <row r="18234" spans="7:7">
      <c r="G18234"/>
    </row>
    <row r="18235" spans="7:7">
      <c r="G18235"/>
    </row>
    <row r="18236" spans="7:7">
      <c r="G18236"/>
    </row>
    <row r="18237" spans="7:7">
      <c r="G18237"/>
    </row>
    <row r="18238" spans="7:7">
      <c r="G18238"/>
    </row>
    <row r="18239" spans="7:7">
      <c r="G18239"/>
    </row>
    <row r="18240" spans="7:7">
      <c r="G18240"/>
    </row>
    <row r="18241" spans="7:7">
      <c r="G18241"/>
    </row>
    <row r="18242" spans="7:7">
      <c r="G18242"/>
    </row>
    <row r="18243" spans="7:7">
      <c r="G18243"/>
    </row>
    <row r="18244" spans="7:7">
      <c r="G18244"/>
    </row>
    <row r="18245" spans="7:7">
      <c r="G18245"/>
    </row>
    <row r="18246" spans="7:7">
      <c r="G18246"/>
    </row>
    <row r="18247" spans="7:7">
      <c r="G18247"/>
    </row>
    <row r="18248" spans="7:7">
      <c r="G18248"/>
    </row>
    <row r="18249" spans="7:7">
      <c r="G18249"/>
    </row>
    <row r="18250" spans="7:7">
      <c r="G18250"/>
    </row>
    <row r="18251" spans="7:7">
      <c r="G18251"/>
    </row>
    <row r="18252" spans="7:7">
      <c r="G18252"/>
    </row>
    <row r="18253" spans="7:7">
      <c r="G18253"/>
    </row>
    <row r="18254" spans="7:7">
      <c r="G18254"/>
    </row>
    <row r="18255" spans="7:7">
      <c r="G18255"/>
    </row>
    <row r="18256" spans="7:7">
      <c r="G18256"/>
    </row>
    <row r="18257" spans="7:7">
      <c r="G18257"/>
    </row>
    <row r="18258" spans="7:7">
      <c r="G18258"/>
    </row>
    <row r="18259" spans="7:7">
      <c r="G18259"/>
    </row>
    <row r="18260" spans="7:7">
      <c r="G18260"/>
    </row>
    <row r="18261" spans="7:7">
      <c r="G18261"/>
    </row>
    <row r="18262" spans="7:7">
      <c r="G18262"/>
    </row>
    <row r="18263" spans="7:7">
      <c r="G18263"/>
    </row>
    <row r="18264" spans="7:7">
      <c r="G18264"/>
    </row>
    <row r="18265" spans="7:7">
      <c r="G18265"/>
    </row>
    <row r="18266" spans="7:7">
      <c r="G18266"/>
    </row>
    <row r="18267" spans="7:7">
      <c r="G18267"/>
    </row>
    <row r="18268" spans="7:7">
      <c r="G18268"/>
    </row>
    <row r="18269" spans="7:7">
      <c r="G18269"/>
    </row>
    <row r="18270" spans="7:7">
      <c r="G18270"/>
    </row>
    <row r="18271" spans="7:7">
      <c r="G18271"/>
    </row>
    <row r="18272" spans="7:7">
      <c r="G18272"/>
    </row>
    <row r="18273" spans="7:7">
      <c r="G18273"/>
    </row>
    <row r="18274" spans="7:7">
      <c r="G18274"/>
    </row>
    <row r="18275" spans="7:7">
      <c r="G18275"/>
    </row>
    <row r="18276" spans="7:7">
      <c r="G18276"/>
    </row>
    <row r="18277" spans="7:7">
      <c r="G18277"/>
    </row>
    <row r="18278" spans="7:7">
      <c r="G18278"/>
    </row>
    <row r="18279" spans="7:7">
      <c r="G18279"/>
    </row>
    <row r="18280" spans="7:7">
      <c r="G18280"/>
    </row>
    <row r="18281" spans="7:7">
      <c r="G18281"/>
    </row>
    <row r="18282" spans="7:7">
      <c r="G18282"/>
    </row>
    <row r="18283" spans="7:7">
      <c r="G18283"/>
    </row>
    <row r="18284" spans="7:7">
      <c r="G18284"/>
    </row>
    <row r="18285" spans="7:7">
      <c r="G18285"/>
    </row>
    <row r="18286" spans="7:7">
      <c r="G18286"/>
    </row>
    <row r="18287" spans="7:7">
      <c r="G18287"/>
    </row>
    <row r="18288" spans="7:7">
      <c r="G18288"/>
    </row>
    <row r="18289" spans="7:7">
      <c r="G18289"/>
    </row>
    <row r="18290" spans="7:7">
      <c r="G18290"/>
    </row>
    <row r="18291" spans="7:7">
      <c r="G18291"/>
    </row>
    <row r="18292" spans="7:7">
      <c r="G18292"/>
    </row>
    <row r="18293" spans="7:7">
      <c r="G18293"/>
    </row>
    <row r="18294" spans="7:7">
      <c r="G18294"/>
    </row>
    <row r="18295" spans="7:7">
      <c r="G18295"/>
    </row>
    <row r="18296" spans="7:7">
      <c r="G18296"/>
    </row>
    <row r="18297" spans="7:7">
      <c r="G18297"/>
    </row>
    <row r="18298" spans="7:7">
      <c r="G18298"/>
    </row>
    <row r="18299" spans="7:7">
      <c r="G18299"/>
    </row>
    <row r="18300" spans="7:7">
      <c r="G18300"/>
    </row>
    <row r="18301" spans="7:7">
      <c r="G18301"/>
    </row>
    <row r="18302" spans="7:7">
      <c r="G18302"/>
    </row>
    <row r="18303" spans="7:7">
      <c r="G18303"/>
    </row>
    <row r="18304" spans="7:7">
      <c r="G18304"/>
    </row>
    <row r="18305" spans="7:7">
      <c r="G18305"/>
    </row>
    <row r="18306" spans="7:7">
      <c r="G18306"/>
    </row>
    <row r="18307" spans="7:7">
      <c r="G18307"/>
    </row>
    <row r="18308" spans="7:7">
      <c r="G18308"/>
    </row>
    <row r="18309" spans="7:7">
      <c r="G18309"/>
    </row>
    <row r="18310" spans="7:7">
      <c r="G18310"/>
    </row>
    <row r="18311" spans="7:7">
      <c r="G18311"/>
    </row>
    <row r="18312" spans="7:7">
      <c r="G18312"/>
    </row>
    <row r="18313" spans="7:7">
      <c r="G18313"/>
    </row>
    <row r="18314" spans="7:7">
      <c r="G18314"/>
    </row>
    <row r="18315" spans="7:7">
      <c r="G18315"/>
    </row>
    <row r="18316" spans="7:7">
      <c r="G18316"/>
    </row>
    <row r="18317" spans="7:7">
      <c r="G18317"/>
    </row>
    <row r="18318" spans="7:7">
      <c r="G18318"/>
    </row>
    <row r="18319" spans="7:7">
      <c r="G18319"/>
    </row>
    <row r="18320" spans="7:7">
      <c r="G18320"/>
    </row>
    <row r="18321" spans="7:7">
      <c r="G18321"/>
    </row>
    <row r="18322" spans="7:7">
      <c r="G18322"/>
    </row>
    <row r="18323" spans="7:7">
      <c r="G18323"/>
    </row>
    <row r="18324" spans="7:7">
      <c r="G18324"/>
    </row>
    <row r="18325" spans="7:7">
      <c r="G18325"/>
    </row>
    <row r="18326" spans="7:7">
      <c r="G18326"/>
    </row>
    <row r="18327" spans="7:7">
      <c r="G18327"/>
    </row>
    <row r="18328" spans="7:7">
      <c r="G18328"/>
    </row>
    <row r="18329" spans="7:7">
      <c r="G18329"/>
    </row>
    <row r="18330" spans="7:7">
      <c r="G18330"/>
    </row>
    <row r="18331" spans="7:7">
      <c r="G18331"/>
    </row>
    <row r="18332" spans="7:7">
      <c r="G18332"/>
    </row>
    <row r="18333" spans="7:7">
      <c r="G18333"/>
    </row>
    <row r="18334" spans="7:7">
      <c r="G18334"/>
    </row>
    <row r="18335" spans="7:7">
      <c r="G18335"/>
    </row>
    <row r="18336" spans="7:7">
      <c r="G18336"/>
    </row>
    <row r="18337" spans="7:7">
      <c r="G18337"/>
    </row>
    <row r="18338" spans="7:7">
      <c r="G18338"/>
    </row>
    <row r="18339" spans="7:7">
      <c r="G18339"/>
    </row>
    <row r="18340" spans="7:7">
      <c r="G18340"/>
    </row>
    <row r="18341" spans="7:7">
      <c r="G18341"/>
    </row>
    <row r="18342" spans="7:7">
      <c r="G18342"/>
    </row>
    <row r="18343" spans="7:7">
      <c r="G18343"/>
    </row>
    <row r="18344" spans="7:7">
      <c r="G18344"/>
    </row>
    <row r="18345" spans="7:7">
      <c r="G18345"/>
    </row>
    <row r="18346" spans="7:7">
      <c r="G18346"/>
    </row>
    <row r="18347" spans="7:7">
      <c r="G18347"/>
    </row>
    <row r="18348" spans="7:7">
      <c r="G18348"/>
    </row>
    <row r="18349" spans="7:7">
      <c r="G18349"/>
    </row>
    <row r="18350" spans="7:7">
      <c r="G18350"/>
    </row>
    <row r="18351" spans="7:7">
      <c r="G18351"/>
    </row>
    <row r="18352" spans="7:7">
      <c r="G18352"/>
    </row>
    <row r="18353" spans="7:7">
      <c r="G18353"/>
    </row>
    <row r="18354" spans="7:7">
      <c r="G18354"/>
    </row>
    <row r="18355" spans="7:7">
      <c r="G18355"/>
    </row>
    <row r="18356" spans="7:7">
      <c r="G18356"/>
    </row>
    <row r="18357" spans="7:7">
      <c r="G18357"/>
    </row>
    <row r="18358" spans="7:7">
      <c r="G18358"/>
    </row>
    <row r="18359" spans="7:7">
      <c r="G18359"/>
    </row>
    <row r="18360" spans="7:7">
      <c r="G18360"/>
    </row>
    <row r="18361" spans="7:7">
      <c r="G18361"/>
    </row>
    <row r="18362" spans="7:7">
      <c r="G18362"/>
    </row>
    <row r="18363" spans="7:7">
      <c r="G18363"/>
    </row>
    <row r="18364" spans="7:7">
      <c r="G18364"/>
    </row>
    <row r="18365" spans="7:7">
      <c r="G18365"/>
    </row>
    <row r="18366" spans="7:7">
      <c r="G18366"/>
    </row>
    <row r="18367" spans="7:7">
      <c r="G18367"/>
    </row>
    <row r="18368" spans="7:7">
      <c r="G18368"/>
    </row>
    <row r="18369" spans="7:7">
      <c r="G18369"/>
    </row>
    <row r="18370" spans="7:7">
      <c r="G18370"/>
    </row>
    <row r="18371" spans="7:7">
      <c r="G18371"/>
    </row>
    <row r="18372" spans="7:7">
      <c r="G18372"/>
    </row>
    <row r="18373" spans="7:7">
      <c r="G18373"/>
    </row>
    <row r="18374" spans="7:7">
      <c r="G18374"/>
    </row>
    <row r="18375" spans="7:7">
      <c r="G18375"/>
    </row>
    <row r="18376" spans="7:7">
      <c r="G18376"/>
    </row>
    <row r="18377" spans="7:7">
      <c r="G18377"/>
    </row>
    <row r="18378" spans="7:7">
      <c r="G18378"/>
    </row>
    <row r="18379" spans="7:7">
      <c r="G18379"/>
    </row>
    <row r="18380" spans="7:7">
      <c r="G18380"/>
    </row>
    <row r="18381" spans="7:7">
      <c r="G18381"/>
    </row>
    <row r="18382" spans="7:7">
      <c r="G18382"/>
    </row>
    <row r="18383" spans="7:7">
      <c r="G18383"/>
    </row>
    <row r="18384" spans="7:7">
      <c r="G18384"/>
    </row>
    <row r="18385" spans="7:7">
      <c r="G18385"/>
    </row>
    <row r="18386" spans="7:7">
      <c r="G18386"/>
    </row>
    <row r="18387" spans="7:7">
      <c r="G18387"/>
    </row>
    <row r="18388" spans="7:7">
      <c r="G18388"/>
    </row>
    <row r="18389" spans="7:7">
      <c r="G18389"/>
    </row>
    <row r="18390" spans="7:7">
      <c r="G18390"/>
    </row>
    <row r="18391" spans="7:7">
      <c r="G18391"/>
    </row>
    <row r="18392" spans="7:7">
      <c r="G18392"/>
    </row>
    <row r="18393" spans="7:7">
      <c r="G18393"/>
    </row>
    <row r="18394" spans="7:7">
      <c r="G18394"/>
    </row>
    <row r="18395" spans="7:7">
      <c r="G18395"/>
    </row>
    <row r="18396" spans="7:7">
      <c r="G18396"/>
    </row>
    <row r="18397" spans="7:7">
      <c r="G18397"/>
    </row>
    <row r="18398" spans="7:7">
      <c r="G18398"/>
    </row>
    <row r="18399" spans="7:7">
      <c r="G18399"/>
    </row>
    <row r="18400" spans="7:7">
      <c r="G18400"/>
    </row>
    <row r="18401" spans="7:7">
      <c r="G18401"/>
    </row>
    <row r="18402" spans="7:7">
      <c r="G18402"/>
    </row>
    <row r="18403" spans="7:7">
      <c r="G18403"/>
    </row>
    <row r="18404" spans="7:7">
      <c r="G18404"/>
    </row>
    <row r="18405" spans="7:7">
      <c r="G18405"/>
    </row>
    <row r="18406" spans="7:7">
      <c r="G18406"/>
    </row>
    <row r="18407" spans="7:7">
      <c r="G18407"/>
    </row>
    <row r="18408" spans="7:7">
      <c r="G18408"/>
    </row>
    <row r="18409" spans="7:7">
      <c r="G18409"/>
    </row>
    <row r="18410" spans="7:7">
      <c r="G18410"/>
    </row>
    <row r="18411" spans="7:7">
      <c r="G18411"/>
    </row>
    <row r="18412" spans="7:7">
      <c r="G18412"/>
    </row>
    <row r="18413" spans="7:7">
      <c r="G18413"/>
    </row>
    <row r="18414" spans="7:7">
      <c r="G18414"/>
    </row>
    <row r="18415" spans="7:7">
      <c r="G18415"/>
    </row>
    <row r="18416" spans="7:7">
      <c r="G18416"/>
    </row>
    <row r="18417" spans="7:7">
      <c r="G18417"/>
    </row>
    <row r="18418" spans="7:7">
      <c r="G18418"/>
    </row>
    <row r="18419" spans="7:7">
      <c r="G18419"/>
    </row>
    <row r="18420" spans="7:7">
      <c r="G18420"/>
    </row>
    <row r="18421" spans="7:7">
      <c r="G18421"/>
    </row>
    <row r="18422" spans="7:7">
      <c r="G18422"/>
    </row>
    <row r="18423" spans="7:7">
      <c r="G18423"/>
    </row>
    <row r="18424" spans="7:7">
      <c r="G18424"/>
    </row>
    <row r="18425" spans="7:7">
      <c r="G18425"/>
    </row>
    <row r="18426" spans="7:7">
      <c r="G18426"/>
    </row>
    <row r="18427" spans="7:7">
      <c r="G18427"/>
    </row>
    <row r="18428" spans="7:7">
      <c r="G18428"/>
    </row>
    <row r="18429" spans="7:7">
      <c r="G18429"/>
    </row>
    <row r="18430" spans="7:7">
      <c r="G18430"/>
    </row>
    <row r="18431" spans="7:7">
      <c r="G18431"/>
    </row>
    <row r="18432" spans="7:7">
      <c r="G18432"/>
    </row>
    <row r="18433" spans="7:7">
      <c r="G18433"/>
    </row>
    <row r="18434" spans="7:7">
      <c r="G18434"/>
    </row>
    <row r="18435" spans="7:7">
      <c r="G18435"/>
    </row>
    <row r="18436" spans="7:7">
      <c r="G18436"/>
    </row>
    <row r="18437" spans="7:7">
      <c r="G18437"/>
    </row>
    <row r="18438" spans="7:7">
      <c r="G18438"/>
    </row>
    <row r="18439" spans="7:7">
      <c r="G18439"/>
    </row>
    <row r="18440" spans="7:7">
      <c r="G18440"/>
    </row>
    <row r="18441" spans="7:7">
      <c r="G18441"/>
    </row>
    <row r="18442" spans="7:7">
      <c r="G18442"/>
    </row>
    <row r="18443" spans="7:7">
      <c r="G18443"/>
    </row>
    <row r="18444" spans="7:7">
      <c r="G18444"/>
    </row>
    <row r="18445" spans="7:7">
      <c r="G18445"/>
    </row>
    <row r="18446" spans="7:7">
      <c r="G18446"/>
    </row>
    <row r="18447" spans="7:7">
      <c r="G18447"/>
    </row>
    <row r="18448" spans="7:7">
      <c r="G18448"/>
    </row>
    <row r="18449" spans="7:7">
      <c r="G18449"/>
    </row>
    <row r="18450" spans="7:7">
      <c r="G18450"/>
    </row>
    <row r="18451" spans="7:7">
      <c r="G18451"/>
    </row>
    <row r="18452" spans="7:7">
      <c r="G18452"/>
    </row>
    <row r="18453" spans="7:7">
      <c r="G18453"/>
    </row>
    <row r="18454" spans="7:7">
      <c r="G18454"/>
    </row>
    <row r="18455" spans="7:7">
      <c r="G18455"/>
    </row>
    <row r="18456" spans="7:7">
      <c r="G18456"/>
    </row>
    <row r="18457" spans="7:7">
      <c r="G18457"/>
    </row>
    <row r="18458" spans="7:7">
      <c r="G18458"/>
    </row>
    <row r="18459" spans="7:7">
      <c r="G18459"/>
    </row>
    <row r="18460" spans="7:7">
      <c r="G18460"/>
    </row>
    <row r="18461" spans="7:7">
      <c r="G18461"/>
    </row>
    <row r="18462" spans="7:7">
      <c r="G18462"/>
    </row>
    <row r="18463" spans="7:7">
      <c r="G18463"/>
    </row>
    <row r="18464" spans="7:7">
      <c r="G18464"/>
    </row>
    <row r="18465" spans="7:7">
      <c r="G18465"/>
    </row>
    <row r="18466" spans="7:7">
      <c r="G18466"/>
    </row>
    <row r="18467" spans="7:7">
      <c r="G18467"/>
    </row>
    <row r="18468" spans="7:7">
      <c r="G18468"/>
    </row>
    <row r="18469" spans="7:7">
      <c r="G18469"/>
    </row>
    <row r="18470" spans="7:7">
      <c r="G18470"/>
    </row>
    <row r="18471" spans="7:7">
      <c r="G18471"/>
    </row>
    <row r="18472" spans="7:7">
      <c r="G18472"/>
    </row>
    <row r="18473" spans="7:7">
      <c r="G18473"/>
    </row>
    <row r="18474" spans="7:7">
      <c r="G18474"/>
    </row>
    <row r="18475" spans="7:7">
      <c r="G18475"/>
    </row>
    <row r="18476" spans="7:7">
      <c r="G18476"/>
    </row>
    <row r="18477" spans="7:7">
      <c r="G18477"/>
    </row>
    <row r="18478" spans="7:7">
      <c r="G18478"/>
    </row>
    <row r="18479" spans="7:7">
      <c r="G18479"/>
    </row>
    <row r="18480" spans="7:7">
      <c r="G18480"/>
    </row>
    <row r="18481" spans="7:7">
      <c r="G18481"/>
    </row>
    <row r="18482" spans="7:7">
      <c r="G18482"/>
    </row>
    <row r="18483" spans="7:7">
      <c r="G18483"/>
    </row>
    <row r="18484" spans="7:7">
      <c r="G18484"/>
    </row>
    <row r="18485" spans="7:7">
      <c r="G18485"/>
    </row>
    <row r="18486" spans="7:7">
      <c r="G18486"/>
    </row>
    <row r="18487" spans="7:7">
      <c r="G18487"/>
    </row>
    <row r="18488" spans="7:7">
      <c r="G18488"/>
    </row>
    <row r="18489" spans="7:7">
      <c r="G18489"/>
    </row>
    <row r="18490" spans="7:7">
      <c r="G18490"/>
    </row>
    <row r="18491" spans="7:7">
      <c r="G18491"/>
    </row>
    <row r="18492" spans="7:7">
      <c r="G18492"/>
    </row>
    <row r="18493" spans="7:7">
      <c r="G18493"/>
    </row>
    <row r="18494" spans="7:7">
      <c r="G18494"/>
    </row>
    <row r="18495" spans="7:7">
      <c r="G18495"/>
    </row>
    <row r="18496" spans="7:7">
      <c r="G18496"/>
    </row>
    <row r="18497" spans="7:7">
      <c r="G18497"/>
    </row>
    <row r="18498" spans="7:7">
      <c r="G18498"/>
    </row>
    <row r="18499" spans="7:7">
      <c r="G18499"/>
    </row>
    <row r="18500" spans="7:7">
      <c r="G18500"/>
    </row>
    <row r="18501" spans="7:7">
      <c r="G18501"/>
    </row>
    <row r="18502" spans="7:7">
      <c r="G18502"/>
    </row>
    <row r="18503" spans="7:7">
      <c r="G18503"/>
    </row>
    <row r="18504" spans="7:7">
      <c r="G18504"/>
    </row>
    <row r="18505" spans="7:7">
      <c r="G18505"/>
    </row>
    <row r="18506" spans="7:7">
      <c r="G18506"/>
    </row>
    <row r="18507" spans="7:7">
      <c r="G18507"/>
    </row>
    <row r="18508" spans="7:7">
      <c r="G18508"/>
    </row>
    <row r="18509" spans="7:7">
      <c r="G18509"/>
    </row>
    <row r="18510" spans="7:7">
      <c r="G18510"/>
    </row>
    <row r="18511" spans="7:7">
      <c r="G18511"/>
    </row>
    <row r="18512" spans="7:7">
      <c r="G18512"/>
    </row>
    <row r="18513" spans="7:7">
      <c r="G18513"/>
    </row>
    <row r="18514" spans="7:7">
      <c r="G18514"/>
    </row>
    <row r="18515" spans="7:7">
      <c r="G18515"/>
    </row>
    <row r="18516" spans="7:7">
      <c r="G18516"/>
    </row>
    <row r="18517" spans="7:7">
      <c r="G18517"/>
    </row>
    <row r="18518" spans="7:7">
      <c r="G18518"/>
    </row>
    <row r="18519" spans="7:7">
      <c r="G18519"/>
    </row>
    <row r="18520" spans="7:7">
      <c r="G18520"/>
    </row>
    <row r="18521" spans="7:7">
      <c r="G18521"/>
    </row>
    <row r="18522" spans="7:7">
      <c r="G18522"/>
    </row>
    <row r="18523" spans="7:7">
      <c r="G18523"/>
    </row>
    <row r="18524" spans="7:7">
      <c r="G18524"/>
    </row>
    <row r="18525" spans="7:7">
      <c r="G18525"/>
    </row>
    <row r="18526" spans="7:7">
      <c r="G18526"/>
    </row>
    <row r="18527" spans="7:7">
      <c r="G18527"/>
    </row>
    <row r="18528" spans="7:7">
      <c r="G18528"/>
    </row>
    <row r="18529" spans="7:7">
      <c r="G18529"/>
    </row>
    <row r="18530" spans="7:7">
      <c r="G18530"/>
    </row>
    <row r="18531" spans="7:7">
      <c r="G18531"/>
    </row>
    <row r="18532" spans="7:7">
      <c r="G18532"/>
    </row>
    <row r="18533" spans="7:7">
      <c r="G18533"/>
    </row>
    <row r="18534" spans="7:7">
      <c r="G18534"/>
    </row>
    <row r="18535" spans="7:7">
      <c r="G18535"/>
    </row>
    <row r="18536" spans="7:7">
      <c r="G18536"/>
    </row>
    <row r="18537" spans="7:7">
      <c r="G18537"/>
    </row>
    <row r="18538" spans="7:7">
      <c r="G18538"/>
    </row>
    <row r="18539" spans="7:7">
      <c r="G18539"/>
    </row>
    <row r="18540" spans="7:7">
      <c r="G18540"/>
    </row>
    <row r="18541" spans="7:7">
      <c r="G18541"/>
    </row>
    <row r="18542" spans="7:7">
      <c r="G18542"/>
    </row>
    <row r="18543" spans="7:7">
      <c r="G18543"/>
    </row>
    <row r="18544" spans="7:7">
      <c r="G18544"/>
    </row>
    <row r="18545" spans="7:7">
      <c r="G18545"/>
    </row>
    <row r="18546" spans="7:7">
      <c r="G18546"/>
    </row>
    <row r="18547" spans="7:7">
      <c r="G18547"/>
    </row>
    <row r="18548" spans="7:7">
      <c r="G18548"/>
    </row>
    <row r="18549" spans="7:7">
      <c r="G18549"/>
    </row>
    <row r="18550" spans="7:7">
      <c r="G18550"/>
    </row>
    <row r="18551" spans="7:7">
      <c r="G18551"/>
    </row>
    <row r="18552" spans="7:7">
      <c r="G18552"/>
    </row>
    <row r="18553" spans="7:7">
      <c r="G18553"/>
    </row>
    <row r="18554" spans="7:7">
      <c r="G18554"/>
    </row>
    <row r="18555" spans="7:7">
      <c r="G18555"/>
    </row>
    <row r="18556" spans="7:7">
      <c r="G18556"/>
    </row>
    <row r="18557" spans="7:7">
      <c r="G18557"/>
    </row>
    <row r="18558" spans="7:7">
      <c r="G18558"/>
    </row>
    <row r="18559" spans="7:7">
      <c r="G18559"/>
    </row>
    <row r="18560" spans="7:7">
      <c r="G18560"/>
    </row>
    <row r="18561" spans="7:7">
      <c r="G18561"/>
    </row>
    <row r="18562" spans="7:7">
      <c r="G18562"/>
    </row>
    <row r="18563" spans="7:7">
      <c r="G18563"/>
    </row>
    <row r="18564" spans="7:7">
      <c r="G18564"/>
    </row>
    <row r="18565" spans="7:7">
      <c r="G18565"/>
    </row>
    <row r="18566" spans="7:7">
      <c r="G18566"/>
    </row>
    <row r="18567" spans="7:7">
      <c r="G18567"/>
    </row>
    <row r="18568" spans="7:7">
      <c r="G18568"/>
    </row>
    <row r="18569" spans="7:7">
      <c r="G18569"/>
    </row>
    <row r="18570" spans="7:7">
      <c r="G18570"/>
    </row>
    <row r="18571" spans="7:7">
      <c r="G18571"/>
    </row>
    <row r="18572" spans="7:7">
      <c r="G18572"/>
    </row>
    <row r="18573" spans="7:7">
      <c r="G18573"/>
    </row>
    <row r="18574" spans="7:7">
      <c r="G18574"/>
    </row>
    <row r="18575" spans="7:7">
      <c r="G18575"/>
    </row>
    <row r="18576" spans="7:7">
      <c r="G18576"/>
    </row>
    <row r="18577" spans="7:7">
      <c r="G18577"/>
    </row>
    <row r="18578" spans="7:7">
      <c r="G18578"/>
    </row>
    <row r="18579" spans="7:7">
      <c r="G18579"/>
    </row>
    <row r="18580" spans="7:7">
      <c r="G18580"/>
    </row>
    <row r="18581" spans="7:7">
      <c r="G18581"/>
    </row>
    <row r="18582" spans="7:7">
      <c r="G18582"/>
    </row>
    <row r="18583" spans="7:7">
      <c r="G18583"/>
    </row>
    <row r="18584" spans="7:7">
      <c r="G18584"/>
    </row>
    <row r="18585" spans="7:7">
      <c r="G18585"/>
    </row>
    <row r="18586" spans="7:7">
      <c r="G18586"/>
    </row>
    <row r="18587" spans="7:7">
      <c r="G18587"/>
    </row>
    <row r="18588" spans="7:7">
      <c r="G18588"/>
    </row>
    <row r="18589" spans="7:7">
      <c r="G18589"/>
    </row>
    <row r="18590" spans="7:7">
      <c r="G18590"/>
    </row>
    <row r="18591" spans="7:7">
      <c r="G18591"/>
    </row>
    <row r="18592" spans="7:7">
      <c r="G18592"/>
    </row>
    <row r="18593" spans="7:7">
      <c r="G18593"/>
    </row>
    <row r="18594" spans="7:7">
      <c r="G18594"/>
    </row>
    <row r="18595" spans="7:7">
      <c r="G18595"/>
    </row>
    <row r="18596" spans="7:7">
      <c r="G18596"/>
    </row>
    <row r="18597" spans="7:7">
      <c r="G18597"/>
    </row>
    <row r="18598" spans="7:7">
      <c r="G18598"/>
    </row>
    <row r="18599" spans="7:7">
      <c r="G18599"/>
    </row>
    <row r="18600" spans="7:7">
      <c r="G18600"/>
    </row>
    <row r="18601" spans="7:7">
      <c r="G18601"/>
    </row>
    <row r="18602" spans="7:7">
      <c r="G18602"/>
    </row>
    <row r="18603" spans="7:7">
      <c r="G18603"/>
    </row>
    <row r="18604" spans="7:7">
      <c r="G18604"/>
    </row>
    <row r="18605" spans="7:7">
      <c r="G18605"/>
    </row>
    <row r="18606" spans="7:7">
      <c r="G18606"/>
    </row>
    <row r="18607" spans="7:7">
      <c r="G18607"/>
    </row>
    <row r="18608" spans="7:7">
      <c r="G18608"/>
    </row>
    <row r="18609" spans="7:7">
      <c r="G18609"/>
    </row>
    <row r="18610" spans="7:7">
      <c r="G18610"/>
    </row>
    <row r="18611" spans="7:7">
      <c r="G18611"/>
    </row>
    <row r="18612" spans="7:7">
      <c r="G18612"/>
    </row>
    <row r="18613" spans="7:7">
      <c r="G18613"/>
    </row>
    <row r="18614" spans="7:7">
      <c r="G18614"/>
    </row>
    <row r="18615" spans="7:7">
      <c r="G18615"/>
    </row>
    <row r="18616" spans="7:7">
      <c r="G18616"/>
    </row>
    <row r="18617" spans="7:7">
      <c r="G18617"/>
    </row>
    <row r="18618" spans="7:7">
      <c r="G18618"/>
    </row>
    <row r="18619" spans="7:7">
      <c r="G18619"/>
    </row>
    <row r="18620" spans="7:7">
      <c r="G18620"/>
    </row>
    <row r="18621" spans="7:7">
      <c r="G18621"/>
    </row>
    <row r="18622" spans="7:7">
      <c r="G18622"/>
    </row>
    <row r="18623" spans="7:7">
      <c r="G18623"/>
    </row>
    <row r="18624" spans="7:7">
      <c r="G18624"/>
    </row>
    <row r="18625" spans="7:7">
      <c r="G18625"/>
    </row>
    <row r="18626" spans="7:7">
      <c r="G18626"/>
    </row>
    <row r="18627" spans="7:7">
      <c r="G18627"/>
    </row>
    <row r="18628" spans="7:7">
      <c r="G18628"/>
    </row>
    <row r="18629" spans="7:7">
      <c r="G18629"/>
    </row>
    <row r="18630" spans="7:7">
      <c r="G18630"/>
    </row>
    <row r="18631" spans="7:7">
      <c r="G18631"/>
    </row>
    <row r="18632" spans="7:7">
      <c r="G18632"/>
    </row>
    <row r="18633" spans="7:7">
      <c r="G18633"/>
    </row>
    <row r="18634" spans="7:7">
      <c r="G18634"/>
    </row>
    <row r="18635" spans="7:7">
      <c r="G18635"/>
    </row>
    <row r="18636" spans="7:7">
      <c r="G18636"/>
    </row>
    <row r="18637" spans="7:7">
      <c r="G18637"/>
    </row>
    <row r="18638" spans="7:7">
      <c r="G18638"/>
    </row>
    <row r="18639" spans="7:7">
      <c r="G18639"/>
    </row>
    <row r="18640" spans="7:7">
      <c r="G18640"/>
    </row>
    <row r="18641" spans="7:7">
      <c r="G18641"/>
    </row>
    <row r="18642" spans="7:7">
      <c r="G18642"/>
    </row>
    <row r="18643" spans="7:7">
      <c r="G18643"/>
    </row>
    <row r="18644" spans="7:7">
      <c r="G18644"/>
    </row>
    <row r="18645" spans="7:7">
      <c r="G18645"/>
    </row>
    <row r="18646" spans="7:7">
      <c r="G18646"/>
    </row>
    <row r="18647" spans="7:7">
      <c r="G18647"/>
    </row>
    <row r="18648" spans="7:7">
      <c r="G18648"/>
    </row>
    <row r="18649" spans="7:7">
      <c r="G18649"/>
    </row>
    <row r="18650" spans="7:7">
      <c r="G18650"/>
    </row>
    <row r="18651" spans="7:7">
      <c r="G18651"/>
    </row>
    <row r="18652" spans="7:7">
      <c r="G18652"/>
    </row>
    <row r="18653" spans="7:7">
      <c r="G18653"/>
    </row>
    <row r="18654" spans="7:7">
      <c r="G18654"/>
    </row>
    <row r="18655" spans="7:7">
      <c r="G18655"/>
    </row>
    <row r="18656" spans="7:7">
      <c r="G18656"/>
    </row>
    <row r="18657" spans="7:7">
      <c r="G18657"/>
    </row>
    <row r="18658" spans="7:7">
      <c r="G18658"/>
    </row>
    <row r="18659" spans="7:7">
      <c r="G18659"/>
    </row>
    <row r="18660" spans="7:7">
      <c r="G18660"/>
    </row>
    <row r="18661" spans="7:7">
      <c r="G18661"/>
    </row>
    <row r="18662" spans="7:7">
      <c r="G18662"/>
    </row>
    <row r="18663" spans="7:7">
      <c r="G18663"/>
    </row>
    <row r="18664" spans="7:7">
      <c r="G18664"/>
    </row>
    <row r="18665" spans="7:7">
      <c r="G18665"/>
    </row>
    <row r="18666" spans="7:7">
      <c r="G18666"/>
    </row>
    <row r="18667" spans="7:7">
      <c r="G18667"/>
    </row>
    <row r="18668" spans="7:7">
      <c r="G18668"/>
    </row>
    <row r="18669" spans="7:7">
      <c r="G18669"/>
    </row>
    <row r="18670" spans="7:7">
      <c r="G18670"/>
    </row>
    <row r="18671" spans="7:7">
      <c r="G18671"/>
    </row>
    <row r="18672" spans="7:7">
      <c r="G18672"/>
    </row>
    <row r="18673" spans="7:7">
      <c r="G18673"/>
    </row>
    <row r="18674" spans="7:7">
      <c r="G18674"/>
    </row>
    <row r="18675" spans="7:7">
      <c r="G18675"/>
    </row>
    <row r="18676" spans="7:7">
      <c r="G18676"/>
    </row>
    <row r="18677" spans="7:7">
      <c r="G18677"/>
    </row>
    <row r="18678" spans="7:7">
      <c r="G18678"/>
    </row>
    <row r="18679" spans="7:7">
      <c r="G18679"/>
    </row>
    <row r="18680" spans="7:7">
      <c r="G18680"/>
    </row>
    <row r="18681" spans="7:7">
      <c r="G18681"/>
    </row>
    <row r="18682" spans="7:7">
      <c r="G18682"/>
    </row>
    <row r="18683" spans="7:7">
      <c r="G18683"/>
    </row>
    <row r="18684" spans="7:7">
      <c r="G18684"/>
    </row>
    <row r="18685" spans="7:7">
      <c r="G18685"/>
    </row>
    <row r="18686" spans="7:7">
      <c r="G18686"/>
    </row>
    <row r="18687" spans="7:7">
      <c r="G18687"/>
    </row>
    <row r="18688" spans="7:7">
      <c r="G18688"/>
    </row>
    <row r="18689" spans="7:7">
      <c r="G18689"/>
    </row>
    <row r="18690" spans="7:7">
      <c r="G18690"/>
    </row>
    <row r="18691" spans="7:7">
      <c r="G18691"/>
    </row>
    <row r="18692" spans="7:7">
      <c r="G18692"/>
    </row>
    <row r="18693" spans="7:7">
      <c r="G18693"/>
    </row>
    <row r="18694" spans="7:7">
      <c r="G18694"/>
    </row>
    <row r="18695" spans="7:7">
      <c r="G18695"/>
    </row>
    <row r="18696" spans="7:7">
      <c r="G18696"/>
    </row>
    <row r="18697" spans="7:7">
      <c r="G18697"/>
    </row>
    <row r="18698" spans="7:7">
      <c r="G18698"/>
    </row>
    <row r="18699" spans="7:7">
      <c r="G18699"/>
    </row>
    <row r="18700" spans="7:7">
      <c r="G18700"/>
    </row>
    <row r="18701" spans="7:7">
      <c r="G18701"/>
    </row>
    <row r="18702" spans="7:7">
      <c r="G18702"/>
    </row>
    <row r="18703" spans="7:7">
      <c r="G18703"/>
    </row>
    <row r="18704" spans="7:7">
      <c r="G18704"/>
    </row>
    <row r="18705" spans="7:7">
      <c r="G18705"/>
    </row>
    <row r="18706" spans="7:7">
      <c r="G18706"/>
    </row>
    <row r="18707" spans="7:7">
      <c r="G18707"/>
    </row>
    <row r="18708" spans="7:7">
      <c r="G18708"/>
    </row>
    <row r="18709" spans="7:7">
      <c r="G18709"/>
    </row>
    <row r="18710" spans="7:7">
      <c r="G18710"/>
    </row>
    <row r="18711" spans="7:7">
      <c r="G18711"/>
    </row>
    <row r="18712" spans="7:7">
      <c r="G18712"/>
    </row>
    <row r="18713" spans="7:7">
      <c r="G18713"/>
    </row>
    <row r="18714" spans="7:7">
      <c r="G18714"/>
    </row>
    <row r="18715" spans="7:7">
      <c r="G18715"/>
    </row>
    <row r="18716" spans="7:7">
      <c r="G18716"/>
    </row>
    <row r="18717" spans="7:7">
      <c r="G18717"/>
    </row>
    <row r="18718" spans="7:7">
      <c r="G18718"/>
    </row>
    <row r="18719" spans="7:7">
      <c r="G18719"/>
    </row>
    <row r="18720" spans="7:7">
      <c r="G18720"/>
    </row>
    <row r="18721" spans="7:7">
      <c r="G18721"/>
    </row>
    <row r="18722" spans="7:7">
      <c r="G18722"/>
    </row>
    <row r="18723" spans="7:7">
      <c r="G18723"/>
    </row>
    <row r="18724" spans="7:7">
      <c r="G18724"/>
    </row>
    <row r="18725" spans="7:7">
      <c r="G18725"/>
    </row>
    <row r="18726" spans="7:7">
      <c r="G18726"/>
    </row>
    <row r="18727" spans="7:7">
      <c r="G18727"/>
    </row>
    <row r="18728" spans="7:7">
      <c r="G18728"/>
    </row>
    <row r="18729" spans="7:7">
      <c r="G18729"/>
    </row>
    <row r="18730" spans="7:7">
      <c r="G18730"/>
    </row>
    <row r="18731" spans="7:7">
      <c r="G18731"/>
    </row>
    <row r="18732" spans="7:7">
      <c r="G18732"/>
    </row>
    <row r="18733" spans="7:7">
      <c r="G18733"/>
    </row>
    <row r="18734" spans="7:7">
      <c r="G18734"/>
    </row>
    <row r="18735" spans="7:7">
      <c r="G18735"/>
    </row>
    <row r="18736" spans="7:7">
      <c r="G18736"/>
    </row>
    <row r="18737" spans="7:7">
      <c r="G18737"/>
    </row>
    <row r="18738" spans="7:7">
      <c r="G18738"/>
    </row>
    <row r="18739" spans="7:7">
      <c r="G18739"/>
    </row>
    <row r="18740" spans="7:7">
      <c r="G18740"/>
    </row>
    <row r="18741" spans="7:7">
      <c r="G18741"/>
    </row>
    <row r="18742" spans="7:7">
      <c r="G18742"/>
    </row>
    <row r="18743" spans="7:7">
      <c r="G18743"/>
    </row>
    <row r="18744" spans="7:7">
      <c r="G18744"/>
    </row>
    <row r="18745" spans="7:7">
      <c r="G18745"/>
    </row>
    <row r="18746" spans="7:7">
      <c r="G18746"/>
    </row>
    <row r="18747" spans="7:7">
      <c r="G18747"/>
    </row>
    <row r="18748" spans="7:7">
      <c r="G18748"/>
    </row>
    <row r="18749" spans="7:7">
      <c r="G18749"/>
    </row>
    <row r="18750" spans="7:7">
      <c r="G18750"/>
    </row>
    <row r="18751" spans="7:7">
      <c r="G18751"/>
    </row>
    <row r="18752" spans="7:7">
      <c r="G18752"/>
    </row>
    <row r="18753" spans="7:7">
      <c r="G18753"/>
    </row>
    <row r="18754" spans="7:7">
      <c r="G18754"/>
    </row>
    <row r="18755" spans="7:7">
      <c r="G18755"/>
    </row>
    <row r="18756" spans="7:7">
      <c r="G18756"/>
    </row>
    <row r="18757" spans="7:7">
      <c r="G18757"/>
    </row>
    <row r="18758" spans="7:7">
      <c r="G18758"/>
    </row>
    <row r="18759" spans="7:7">
      <c r="G18759"/>
    </row>
    <row r="18760" spans="7:7">
      <c r="G18760"/>
    </row>
    <row r="18761" spans="7:7">
      <c r="G18761"/>
    </row>
    <row r="18762" spans="7:7">
      <c r="G18762"/>
    </row>
    <row r="18763" spans="7:7">
      <c r="G18763"/>
    </row>
    <row r="18764" spans="7:7">
      <c r="G18764"/>
    </row>
    <row r="18765" spans="7:7">
      <c r="G18765"/>
    </row>
    <row r="18766" spans="7:7">
      <c r="G18766"/>
    </row>
    <row r="18767" spans="7:7">
      <c r="G18767"/>
    </row>
    <row r="18768" spans="7:7">
      <c r="G18768"/>
    </row>
    <row r="18769" spans="7:7">
      <c r="G18769"/>
    </row>
    <row r="18770" spans="7:7">
      <c r="G18770"/>
    </row>
    <row r="18771" spans="7:7">
      <c r="G18771"/>
    </row>
    <row r="18772" spans="7:7">
      <c r="G18772"/>
    </row>
    <row r="18773" spans="7:7">
      <c r="G18773"/>
    </row>
    <row r="18774" spans="7:7">
      <c r="G18774"/>
    </row>
    <row r="18775" spans="7:7">
      <c r="G18775"/>
    </row>
    <row r="18776" spans="7:7">
      <c r="G18776"/>
    </row>
    <row r="18777" spans="7:7">
      <c r="G18777"/>
    </row>
    <row r="18778" spans="7:7">
      <c r="G18778"/>
    </row>
    <row r="18779" spans="7:7">
      <c r="G18779"/>
    </row>
    <row r="18780" spans="7:7">
      <c r="G18780"/>
    </row>
    <row r="18781" spans="7:7">
      <c r="G18781"/>
    </row>
    <row r="18782" spans="7:7">
      <c r="G18782"/>
    </row>
    <row r="18783" spans="7:7">
      <c r="G18783"/>
    </row>
    <row r="18784" spans="7:7">
      <c r="G18784"/>
    </row>
    <row r="18785" spans="7:7">
      <c r="G18785"/>
    </row>
    <row r="18786" spans="7:7">
      <c r="G18786"/>
    </row>
    <row r="18787" spans="7:7">
      <c r="G18787"/>
    </row>
    <row r="18788" spans="7:7">
      <c r="G18788"/>
    </row>
    <row r="18789" spans="7:7">
      <c r="G18789"/>
    </row>
    <row r="18790" spans="7:7">
      <c r="G18790"/>
    </row>
    <row r="18791" spans="7:7">
      <c r="G18791"/>
    </row>
    <row r="18792" spans="7:7">
      <c r="G18792"/>
    </row>
    <row r="18793" spans="7:7">
      <c r="G18793"/>
    </row>
    <row r="18794" spans="7:7">
      <c r="G18794"/>
    </row>
    <row r="18795" spans="7:7">
      <c r="G18795"/>
    </row>
    <row r="18796" spans="7:7">
      <c r="G18796"/>
    </row>
    <row r="18797" spans="7:7">
      <c r="G18797"/>
    </row>
    <row r="18798" spans="7:7">
      <c r="G18798"/>
    </row>
    <row r="18799" spans="7:7">
      <c r="G18799"/>
    </row>
    <row r="18800" spans="7:7">
      <c r="G18800"/>
    </row>
    <row r="18801" spans="7:7">
      <c r="G18801"/>
    </row>
    <row r="18802" spans="7:7">
      <c r="G18802"/>
    </row>
    <row r="18803" spans="7:7">
      <c r="G18803"/>
    </row>
    <row r="18804" spans="7:7">
      <c r="G18804"/>
    </row>
    <row r="18805" spans="7:7">
      <c r="G18805"/>
    </row>
    <row r="18806" spans="7:7">
      <c r="G18806"/>
    </row>
    <row r="18807" spans="7:7">
      <c r="G18807"/>
    </row>
    <row r="18808" spans="7:7">
      <c r="G18808"/>
    </row>
    <row r="18809" spans="7:7">
      <c r="G18809"/>
    </row>
    <row r="18810" spans="7:7">
      <c r="G18810"/>
    </row>
    <row r="18811" spans="7:7">
      <c r="G18811"/>
    </row>
    <row r="18812" spans="7:7">
      <c r="G18812"/>
    </row>
    <row r="18813" spans="7:7">
      <c r="G18813"/>
    </row>
    <row r="18814" spans="7:7">
      <c r="G18814"/>
    </row>
    <row r="18815" spans="7:7">
      <c r="G18815"/>
    </row>
    <row r="18816" spans="7:7">
      <c r="G18816"/>
    </row>
    <row r="18817" spans="7:7">
      <c r="G18817"/>
    </row>
    <row r="18818" spans="7:7">
      <c r="G18818"/>
    </row>
    <row r="18819" spans="7:7">
      <c r="G18819"/>
    </row>
    <row r="18820" spans="7:7">
      <c r="G18820"/>
    </row>
    <row r="18821" spans="7:7">
      <c r="G18821"/>
    </row>
    <row r="18822" spans="7:7">
      <c r="G18822"/>
    </row>
    <row r="18823" spans="7:7">
      <c r="G18823"/>
    </row>
    <row r="18824" spans="7:7">
      <c r="G18824"/>
    </row>
    <row r="18825" spans="7:7">
      <c r="G18825"/>
    </row>
    <row r="18826" spans="7:7">
      <c r="G18826"/>
    </row>
    <row r="18827" spans="7:7">
      <c r="G18827"/>
    </row>
    <row r="18828" spans="7:7">
      <c r="G18828"/>
    </row>
    <row r="18829" spans="7:7">
      <c r="G18829"/>
    </row>
    <row r="18830" spans="7:7">
      <c r="G18830"/>
    </row>
    <row r="18831" spans="7:7">
      <c r="G18831"/>
    </row>
    <row r="18832" spans="7:7">
      <c r="G18832"/>
    </row>
    <row r="18833" spans="7:7">
      <c r="G18833"/>
    </row>
    <row r="18834" spans="7:7">
      <c r="G18834"/>
    </row>
    <row r="18835" spans="7:7">
      <c r="G18835"/>
    </row>
    <row r="18836" spans="7:7">
      <c r="G18836"/>
    </row>
    <row r="18837" spans="7:7">
      <c r="G18837"/>
    </row>
    <row r="18838" spans="7:7">
      <c r="G18838"/>
    </row>
    <row r="18839" spans="7:7">
      <c r="G18839"/>
    </row>
    <row r="18840" spans="7:7">
      <c r="G18840"/>
    </row>
    <row r="18841" spans="7:7">
      <c r="G18841"/>
    </row>
    <row r="18842" spans="7:7">
      <c r="G18842"/>
    </row>
    <row r="18843" spans="7:7">
      <c r="G18843"/>
    </row>
    <row r="18844" spans="7:7">
      <c r="G18844"/>
    </row>
    <row r="18845" spans="7:7">
      <c r="G18845"/>
    </row>
    <row r="18846" spans="7:7">
      <c r="G18846"/>
    </row>
    <row r="18847" spans="7:7">
      <c r="G18847"/>
    </row>
    <row r="18848" spans="7:7">
      <c r="G18848"/>
    </row>
    <row r="18849" spans="7:7">
      <c r="G18849"/>
    </row>
    <row r="18850" spans="7:7">
      <c r="G18850"/>
    </row>
    <row r="18851" spans="7:7">
      <c r="G18851"/>
    </row>
    <row r="18852" spans="7:7">
      <c r="G18852"/>
    </row>
    <row r="18853" spans="7:7">
      <c r="G18853"/>
    </row>
    <row r="18854" spans="7:7">
      <c r="G18854"/>
    </row>
    <row r="18855" spans="7:7">
      <c r="G18855"/>
    </row>
    <row r="18856" spans="7:7">
      <c r="G18856"/>
    </row>
    <row r="18857" spans="7:7">
      <c r="G18857"/>
    </row>
    <row r="18858" spans="7:7">
      <c r="G18858"/>
    </row>
    <row r="18859" spans="7:7">
      <c r="G18859"/>
    </row>
    <row r="18860" spans="7:7">
      <c r="G18860"/>
    </row>
    <row r="18861" spans="7:7">
      <c r="G18861"/>
    </row>
    <row r="18862" spans="7:7">
      <c r="G18862"/>
    </row>
    <row r="18863" spans="7:7">
      <c r="G18863"/>
    </row>
    <row r="18864" spans="7:7">
      <c r="G18864"/>
    </row>
    <row r="18865" spans="7:7">
      <c r="G18865"/>
    </row>
    <row r="18866" spans="7:7">
      <c r="G18866"/>
    </row>
    <row r="18867" spans="7:7">
      <c r="G18867"/>
    </row>
    <row r="18868" spans="7:7">
      <c r="G18868"/>
    </row>
    <row r="18869" spans="7:7">
      <c r="G18869"/>
    </row>
    <row r="18870" spans="7:7">
      <c r="G18870"/>
    </row>
    <row r="18871" spans="7:7">
      <c r="G18871"/>
    </row>
    <row r="18872" spans="7:7">
      <c r="G18872"/>
    </row>
    <row r="18873" spans="7:7">
      <c r="G18873"/>
    </row>
    <row r="18874" spans="7:7">
      <c r="G18874"/>
    </row>
    <row r="18875" spans="7:7">
      <c r="G18875"/>
    </row>
    <row r="18876" spans="7:7">
      <c r="G18876"/>
    </row>
    <row r="18877" spans="7:7">
      <c r="G18877"/>
    </row>
    <row r="18878" spans="7:7">
      <c r="G18878"/>
    </row>
    <row r="18879" spans="7:7">
      <c r="G18879"/>
    </row>
    <row r="18880" spans="7:7">
      <c r="G18880"/>
    </row>
    <row r="18881" spans="7:7">
      <c r="G18881"/>
    </row>
    <row r="18882" spans="7:7">
      <c r="G18882"/>
    </row>
    <row r="18883" spans="7:7">
      <c r="G18883"/>
    </row>
    <row r="18884" spans="7:7">
      <c r="G18884"/>
    </row>
    <row r="18885" spans="7:7">
      <c r="G18885"/>
    </row>
    <row r="18886" spans="7:7">
      <c r="G18886"/>
    </row>
    <row r="18887" spans="7:7">
      <c r="G18887"/>
    </row>
    <row r="18888" spans="7:7">
      <c r="G18888"/>
    </row>
    <row r="18889" spans="7:7">
      <c r="G18889"/>
    </row>
    <row r="18890" spans="7:7">
      <c r="G18890"/>
    </row>
    <row r="18891" spans="7:7">
      <c r="G18891"/>
    </row>
    <row r="18892" spans="7:7">
      <c r="G18892"/>
    </row>
    <row r="18893" spans="7:7">
      <c r="G18893"/>
    </row>
    <row r="18894" spans="7:7">
      <c r="G18894"/>
    </row>
    <row r="18895" spans="7:7">
      <c r="G18895"/>
    </row>
    <row r="18896" spans="7:7">
      <c r="G18896"/>
    </row>
    <row r="18897" spans="7:7">
      <c r="G18897"/>
    </row>
    <row r="18898" spans="7:7">
      <c r="G18898"/>
    </row>
    <row r="18899" spans="7:7">
      <c r="G18899"/>
    </row>
    <row r="18900" spans="7:7">
      <c r="G18900"/>
    </row>
    <row r="18901" spans="7:7">
      <c r="G18901"/>
    </row>
    <row r="18902" spans="7:7">
      <c r="G18902"/>
    </row>
    <row r="18903" spans="7:7">
      <c r="G18903"/>
    </row>
    <row r="18904" spans="7:7">
      <c r="G18904"/>
    </row>
    <row r="18905" spans="7:7">
      <c r="G18905"/>
    </row>
    <row r="18906" spans="7:7">
      <c r="G18906"/>
    </row>
    <row r="18907" spans="7:7">
      <c r="G18907"/>
    </row>
    <row r="18908" spans="7:7">
      <c r="G18908"/>
    </row>
    <row r="18909" spans="7:7">
      <c r="G18909"/>
    </row>
    <row r="18910" spans="7:7">
      <c r="G18910"/>
    </row>
    <row r="18911" spans="7:7">
      <c r="G18911"/>
    </row>
    <row r="18912" spans="7:7">
      <c r="G18912"/>
    </row>
    <row r="18913" spans="7:7">
      <c r="G18913"/>
    </row>
    <row r="18914" spans="7:7">
      <c r="G18914"/>
    </row>
    <row r="18915" spans="7:7">
      <c r="G18915"/>
    </row>
    <row r="18916" spans="7:7">
      <c r="G18916"/>
    </row>
    <row r="18917" spans="7:7">
      <c r="G18917"/>
    </row>
    <row r="18918" spans="7:7">
      <c r="G18918"/>
    </row>
    <row r="18919" spans="7:7">
      <c r="G18919"/>
    </row>
    <row r="18920" spans="7:7">
      <c r="G18920"/>
    </row>
    <row r="18921" spans="7:7">
      <c r="G18921"/>
    </row>
    <row r="18922" spans="7:7">
      <c r="G18922"/>
    </row>
    <row r="18923" spans="7:7">
      <c r="G18923"/>
    </row>
    <row r="18924" spans="7:7">
      <c r="G18924"/>
    </row>
    <row r="18925" spans="7:7">
      <c r="G18925"/>
    </row>
    <row r="18926" spans="7:7">
      <c r="G18926"/>
    </row>
    <row r="18927" spans="7:7">
      <c r="G18927"/>
    </row>
    <row r="18928" spans="7:7">
      <c r="G18928"/>
    </row>
    <row r="18929" spans="7:7">
      <c r="G18929"/>
    </row>
    <row r="18930" spans="7:7">
      <c r="G18930"/>
    </row>
    <row r="18931" spans="7:7">
      <c r="G18931"/>
    </row>
    <row r="18932" spans="7:7">
      <c r="G18932"/>
    </row>
    <row r="18933" spans="7:7">
      <c r="G18933"/>
    </row>
    <row r="18934" spans="7:7">
      <c r="G18934"/>
    </row>
    <row r="18935" spans="7:7">
      <c r="G18935"/>
    </row>
    <row r="18936" spans="7:7">
      <c r="G18936"/>
    </row>
    <row r="18937" spans="7:7">
      <c r="G18937"/>
    </row>
    <row r="18938" spans="7:7">
      <c r="G18938"/>
    </row>
    <row r="18939" spans="7:7">
      <c r="G18939"/>
    </row>
    <row r="18940" spans="7:7">
      <c r="G18940"/>
    </row>
    <row r="18941" spans="7:7">
      <c r="G18941"/>
    </row>
    <row r="18942" spans="7:7">
      <c r="G18942"/>
    </row>
    <row r="18943" spans="7:7">
      <c r="G18943"/>
    </row>
    <row r="18944" spans="7:7">
      <c r="G18944"/>
    </row>
    <row r="18945" spans="7:7">
      <c r="G18945"/>
    </row>
    <row r="18946" spans="7:7">
      <c r="G18946"/>
    </row>
    <row r="18947" spans="7:7">
      <c r="G18947"/>
    </row>
    <row r="18948" spans="7:7">
      <c r="G18948"/>
    </row>
    <row r="18949" spans="7:7">
      <c r="G18949"/>
    </row>
    <row r="18950" spans="7:7">
      <c r="G18950"/>
    </row>
    <row r="18951" spans="7:7">
      <c r="G18951"/>
    </row>
    <row r="18952" spans="7:7">
      <c r="G18952"/>
    </row>
    <row r="18953" spans="7:7">
      <c r="G18953"/>
    </row>
    <row r="18954" spans="7:7">
      <c r="G18954"/>
    </row>
    <row r="18955" spans="7:7">
      <c r="G18955"/>
    </row>
    <row r="18956" spans="7:7">
      <c r="G18956"/>
    </row>
    <row r="18957" spans="7:7">
      <c r="G18957"/>
    </row>
    <row r="18958" spans="7:7">
      <c r="G18958"/>
    </row>
    <row r="18959" spans="7:7">
      <c r="G18959"/>
    </row>
    <row r="18960" spans="7:7">
      <c r="G18960"/>
    </row>
    <row r="18961" spans="7:7">
      <c r="G18961"/>
    </row>
    <row r="18962" spans="7:7">
      <c r="G18962"/>
    </row>
    <row r="18963" spans="7:7">
      <c r="G18963"/>
    </row>
    <row r="18964" spans="7:7">
      <c r="G18964"/>
    </row>
    <row r="18965" spans="7:7">
      <c r="G18965"/>
    </row>
    <row r="18966" spans="7:7">
      <c r="G18966"/>
    </row>
    <row r="18967" spans="7:7">
      <c r="G18967"/>
    </row>
    <row r="18968" spans="7:7">
      <c r="G18968"/>
    </row>
    <row r="18969" spans="7:7">
      <c r="G18969"/>
    </row>
    <row r="18970" spans="7:7">
      <c r="G18970"/>
    </row>
    <row r="18971" spans="7:7">
      <c r="G18971"/>
    </row>
    <row r="18972" spans="7:7">
      <c r="G18972"/>
    </row>
    <row r="18973" spans="7:7">
      <c r="G18973"/>
    </row>
    <row r="18974" spans="7:7">
      <c r="G18974"/>
    </row>
    <row r="18975" spans="7:7">
      <c r="G18975"/>
    </row>
    <row r="18976" spans="7:7">
      <c r="G18976"/>
    </row>
    <row r="18977" spans="7:7">
      <c r="G18977"/>
    </row>
    <row r="18978" spans="7:7">
      <c r="G18978"/>
    </row>
    <row r="18979" spans="7:7">
      <c r="G18979"/>
    </row>
    <row r="18980" spans="7:7">
      <c r="G18980"/>
    </row>
    <row r="18981" spans="7:7">
      <c r="G18981"/>
    </row>
    <row r="18982" spans="7:7">
      <c r="G18982"/>
    </row>
    <row r="18983" spans="7:7">
      <c r="G18983"/>
    </row>
    <row r="18984" spans="7:7">
      <c r="G18984"/>
    </row>
    <row r="18985" spans="7:7">
      <c r="G18985"/>
    </row>
    <row r="18986" spans="7:7">
      <c r="G18986"/>
    </row>
    <row r="18987" spans="7:7">
      <c r="G18987"/>
    </row>
    <row r="18988" spans="7:7">
      <c r="G18988"/>
    </row>
    <row r="18989" spans="7:7">
      <c r="G18989"/>
    </row>
    <row r="18990" spans="7:7">
      <c r="G18990"/>
    </row>
    <row r="18991" spans="7:7">
      <c r="G18991"/>
    </row>
    <row r="18992" spans="7:7">
      <c r="G18992"/>
    </row>
    <row r="18993" spans="7:7">
      <c r="G18993"/>
    </row>
    <row r="18994" spans="7:7">
      <c r="G18994"/>
    </row>
    <row r="18995" spans="7:7">
      <c r="G18995"/>
    </row>
    <row r="18996" spans="7:7">
      <c r="G18996"/>
    </row>
    <row r="18997" spans="7:7">
      <c r="G18997"/>
    </row>
    <row r="18998" spans="7:7">
      <c r="G18998"/>
    </row>
    <row r="18999" spans="7:7">
      <c r="G18999"/>
    </row>
    <row r="19000" spans="7:7">
      <c r="G19000"/>
    </row>
    <row r="19001" spans="7:7">
      <c r="G19001"/>
    </row>
    <row r="19002" spans="7:7">
      <c r="G19002"/>
    </row>
    <row r="19003" spans="7:7">
      <c r="G19003"/>
    </row>
    <row r="19004" spans="7:7">
      <c r="G19004"/>
    </row>
    <row r="19005" spans="7:7">
      <c r="G19005"/>
    </row>
    <row r="19006" spans="7:7">
      <c r="G19006"/>
    </row>
    <row r="19007" spans="7:7">
      <c r="G19007"/>
    </row>
    <row r="19008" spans="7:7">
      <c r="G19008"/>
    </row>
    <row r="19009" spans="7:7">
      <c r="G19009"/>
    </row>
    <row r="19010" spans="7:7">
      <c r="G19010"/>
    </row>
    <row r="19011" spans="7:7">
      <c r="G19011"/>
    </row>
    <row r="19012" spans="7:7">
      <c r="G19012"/>
    </row>
    <row r="19013" spans="7:7">
      <c r="G19013"/>
    </row>
    <row r="19014" spans="7:7">
      <c r="G19014"/>
    </row>
    <row r="19015" spans="7:7">
      <c r="G19015"/>
    </row>
    <row r="19016" spans="7:7">
      <c r="G19016"/>
    </row>
    <row r="19017" spans="7:7">
      <c r="G19017"/>
    </row>
    <row r="19018" spans="7:7">
      <c r="G19018"/>
    </row>
    <row r="19019" spans="7:7">
      <c r="G19019"/>
    </row>
    <row r="19020" spans="7:7">
      <c r="G19020"/>
    </row>
    <row r="19021" spans="7:7">
      <c r="G19021"/>
    </row>
    <row r="19022" spans="7:7">
      <c r="G19022"/>
    </row>
    <row r="19023" spans="7:7">
      <c r="G19023"/>
    </row>
    <row r="19024" spans="7:7">
      <c r="G19024"/>
    </row>
    <row r="19025" spans="7:7">
      <c r="G19025"/>
    </row>
    <row r="19026" spans="7:7">
      <c r="G19026"/>
    </row>
    <row r="19027" spans="7:7">
      <c r="G19027"/>
    </row>
    <row r="19028" spans="7:7">
      <c r="G19028"/>
    </row>
    <row r="19029" spans="7:7">
      <c r="G19029"/>
    </row>
    <row r="19030" spans="7:7">
      <c r="G19030"/>
    </row>
    <row r="19031" spans="7:7">
      <c r="G19031"/>
    </row>
    <row r="19032" spans="7:7">
      <c r="G19032"/>
    </row>
    <row r="19033" spans="7:7">
      <c r="G19033"/>
    </row>
    <row r="19034" spans="7:7">
      <c r="G19034"/>
    </row>
    <row r="19035" spans="7:7">
      <c r="G19035"/>
    </row>
    <row r="19036" spans="7:7">
      <c r="G19036"/>
    </row>
    <row r="19037" spans="7:7">
      <c r="G19037"/>
    </row>
    <row r="19038" spans="7:7">
      <c r="G19038"/>
    </row>
    <row r="19039" spans="7:7">
      <c r="G19039"/>
    </row>
    <row r="19040" spans="7:7">
      <c r="G19040"/>
    </row>
    <row r="19041" spans="7:7">
      <c r="G19041"/>
    </row>
    <row r="19042" spans="7:7">
      <c r="G19042"/>
    </row>
    <row r="19043" spans="7:7">
      <c r="G19043"/>
    </row>
    <row r="19044" spans="7:7">
      <c r="G19044"/>
    </row>
    <row r="19045" spans="7:7">
      <c r="G19045"/>
    </row>
    <row r="19046" spans="7:7">
      <c r="G19046"/>
    </row>
    <row r="19047" spans="7:7">
      <c r="G19047"/>
    </row>
    <row r="19048" spans="7:7">
      <c r="G19048"/>
    </row>
    <row r="19049" spans="7:7">
      <c r="G19049"/>
    </row>
    <row r="19050" spans="7:7">
      <c r="G19050"/>
    </row>
    <row r="19051" spans="7:7">
      <c r="G19051"/>
    </row>
    <row r="19052" spans="7:7">
      <c r="G19052"/>
    </row>
    <row r="19053" spans="7:7">
      <c r="G19053"/>
    </row>
    <row r="19054" spans="7:7">
      <c r="G19054"/>
    </row>
    <row r="19055" spans="7:7">
      <c r="G19055"/>
    </row>
    <row r="19056" spans="7:7">
      <c r="G19056"/>
    </row>
    <row r="19057" spans="7:7">
      <c r="G19057"/>
    </row>
    <row r="19058" spans="7:7">
      <c r="G19058"/>
    </row>
    <row r="19059" spans="7:7">
      <c r="G19059"/>
    </row>
    <row r="19060" spans="7:7">
      <c r="G19060"/>
    </row>
    <row r="19061" spans="7:7">
      <c r="G19061"/>
    </row>
    <row r="19062" spans="7:7">
      <c r="G19062"/>
    </row>
    <row r="19063" spans="7:7">
      <c r="G19063"/>
    </row>
    <row r="19064" spans="7:7">
      <c r="G19064"/>
    </row>
    <row r="19065" spans="7:7">
      <c r="G19065"/>
    </row>
    <row r="19066" spans="7:7">
      <c r="G19066"/>
    </row>
    <row r="19067" spans="7:7">
      <c r="G19067"/>
    </row>
    <row r="19068" spans="7:7">
      <c r="G19068"/>
    </row>
    <row r="19069" spans="7:7">
      <c r="G19069"/>
    </row>
    <row r="19070" spans="7:7">
      <c r="G19070"/>
    </row>
    <row r="19071" spans="7:7">
      <c r="G19071"/>
    </row>
    <row r="19072" spans="7:7">
      <c r="G19072"/>
    </row>
    <row r="19073" spans="7:7">
      <c r="G19073"/>
    </row>
    <row r="19074" spans="7:7">
      <c r="G19074"/>
    </row>
    <row r="19075" spans="7:7">
      <c r="G19075"/>
    </row>
    <row r="19076" spans="7:7">
      <c r="G19076"/>
    </row>
    <row r="19077" spans="7:7">
      <c r="G19077"/>
    </row>
    <row r="19078" spans="7:7">
      <c r="G19078"/>
    </row>
    <row r="19079" spans="7:7">
      <c r="G19079"/>
    </row>
    <row r="19080" spans="7:7">
      <c r="G19080"/>
    </row>
    <row r="19081" spans="7:7">
      <c r="G19081"/>
    </row>
    <row r="19082" spans="7:7">
      <c r="G19082"/>
    </row>
    <row r="19083" spans="7:7">
      <c r="G19083"/>
    </row>
    <row r="19084" spans="7:7">
      <c r="G19084"/>
    </row>
    <row r="19085" spans="7:7">
      <c r="G19085"/>
    </row>
    <row r="19086" spans="7:7">
      <c r="G19086"/>
    </row>
    <row r="19087" spans="7:7">
      <c r="G19087"/>
    </row>
    <row r="19088" spans="7:7">
      <c r="G19088"/>
    </row>
    <row r="19089" spans="7:7">
      <c r="G19089"/>
    </row>
    <row r="19090" spans="7:7">
      <c r="G19090"/>
    </row>
    <row r="19091" spans="7:7">
      <c r="G19091"/>
    </row>
    <row r="19092" spans="7:7">
      <c r="G19092"/>
    </row>
    <row r="19093" spans="7:7">
      <c r="G19093"/>
    </row>
    <row r="19094" spans="7:7">
      <c r="G19094"/>
    </row>
    <row r="19095" spans="7:7">
      <c r="G19095"/>
    </row>
    <row r="19096" spans="7:7">
      <c r="G19096"/>
    </row>
    <row r="19097" spans="7:7">
      <c r="G19097"/>
    </row>
    <row r="19098" spans="7:7">
      <c r="G19098"/>
    </row>
    <row r="19099" spans="7:7">
      <c r="G19099"/>
    </row>
    <row r="19100" spans="7:7">
      <c r="G19100"/>
    </row>
    <row r="19101" spans="7:7">
      <c r="G19101"/>
    </row>
    <row r="19102" spans="7:7">
      <c r="G19102"/>
    </row>
    <row r="19103" spans="7:7">
      <c r="G19103"/>
    </row>
    <row r="19104" spans="7:7">
      <c r="G19104"/>
    </row>
    <row r="19105" spans="7:7">
      <c r="G19105"/>
    </row>
    <row r="19106" spans="7:7">
      <c r="G19106"/>
    </row>
    <row r="19107" spans="7:7">
      <c r="G19107"/>
    </row>
    <row r="19108" spans="7:7">
      <c r="G19108"/>
    </row>
    <row r="19109" spans="7:7">
      <c r="G19109"/>
    </row>
    <row r="19110" spans="7:7">
      <c r="G19110"/>
    </row>
    <row r="19111" spans="7:7">
      <c r="G19111"/>
    </row>
    <row r="19112" spans="7:7">
      <c r="G19112"/>
    </row>
    <row r="19113" spans="7:7">
      <c r="G19113"/>
    </row>
    <row r="19114" spans="7:7">
      <c r="G19114"/>
    </row>
    <row r="19115" spans="7:7">
      <c r="G19115"/>
    </row>
    <row r="19116" spans="7:7">
      <c r="G19116"/>
    </row>
    <row r="19117" spans="7:7">
      <c r="G19117"/>
    </row>
    <row r="19118" spans="7:7">
      <c r="G19118"/>
    </row>
    <row r="19119" spans="7:7">
      <c r="G19119"/>
    </row>
    <row r="19120" spans="7:7">
      <c r="G19120"/>
    </row>
    <row r="19121" spans="7:7">
      <c r="G19121"/>
    </row>
    <row r="19122" spans="7:7">
      <c r="G19122"/>
    </row>
    <row r="19123" spans="7:7">
      <c r="G19123"/>
    </row>
    <row r="19124" spans="7:7">
      <c r="G19124"/>
    </row>
    <row r="19125" spans="7:7">
      <c r="G19125"/>
    </row>
    <row r="19126" spans="7:7">
      <c r="G19126"/>
    </row>
    <row r="19127" spans="7:7">
      <c r="G19127"/>
    </row>
    <row r="19128" spans="7:7">
      <c r="G19128"/>
    </row>
    <row r="19129" spans="7:7">
      <c r="G19129"/>
    </row>
    <row r="19130" spans="7:7">
      <c r="G19130"/>
    </row>
    <row r="19131" spans="7:7">
      <c r="G19131"/>
    </row>
    <row r="19132" spans="7:7">
      <c r="G19132"/>
    </row>
    <row r="19133" spans="7:7">
      <c r="G19133"/>
    </row>
    <row r="19134" spans="7:7">
      <c r="G19134"/>
    </row>
    <row r="19135" spans="7:7">
      <c r="G19135"/>
    </row>
    <row r="19136" spans="7:7">
      <c r="G19136"/>
    </row>
    <row r="19137" spans="7:7">
      <c r="G19137"/>
    </row>
    <row r="19138" spans="7:7">
      <c r="G19138"/>
    </row>
    <row r="19139" spans="7:7">
      <c r="G19139"/>
    </row>
    <row r="19140" spans="7:7">
      <c r="G19140"/>
    </row>
    <row r="19141" spans="7:7">
      <c r="G19141"/>
    </row>
    <row r="19142" spans="7:7">
      <c r="G19142"/>
    </row>
    <row r="19143" spans="7:7">
      <c r="G19143"/>
    </row>
    <row r="19144" spans="7:7">
      <c r="G19144"/>
    </row>
    <row r="19145" spans="7:7">
      <c r="G19145"/>
    </row>
    <row r="19146" spans="7:7">
      <c r="G19146"/>
    </row>
    <row r="19147" spans="7:7">
      <c r="G19147"/>
    </row>
    <row r="19148" spans="7:7">
      <c r="G19148"/>
    </row>
    <row r="19149" spans="7:7">
      <c r="G19149"/>
    </row>
    <row r="19150" spans="7:7">
      <c r="G19150"/>
    </row>
    <row r="19151" spans="7:7">
      <c r="G19151"/>
    </row>
    <row r="19152" spans="7:7">
      <c r="G19152"/>
    </row>
    <row r="19153" spans="7:7">
      <c r="G19153"/>
    </row>
    <row r="19154" spans="7:7">
      <c r="G19154"/>
    </row>
    <row r="19155" spans="7:7">
      <c r="G19155"/>
    </row>
    <row r="19156" spans="7:7">
      <c r="G19156"/>
    </row>
    <row r="19157" spans="7:7">
      <c r="G19157"/>
    </row>
    <row r="19158" spans="7:7">
      <c r="G19158"/>
    </row>
    <row r="19159" spans="7:7">
      <c r="G19159"/>
    </row>
    <row r="19160" spans="7:7">
      <c r="G19160"/>
    </row>
    <row r="19161" spans="7:7">
      <c r="G19161"/>
    </row>
    <row r="19162" spans="7:7">
      <c r="G19162"/>
    </row>
    <row r="19163" spans="7:7">
      <c r="G19163"/>
    </row>
    <row r="19164" spans="7:7">
      <c r="G19164"/>
    </row>
    <row r="19165" spans="7:7">
      <c r="G19165"/>
    </row>
    <row r="19166" spans="7:7">
      <c r="G19166"/>
    </row>
    <row r="19167" spans="7:7">
      <c r="G19167"/>
    </row>
    <row r="19168" spans="7:7">
      <c r="G19168"/>
    </row>
    <row r="19169" spans="7:7">
      <c r="G19169"/>
    </row>
    <row r="19170" spans="7:7">
      <c r="G19170"/>
    </row>
    <row r="19171" spans="7:7">
      <c r="G19171"/>
    </row>
    <row r="19172" spans="7:7">
      <c r="G19172"/>
    </row>
    <row r="19173" spans="7:7">
      <c r="G19173"/>
    </row>
    <row r="19174" spans="7:7">
      <c r="G19174"/>
    </row>
    <row r="19175" spans="7:7">
      <c r="G19175"/>
    </row>
    <row r="19176" spans="7:7">
      <c r="G19176"/>
    </row>
    <row r="19177" spans="7:7">
      <c r="G19177"/>
    </row>
    <row r="19178" spans="7:7">
      <c r="G19178"/>
    </row>
    <row r="19179" spans="7:7">
      <c r="G19179"/>
    </row>
    <row r="19180" spans="7:7">
      <c r="G19180"/>
    </row>
    <row r="19181" spans="7:7">
      <c r="G19181"/>
    </row>
    <row r="19182" spans="7:7">
      <c r="G19182"/>
    </row>
    <row r="19183" spans="7:7">
      <c r="G19183"/>
    </row>
    <row r="19184" spans="7:7">
      <c r="G19184"/>
    </row>
    <row r="19185" spans="7:7">
      <c r="G19185"/>
    </row>
    <row r="19186" spans="7:7">
      <c r="G19186"/>
    </row>
    <row r="19187" spans="7:7">
      <c r="G19187"/>
    </row>
    <row r="19188" spans="7:7">
      <c r="G19188"/>
    </row>
    <row r="19189" spans="7:7">
      <c r="G19189"/>
    </row>
    <row r="19190" spans="7:7">
      <c r="G19190"/>
    </row>
    <row r="19191" spans="7:7">
      <c r="G19191"/>
    </row>
    <row r="19192" spans="7:7">
      <c r="G19192"/>
    </row>
    <row r="19193" spans="7:7">
      <c r="G19193"/>
    </row>
    <row r="19194" spans="7:7">
      <c r="G19194"/>
    </row>
    <row r="19195" spans="7:7">
      <c r="G19195"/>
    </row>
    <row r="19196" spans="7:7">
      <c r="G19196"/>
    </row>
    <row r="19197" spans="7:7">
      <c r="G19197"/>
    </row>
    <row r="19198" spans="7:7">
      <c r="G19198"/>
    </row>
    <row r="19199" spans="7:7">
      <c r="G19199"/>
    </row>
    <row r="19200" spans="7:7">
      <c r="G19200"/>
    </row>
    <row r="19201" spans="7:7">
      <c r="G19201"/>
    </row>
    <row r="19202" spans="7:7">
      <c r="G19202"/>
    </row>
    <row r="19203" spans="7:7">
      <c r="G19203"/>
    </row>
    <row r="19204" spans="7:7">
      <c r="G19204"/>
    </row>
    <row r="19205" spans="7:7">
      <c r="G19205"/>
    </row>
    <row r="19206" spans="7:7">
      <c r="G19206"/>
    </row>
    <row r="19207" spans="7:7">
      <c r="G19207"/>
    </row>
    <row r="19208" spans="7:7">
      <c r="G19208"/>
    </row>
    <row r="19209" spans="7:7">
      <c r="G19209"/>
    </row>
    <row r="19210" spans="7:7">
      <c r="G19210"/>
    </row>
    <row r="19211" spans="7:7">
      <c r="G19211"/>
    </row>
    <row r="19212" spans="7:7">
      <c r="G19212"/>
    </row>
    <row r="19213" spans="7:7">
      <c r="G19213"/>
    </row>
    <row r="19214" spans="7:7">
      <c r="G19214"/>
    </row>
    <row r="19215" spans="7:7">
      <c r="G19215"/>
    </row>
    <row r="19216" spans="7:7">
      <c r="G19216"/>
    </row>
    <row r="19217" spans="7:7">
      <c r="G19217"/>
    </row>
    <row r="19218" spans="7:7">
      <c r="G19218"/>
    </row>
    <row r="19219" spans="7:7">
      <c r="G19219"/>
    </row>
    <row r="19220" spans="7:7">
      <c r="G19220"/>
    </row>
    <row r="19221" spans="7:7">
      <c r="G19221"/>
    </row>
    <row r="19222" spans="7:7">
      <c r="G19222"/>
    </row>
    <row r="19223" spans="7:7">
      <c r="G19223"/>
    </row>
    <row r="19224" spans="7:7">
      <c r="G19224"/>
    </row>
    <row r="19225" spans="7:7">
      <c r="G19225"/>
    </row>
    <row r="19226" spans="7:7">
      <c r="G19226"/>
    </row>
    <row r="19227" spans="7:7">
      <c r="G19227"/>
    </row>
    <row r="19228" spans="7:7">
      <c r="G19228"/>
    </row>
    <row r="19229" spans="7:7">
      <c r="G19229"/>
    </row>
    <row r="19230" spans="7:7">
      <c r="G19230"/>
    </row>
    <row r="19231" spans="7:7">
      <c r="G19231"/>
    </row>
    <row r="19232" spans="7:7">
      <c r="G19232"/>
    </row>
    <row r="19233" spans="7:7">
      <c r="G19233"/>
    </row>
    <row r="19234" spans="7:7">
      <c r="G19234"/>
    </row>
    <row r="19235" spans="7:7">
      <c r="G19235"/>
    </row>
    <row r="19236" spans="7:7">
      <c r="G19236"/>
    </row>
    <row r="19237" spans="7:7">
      <c r="G19237"/>
    </row>
    <row r="19238" spans="7:7">
      <c r="G19238"/>
    </row>
    <row r="19239" spans="7:7">
      <c r="G19239"/>
    </row>
    <row r="19240" spans="7:7">
      <c r="G19240"/>
    </row>
    <row r="19241" spans="7:7">
      <c r="G19241"/>
    </row>
    <row r="19242" spans="7:7">
      <c r="G19242"/>
    </row>
    <row r="19243" spans="7:7">
      <c r="G19243"/>
    </row>
    <row r="19244" spans="7:7">
      <c r="G19244"/>
    </row>
    <row r="19245" spans="7:7">
      <c r="G19245"/>
    </row>
    <row r="19246" spans="7:7">
      <c r="G19246"/>
    </row>
    <row r="19247" spans="7:7">
      <c r="G19247"/>
    </row>
    <row r="19248" spans="7:7">
      <c r="G19248"/>
    </row>
    <row r="19249" spans="7:7">
      <c r="G19249"/>
    </row>
    <row r="19250" spans="7:7">
      <c r="G19250"/>
    </row>
    <row r="19251" spans="7:7">
      <c r="G19251"/>
    </row>
    <row r="19252" spans="7:7">
      <c r="G19252"/>
    </row>
    <row r="19253" spans="7:7">
      <c r="G19253"/>
    </row>
    <row r="19254" spans="7:7">
      <c r="G19254"/>
    </row>
    <row r="19255" spans="7:7">
      <c r="G19255"/>
    </row>
    <row r="19256" spans="7:7">
      <c r="G19256"/>
    </row>
    <row r="19257" spans="7:7">
      <c r="G19257"/>
    </row>
    <row r="19258" spans="7:7">
      <c r="G19258"/>
    </row>
    <row r="19259" spans="7:7">
      <c r="G19259"/>
    </row>
    <row r="19260" spans="7:7">
      <c r="G19260"/>
    </row>
    <row r="19261" spans="7:7">
      <c r="G19261"/>
    </row>
    <row r="19262" spans="7:7">
      <c r="G19262"/>
    </row>
    <row r="19263" spans="7:7">
      <c r="G19263"/>
    </row>
    <row r="19264" spans="7:7">
      <c r="G19264"/>
    </row>
    <row r="19265" spans="7:7">
      <c r="G19265"/>
    </row>
    <row r="19266" spans="7:7">
      <c r="G19266"/>
    </row>
    <row r="19267" spans="7:7">
      <c r="G19267"/>
    </row>
    <row r="19268" spans="7:7">
      <c r="G19268"/>
    </row>
    <row r="19269" spans="7:7">
      <c r="G19269"/>
    </row>
    <row r="19270" spans="7:7">
      <c r="G19270"/>
    </row>
    <row r="19271" spans="7:7">
      <c r="G19271"/>
    </row>
    <row r="19272" spans="7:7">
      <c r="G19272"/>
    </row>
    <row r="19273" spans="7:7">
      <c r="G19273"/>
    </row>
    <row r="19274" spans="7:7">
      <c r="G19274"/>
    </row>
    <row r="19275" spans="7:7">
      <c r="G19275"/>
    </row>
    <row r="19276" spans="7:7">
      <c r="G19276"/>
    </row>
    <row r="19277" spans="7:7">
      <c r="G19277"/>
    </row>
    <row r="19278" spans="7:7">
      <c r="G19278"/>
    </row>
    <row r="19279" spans="7:7">
      <c r="G19279"/>
    </row>
    <row r="19280" spans="7:7">
      <c r="G19280"/>
    </row>
    <row r="19281" spans="7:7">
      <c r="G19281"/>
    </row>
    <row r="19282" spans="7:7">
      <c r="G19282"/>
    </row>
    <row r="19283" spans="7:7">
      <c r="G19283"/>
    </row>
    <row r="19284" spans="7:7">
      <c r="G19284"/>
    </row>
    <row r="19285" spans="7:7">
      <c r="G19285"/>
    </row>
    <row r="19286" spans="7:7">
      <c r="G19286"/>
    </row>
    <row r="19287" spans="7:7">
      <c r="G19287"/>
    </row>
    <row r="19288" spans="7:7">
      <c r="G19288"/>
    </row>
    <row r="19289" spans="7:7">
      <c r="G19289"/>
    </row>
    <row r="19290" spans="7:7">
      <c r="G19290"/>
    </row>
    <row r="19291" spans="7:7">
      <c r="G19291"/>
    </row>
    <row r="19292" spans="7:7">
      <c r="G19292"/>
    </row>
    <row r="19293" spans="7:7">
      <c r="G19293"/>
    </row>
    <row r="19294" spans="7:7">
      <c r="G19294"/>
    </row>
    <row r="19295" spans="7:7">
      <c r="G19295"/>
    </row>
    <row r="19296" spans="7:7">
      <c r="G19296"/>
    </row>
    <row r="19297" spans="7:7">
      <c r="G19297"/>
    </row>
    <row r="19298" spans="7:7">
      <c r="G19298"/>
    </row>
    <row r="19299" spans="7:7">
      <c r="G19299"/>
    </row>
    <row r="19300" spans="7:7">
      <c r="G19300"/>
    </row>
    <row r="19301" spans="7:7">
      <c r="G19301"/>
    </row>
    <row r="19302" spans="7:7">
      <c r="G19302"/>
    </row>
    <row r="19303" spans="7:7">
      <c r="G19303"/>
    </row>
    <row r="19304" spans="7:7">
      <c r="G19304"/>
    </row>
    <row r="19305" spans="7:7">
      <c r="G19305"/>
    </row>
    <row r="19306" spans="7:7">
      <c r="G19306"/>
    </row>
    <row r="19307" spans="7:7">
      <c r="G19307"/>
    </row>
    <row r="19308" spans="7:7">
      <c r="G19308"/>
    </row>
    <row r="19309" spans="7:7">
      <c r="G19309"/>
    </row>
    <row r="19310" spans="7:7">
      <c r="G19310"/>
    </row>
    <row r="19311" spans="7:7">
      <c r="G19311"/>
    </row>
    <row r="19312" spans="7:7">
      <c r="G19312"/>
    </row>
    <row r="19313" spans="7:7">
      <c r="G19313"/>
    </row>
    <row r="19314" spans="7:7">
      <c r="G19314"/>
    </row>
    <row r="19315" spans="7:7">
      <c r="G19315"/>
    </row>
    <row r="19316" spans="7:7">
      <c r="G19316"/>
    </row>
    <row r="19317" spans="7:7">
      <c r="G19317"/>
    </row>
    <row r="19318" spans="7:7">
      <c r="G19318"/>
    </row>
    <row r="19319" spans="7:7">
      <c r="G19319"/>
    </row>
    <row r="19320" spans="7:7">
      <c r="G19320"/>
    </row>
    <row r="19321" spans="7:7">
      <c r="G19321"/>
    </row>
    <row r="19322" spans="7:7">
      <c r="G19322"/>
    </row>
    <row r="19323" spans="7:7">
      <c r="G19323"/>
    </row>
    <row r="19324" spans="7:7">
      <c r="G19324"/>
    </row>
    <row r="19325" spans="7:7">
      <c r="G19325"/>
    </row>
    <row r="19326" spans="7:7">
      <c r="G19326"/>
    </row>
    <row r="19327" spans="7:7">
      <c r="G19327"/>
    </row>
    <row r="19328" spans="7:7">
      <c r="G19328"/>
    </row>
    <row r="19329" spans="7:7">
      <c r="G19329"/>
    </row>
    <row r="19330" spans="7:7">
      <c r="G19330"/>
    </row>
    <row r="19331" spans="7:7">
      <c r="G19331"/>
    </row>
    <row r="19332" spans="7:7">
      <c r="G19332"/>
    </row>
    <row r="19333" spans="7:7">
      <c r="G19333"/>
    </row>
    <row r="19334" spans="7:7">
      <c r="G19334"/>
    </row>
    <row r="19335" spans="7:7">
      <c r="G19335"/>
    </row>
    <row r="19336" spans="7:7">
      <c r="G19336"/>
    </row>
    <row r="19337" spans="7:7">
      <c r="G19337"/>
    </row>
    <row r="19338" spans="7:7">
      <c r="G19338"/>
    </row>
    <row r="19339" spans="7:7">
      <c r="G19339"/>
    </row>
    <row r="19340" spans="7:7">
      <c r="G19340"/>
    </row>
    <row r="19341" spans="7:7">
      <c r="G19341"/>
    </row>
    <row r="19342" spans="7:7">
      <c r="G19342"/>
    </row>
    <row r="19343" spans="7:7">
      <c r="G19343"/>
    </row>
    <row r="19344" spans="7:7">
      <c r="G19344"/>
    </row>
    <row r="19345" spans="7:7">
      <c r="G19345"/>
    </row>
    <row r="19346" spans="7:7">
      <c r="G19346"/>
    </row>
    <row r="19347" spans="7:7">
      <c r="G19347"/>
    </row>
    <row r="19348" spans="7:7">
      <c r="G19348"/>
    </row>
    <row r="19349" spans="7:7">
      <c r="G19349"/>
    </row>
    <row r="19350" spans="7:7">
      <c r="G19350"/>
    </row>
    <row r="19351" spans="7:7">
      <c r="G19351"/>
    </row>
    <row r="19352" spans="7:7">
      <c r="G19352"/>
    </row>
    <row r="19353" spans="7:7">
      <c r="G19353"/>
    </row>
    <row r="19354" spans="7:7">
      <c r="G19354"/>
    </row>
    <row r="19355" spans="7:7">
      <c r="G19355"/>
    </row>
    <row r="19356" spans="7:7">
      <c r="G19356"/>
    </row>
    <row r="19357" spans="7:7">
      <c r="G19357"/>
    </row>
    <row r="19358" spans="7:7">
      <c r="G19358"/>
    </row>
    <row r="19359" spans="7:7">
      <c r="G19359"/>
    </row>
    <row r="19360" spans="7:7">
      <c r="G19360"/>
    </row>
    <row r="19361" spans="7:7">
      <c r="G19361"/>
    </row>
    <row r="19362" spans="7:7">
      <c r="G19362"/>
    </row>
    <row r="19363" spans="7:7">
      <c r="G19363"/>
    </row>
    <row r="19364" spans="7:7">
      <c r="G19364"/>
    </row>
    <row r="19365" spans="7:7">
      <c r="G19365"/>
    </row>
    <row r="19366" spans="7:7">
      <c r="G19366"/>
    </row>
    <row r="19367" spans="7:7">
      <c r="G19367"/>
    </row>
    <row r="19368" spans="7:7">
      <c r="G19368"/>
    </row>
    <row r="19369" spans="7:7">
      <c r="G19369"/>
    </row>
    <row r="19370" spans="7:7">
      <c r="G19370"/>
    </row>
    <row r="19371" spans="7:7">
      <c r="G19371"/>
    </row>
    <row r="19372" spans="7:7">
      <c r="G19372"/>
    </row>
    <row r="19373" spans="7:7">
      <c r="G19373"/>
    </row>
    <row r="19374" spans="7:7">
      <c r="G19374"/>
    </row>
    <row r="19375" spans="7:7">
      <c r="G19375"/>
    </row>
    <row r="19376" spans="7:7">
      <c r="G19376"/>
    </row>
    <row r="19377" spans="7:7">
      <c r="G19377"/>
    </row>
    <row r="19378" spans="7:7">
      <c r="G19378"/>
    </row>
    <row r="19379" spans="7:7">
      <c r="G19379"/>
    </row>
    <row r="19380" spans="7:7">
      <c r="G19380"/>
    </row>
    <row r="19381" spans="7:7">
      <c r="G19381"/>
    </row>
    <row r="19382" spans="7:7">
      <c r="G19382"/>
    </row>
    <row r="19383" spans="7:7">
      <c r="G19383"/>
    </row>
    <row r="19384" spans="7:7">
      <c r="G19384"/>
    </row>
    <row r="19385" spans="7:7">
      <c r="G19385"/>
    </row>
    <row r="19386" spans="7:7">
      <c r="G19386"/>
    </row>
    <row r="19387" spans="7:7">
      <c r="G19387"/>
    </row>
    <row r="19388" spans="7:7">
      <c r="G19388"/>
    </row>
    <row r="19389" spans="7:7">
      <c r="G19389"/>
    </row>
    <row r="19390" spans="7:7">
      <c r="G19390"/>
    </row>
    <row r="19391" spans="7:7">
      <c r="G19391"/>
    </row>
    <row r="19392" spans="7:7">
      <c r="G19392"/>
    </row>
    <row r="19393" spans="7:7">
      <c r="G19393"/>
    </row>
    <row r="19394" spans="7:7">
      <c r="G19394"/>
    </row>
    <row r="19395" spans="7:7">
      <c r="G19395"/>
    </row>
    <row r="19396" spans="7:7">
      <c r="G19396"/>
    </row>
    <row r="19397" spans="7:7">
      <c r="G19397"/>
    </row>
    <row r="19398" spans="7:7">
      <c r="G19398"/>
    </row>
    <row r="19399" spans="7:7">
      <c r="G19399"/>
    </row>
    <row r="19400" spans="7:7">
      <c r="G19400"/>
    </row>
    <row r="19401" spans="7:7">
      <c r="G19401"/>
    </row>
    <row r="19402" spans="7:7">
      <c r="G19402"/>
    </row>
    <row r="19403" spans="7:7">
      <c r="G19403"/>
    </row>
    <row r="19404" spans="7:7">
      <c r="G19404"/>
    </row>
    <row r="19405" spans="7:7">
      <c r="G19405"/>
    </row>
    <row r="19406" spans="7:7">
      <c r="G19406"/>
    </row>
    <row r="19407" spans="7:7">
      <c r="G19407"/>
    </row>
    <row r="19408" spans="7:7">
      <c r="G19408"/>
    </row>
    <row r="19409" spans="7:7">
      <c r="G19409"/>
    </row>
    <row r="19410" spans="7:7">
      <c r="G19410"/>
    </row>
    <row r="19411" spans="7:7">
      <c r="G19411"/>
    </row>
    <row r="19412" spans="7:7">
      <c r="G19412"/>
    </row>
    <row r="19413" spans="7:7">
      <c r="G19413"/>
    </row>
    <row r="19414" spans="7:7">
      <c r="G19414"/>
    </row>
    <row r="19415" spans="7:7">
      <c r="G19415"/>
    </row>
    <row r="19416" spans="7:7">
      <c r="G19416"/>
    </row>
    <row r="19417" spans="7:7">
      <c r="G19417"/>
    </row>
    <row r="19418" spans="7:7">
      <c r="G19418"/>
    </row>
    <row r="19419" spans="7:7">
      <c r="G19419"/>
    </row>
    <row r="19420" spans="7:7">
      <c r="G19420"/>
    </row>
    <row r="19421" spans="7:7">
      <c r="G19421"/>
    </row>
    <row r="19422" spans="7:7">
      <c r="G19422"/>
    </row>
    <row r="19423" spans="7:7">
      <c r="G19423"/>
    </row>
    <row r="19424" spans="7:7">
      <c r="G19424"/>
    </row>
    <row r="19425" spans="7:7">
      <c r="G19425"/>
    </row>
    <row r="19426" spans="7:7">
      <c r="G19426"/>
    </row>
    <row r="19427" spans="7:7">
      <c r="G19427"/>
    </row>
    <row r="19428" spans="7:7">
      <c r="G19428"/>
    </row>
    <row r="19429" spans="7:7">
      <c r="G19429"/>
    </row>
    <row r="19430" spans="7:7">
      <c r="G19430"/>
    </row>
    <row r="19431" spans="7:7">
      <c r="G19431"/>
    </row>
    <row r="19432" spans="7:7">
      <c r="G19432"/>
    </row>
    <row r="19433" spans="7:7">
      <c r="G19433"/>
    </row>
    <row r="19434" spans="7:7">
      <c r="G19434"/>
    </row>
    <row r="19435" spans="7:7">
      <c r="G19435"/>
    </row>
    <row r="19436" spans="7:7">
      <c r="G19436"/>
    </row>
    <row r="19437" spans="7:7">
      <c r="G19437"/>
    </row>
    <row r="19438" spans="7:7">
      <c r="G19438"/>
    </row>
    <row r="19439" spans="7:7">
      <c r="G19439"/>
    </row>
    <row r="19440" spans="7:7">
      <c r="G19440"/>
    </row>
    <row r="19441" spans="7:7">
      <c r="G19441"/>
    </row>
    <row r="19442" spans="7:7">
      <c r="G19442"/>
    </row>
    <row r="19443" spans="7:7">
      <c r="G19443"/>
    </row>
    <row r="19444" spans="7:7">
      <c r="G19444"/>
    </row>
    <row r="19445" spans="7:7">
      <c r="G19445"/>
    </row>
    <row r="19446" spans="7:7">
      <c r="G19446"/>
    </row>
    <row r="19447" spans="7:7">
      <c r="G19447"/>
    </row>
    <row r="19448" spans="7:7">
      <c r="G19448"/>
    </row>
    <row r="19449" spans="7:7">
      <c r="G19449"/>
    </row>
    <row r="19450" spans="7:7">
      <c r="G19450"/>
    </row>
    <row r="19451" spans="7:7">
      <c r="G19451"/>
    </row>
    <row r="19452" spans="7:7">
      <c r="G19452"/>
    </row>
    <row r="19453" spans="7:7">
      <c r="G19453"/>
    </row>
    <row r="19454" spans="7:7">
      <c r="G19454"/>
    </row>
    <row r="19455" spans="7:7">
      <c r="G19455"/>
    </row>
    <row r="19456" spans="7:7">
      <c r="G19456"/>
    </row>
    <row r="19457" spans="7:7">
      <c r="G19457"/>
    </row>
    <row r="19458" spans="7:7">
      <c r="G19458"/>
    </row>
    <row r="19459" spans="7:7">
      <c r="G19459"/>
    </row>
    <row r="19460" spans="7:7">
      <c r="G19460"/>
    </row>
    <row r="19461" spans="7:7">
      <c r="G19461"/>
    </row>
    <row r="19462" spans="7:7">
      <c r="G19462"/>
    </row>
    <row r="19463" spans="7:7">
      <c r="G19463"/>
    </row>
    <row r="19464" spans="7:7">
      <c r="G19464"/>
    </row>
    <row r="19465" spans="7:7">
      <c r="G19465"/>
    </row>
    <row r="19466" spans="7:7">
      <c r="G19466"/>
    </row>
    <row r="19467" spans="7:7">
      <c r="G19467"/>
    </row>
    <row r="19468" spans="7:7">
      <c r="G19468"/>
    </row>
    <row r="19469" spans="7:7">
      <c r="G19469"/>
    </row>
    <row r="19470" spans="7:7">
      <c r="G19470"/>
    </row>
    <row r="19471" spans="7:7">
      <c r="G19471"/>
    </row>
    <row r="19472" spans="7:7">
      <c r="G19472"/>
    </row>
    <row r="19473" spans="7:7">
      <c r="G19473"/>
    </row>
    <row r="19474" spans="7:7">
      <c r="G19474"/>
    </row>
    <row r="19475" spans="7:7">
      <c r="G19475"/>
    </row>
    <row r="19476" spans="7:7">
      <c r="G19476"/>
    </row>
    <row r="19477" spans="7:7">
      <c r="G19477"/>
    </row>
    <row r="19478" spans="7:7">
      <c r="G19478"/>
    </row>
    <row r="19479" spans="7:7">
      <c r="G19479"/>
    </row>
    <row r="19480" spans="7:7">
      <c r="G19480"/>
    </row>
    <row r="19481" spans="7:7">
      <c r="G19481"/>
    </row>
    <row r="19482" spans="7:7">
      <c r="G19482"/>
    </row>
    <row r="19483" spans="7:7">
      <c r="G19483"/>
    </row>
    <row r="19484" spans="7:7">
      <c r="G19484"/>
    </row>
    <row r="19485" spans="7:7">
      <c r="G19485"/>
    </row>
    <row r="19486" spans="7:7">
      <c r="G19486"/>
    </row>
    <row r="19487" spans="7:7">
      <c r="G19487"/>
    </row>
    <row r="19488" spans="7:7">
      <c r="G19488"/>
    </row>
    <row r="19489" spans="7:7">
      <c r="G19489"/>
    </row>
    <row r="19490" spans="7:7">
      <c r="G19490"/>
    </row>
    <row r="19491" spans="7:7">
      <c r="G19491"/>
    </row>
    <row r="19492" spans="7:7">
      <c r="G19492"/>
    </row>
    <row r="19493" spans="7:7">
      <c r="G19493"/>
    </row>
    <row r="19494" spans="7:7">
      <c r="G19494"/>
    </row>
    <row r="19495" spans="7:7">
      <c r="G19495"/>
    </row>
    <row r="19496" spans="7:7">
      <c r="G19496"/>
    </row>
    <row r="19497" spans="7:7">
      <c r="G19497"/>
    </row>
    <row r="19498" spans="7:7">
      <c r="G19498"/>
    </row>
    <row r="19499" spans="7:7">
      <c r="G19499"/>
    </row>
    <row r="19500" spans="7:7">
      <c r="G19500"/>
    </row>
    <row r="19501" spans="7:7">
      <c r="G19501"/>
    </row>
    <row r="19502" spans="7:7">
      <c r="G19502"/>
    </row>
    <row r="19503" spans="7:7">
      <c r="G19503"/>
    </row>
    <row r="19504" spans="7:7">
      <c r="G19504"/>
    </row>
    <row r="19505" spans="7:7">
      <c r="G19505"/>
    </row>
    <row r="19506" spans="7:7">
      <c r="G19506"/>
    </row>
    <row r="19507" spans="7:7">
      <c r="G19507"/>
    </row>
    <row r="19508" spans="7:7">
      <c r="G19508"/>
    </row>
    <row r="19509" spans="7:7">
      <c r="G19509"/>
    </row>
    <row r="19510" spans="7:7">
      <c r="G19510"/>
    </row>
    <row r="19511" spans="7:7">
      <c r="G19511"/>
    </row>
    <row r="19512" spans="7:7">
      <c r="G19512"/>
    </row>
    <row r="19513" spans="7:7">
      <c r="G19513"/>
    </row>
    <row r="19514" spans="7:7">
      <c r="G19514"/>
    </row>
    <row r="19515" spans="7:7">
      <c r="G19515"/>
    </row>
    <row r="19516" spans="7:7">
      <c r="G19516"/>
    </row>
    <row r="19517" spans="7:7">
      <c r="G19517"/>
    </row>
    <row r="19518" spans="7:7">
      <c r="G19518"/>
    </row>
    <row r="19519" spans="7:7">
      <c r="G19519"/>
    </row>
    <row r="19520" spans="7:7">
      <c r="G19520"/>
    </row>
    <row r="19521" spans="7:7">
      <c r="G19521"/>
    </row>
    <row r="19522" spans="7:7">
      <c r="G19522"/>
    </row>
    <row r="19523" spans="7:7">
      <c r="G19523"/>
    </row>
    <row r="19524" spans="7:7">
      <c r="G19524"/>
    </row>
    <row r="19525" spans="7:7">
      <c r="G19525"/>
    </row>
    <row r="19526" spans="7:7">
      <c r="G19526"/>
    </row>
    <row r="19527" spans="7:7">
      <c r="G19527"/>
    </row>
    <row r="19528" spans="7:7">
      <c r="G19528"/>
    </row>
    <row r="19529" spans="7:7">
      <c r="G19529"/>
    </row>
    <row r="19530" spans="7:7">
      <c r="G19530"/>
    </row>
    <row r="19531" spans="7:7">
      <c r="G19531"/>
    </row>
    <row r="19532" spans="7:7">
      <c r="G19532"/>
    </row>
    <row r="19533" spans="7:7">
      <c r="G19533"/>
    </row>
    <row r="19534" spans="7:7">
      <c r="G19534"/>
    </row>
    <row r="19535" spans="7:7">
      <c r="G19535"/>
    </row>
    <row r="19536" spans="7:7">
      <c r="G19536"/>
    </row>
    <row r="19537" spans="7:7">
      <c r="G19537"/>
    </row>
    <row r="19538" spans="7:7">
      <c r="G19538"/>
    </row>
    <row r="19539" spans="7:7">
      <c r="G19539"/>
    </row>
    <row r="19540" spans="7:7">
      <c r="G19540"/>
    </row>
    <row r="19541" spans="7:7">
      <c r="G19541"/>
    </row>
    <row r="19542" spans="7:7">
      <c r="G19542"/>
    </row>
    <row r="19543" spans="7:7">
      <c r="G19543"/>
    </row>
    <row r="19544" spans="7:7">
      <c r="G19544"/>
    </row>
    <row r="19545" spans="7:7">
      <c r="G19545"/>
    </row>
    <row r="19546" spans="7:7">
      <c r="G19546"/>
    </row>
    <row r="19547" spans="7:7">
      <c r="G19547"/>
    </row>
    <row r="19548" spans="7:7">
      <c r="G19548"/>
    </row>
    <row r="19549" spans="7:7">
      <c r="G19549"/>
    </row>
    <row r="19550" spans="7:7">
      <c r="G19550"/>
    </row>
    <row r="19551" spans="7:7">
      <c r="G19551"/>
    </row>
    <row r="19552" spans="7:7">
      <c r="G19552"/>
    </row>
    <row r="19553" spans="7:7">
      <c r="G19553"/>
    </row>
    <row r="19554" spans="7:7">
      <c r="G19554"/>
    </row>
    <row r="19555" spans="7:7">
      <c r="G19555"/>
    </row>
    <row r="19556" spans="7:7">
      <c r="G19556"/>
    </row>
    <row r="19557" spans="7:7">
      <c r="G19557"/>
    </row>
    <row r="19558" spans="7:7">
      <c r="G19558"/>
    </row>
    <row r="19559" spans="7:7">
      <c r="G19559"/>
    </row>
    <row r="19560" spans="7:7">
      <c r="G19560"/>
    </row>
    <row r="19561" spans="7:7">
      <c r="G19561"/>
    </row>
    <row r="19562" spans="7:7">
      <c r="G19562"/>
    </row>
    <row r="19563" spans="7:7">
      <c r="G19563"/>
    </row>
    <row r="19564" spans="7:7">
      <c r="G19564"/>
    </row>
    <row r="19565" spans="7:7">
      <c r="G19565"/>
    </row>
    <row r="19566" spans="7:7">
      <c r="G19566"/>
    </row>
    <row r="19567" spans="7:7">
      <c r="G19567"/>
    </row>
    <row r="19568" spans="7:7">
      <c r="G19568"/>
    </row>
    <row r="19569" spans="7:7">
      <c r="G19569"/>
    </row>
    <row r="19570" spans="7:7">
      <c r="G19570"/>
    </row>
    <row r="19571" spans="7:7">
      <c r="G19571"/>
    </row>
    <row r="19572" spans="7:7">
      <c r="G19572"/>
    </row>
    <row r="19573" spans="7:7">
      <c r="G19573"/>
    </row>
    <row r="19574" spans="7:7">
      <c r="G19574"/>
    </row>
    <row r="19575" spans="7:7">
      <c r="G19575"/>
    </row>
    <row r="19576" spans="7:7">
      <c r="G19576"/>
    </row>
    <row r="19577" spans="7:7">
      <c r="G19577"/>
    </row>
    <row r="19578" spans="7:7">
      <c r="G19578"/>
    </row>
    <row r="19579" spans="7:7">
      <c r="G19579"/>
    </row>
    <row r="19580" spans="7:7">
      <c r="G19580"/>
    </row>
    <row r="19581" spans="7:7">
      <c r="G19581"/>
    </row>
    <row r="19582" spans="7:7">
      <c r="G19582"/>
    </row>
    <row r="19583" spans="7:7">
      <c r="G19583"/>
    </row>
    <row r="19584" spans="7:7">
      <c r="G19584"/>
    </row>
    <row r="19585" spans="7:7">
      <c r="G19585"/>
    </row>
    <row r="19586" spans="7:7">
      <c r="G19586"/>
    </row>
    <row r="19587" spans="7:7">
      <c r="G19587"/>
    </row>
    <row r="19588" spans="7:7">
      <c r="G19588"/>
    </row>
    <row r="19589" spans="7:7">
      <c r="G19589"/>
    </row>
    <row r="19590" spans="7:7">
      <c r="G19590"/>
    </row>
    <row r="19591" spans="7:7">
      <c r="G19591"/>
    </row>
    <row r="19592" spans="7:7">
      <c r="G19592"/>
    </row>
    <row r="19593" spans="7:7">
      <c r="G19593"/>
    </row>
    <row r="19594" spans="7:7">
      <c r="G19594"/>
    </row>
    <row r="19595" spans="7:7">
      <c r="G19595"/>
    </row>
    <row r="19596" spans="7:7">
      <c r="G19596"/>
    </row>
    <row r="19597" spans="7:7">
      <c r="G19597"/>
    </row>
    <row r="19598" spans="7:7">
      <c r="G19598"/>
    </row>
    <row r="19599" spans="7:7">
      <c r="G19599"/>
    </row>
    <row r="19600" spans="7:7">
      <c r="G19600"/>
    </row>
    <row r="19601" spans="7:7">
      <c r="G19601"/>
    </row>
    <row r="19602" spans="7:7">
      <c r="G19602"/>
    </row>
    <row r="19603" spans="7:7">
      <c r="G19603"/>
    </row>
    <row r="19604" spans="7:7">
      <c r="G19604"/>
    </row>
    <row r="19605" spans="7:7">
      <c r="G19605"/>
    </row>
    <row r="19606" spans="7:7">
      <c r="G19606"/>
    </row>
    <row r="19607" spans="7:7">
      <c r="G19607"/>
    </row>
    <row r="19608" spans="7:7">
      <c r="G19608"/>
    </row>
    <row r="19609" spans="7:7">
      <c r="G19609"/>
    </row>
    <row r="19610" spans="7:7">
      <c r="G19610"/>
    </row>
    <row r="19611" spans="7:7">
      <c r="G19611"/>
    </row>
    <row r="19612" spans="7:7">
      <c r="G19612"/>
    </row>
    <row r="19613" spans="7:7">
      <c r="G19613"/>
    </row>
    <row r="19614" spans="7:7">
      <c r="G19614"/>
    </row>
    <row r="19615" spans="7:7">
      <c r="G19615"/>
    </row>
    <row r="19616" spans="7:7">
      <c r="G19616"/>
    </row>
    <row r="19617" spans="7:7">
      <c r="G19617"/>
    </row>
    <row r="19618" spans="7:7">
      <c r="G19618"/>
    </row>
    <row r="19619" spans="7:7">
      <c r="G19619"/>
    </row>
    <row r="19620" spans="7:7">
      <c r="G19620"/>
    </row>
    <row r="19621" spans="7:7">
      <c r="G19621"/>
    </row>
    <row r="19622" spans="7:7">
      <c r="G19622"/>
    </row>
    <row r="19623" spans="7:7">
      <c r="G19623"/>
    </row>
    <row r="19624" spans="7:7">
      <c r="G19624"/>
    </row>
    <row r="19625" spans="7:7">
      <c r="G19625"/>
    </row>
    <row r="19626" spans="7:7">
      <c r="G19626"/>
    </row>
    <row r="19627" spans="7:7">
      <c r="G19627"/>
    </row>
    <row r="19628" spans="7:7">
      <c r="G19628"/>
    </row>
    <row r="19629" spans="7:7">
      <c r="G19629"/>
    </row>
    <row r="19630" spans="7:7">
      <c r="G19630"/>
    </row>
    <row r="19631" spans="7:7">
      <c r="G19631"/>
    </row>
    <row r="19632" spans="7:7">
      <c r="G19632"/>
    </row>
    <row r="19633" spans="7:7">
      <c r="G19633"/>
    </row>
    <row r="19634" spans="7:7">
      <c r="G19634"/>
    </row>
    <row r="19635" spans="7:7">
      <c r="G19635"/>
    </row>
    <row r="19636" spans="7:7">
      <c r="G19636"/>
    </row>
    <row r="19637" spans="7:7">
      <c r="G19637"/>
    </row>
    <row r="19638" spans="7:7">
      <c r="G19638"/>
    </row>
    <row r="19639" spans="7:7">
      <c r="G19639"/>
    </row>
    <row r="19640" spans="7:7">
      <c r="G19640"/>
    </row>
    <row r="19641" spans="7:7">
      <c r="G19641"/>
    </row>
    <row r="19642" spans="7:7">
      <c r="G19642"/>
    </row>
    <row r="19643" spans="7:7">
      <c r="G19643"/>
    </row>
    <row r="19644" spans="7:7">
      <c r="G19644"/>
    </row>
    <row r="19645" spans="7:7">
      <c r="G19645"/>
    </row>
    <row r="19646" spans="7:7">
      <c r="G19646"/>
    </row>
    <row r="19647" spans="7:7">
      <c r="G19647"/>
    </row>
    <row r="19648" spans="7:7">
      <c r="G19648"/>
    </row>
    <row r="19649" spans="7:7">
      <c r="G19649"/>
    </row>
    <row r="19650" spans="7:7">
      <c r="G19650"/>
    </row>
    <row r="19651" spans="7:7">
      <c r="G19651"/>
    </row>
    <row r="19652" spans="7:7">
      <c r="G19652"/>
    </row>
    <row r="19653" spans="7:7">
      <c r="G19653"/>
    </row>
    <row r="19654" spans="7:7">
      <c r="G19654"/>
    </row>
    <row r="19655" spans="7:7">
      <c r="G19655"/>
    </row>
    <row r="19656" spans="7:7">
      <c r="G19656"/>
    </row>
    <row r="19657" spans="7:7">
      <c r="G19657"/>
    </row>
    <row r="19658" spans="7:7">
      <c r="G19658"/>
    </row>
    <row r="19659" spans="7:7">
      <c r="G19659"/>
    </row>
    <row r="19660" spans="7:7">
      <c r="G19660"/>
    </row>
    <row r="19661" spans="7:7">
      <c r="G19661"/>
    </row>
    <row r="19662" spans="7:7">
      <c r="G19662"/>
    </row>
    <row r="19663" spans="7:7">
      <c r="G19663"/>
    </row>
    <row r="19664" spans="7:7">
      <c r="G19664"/>
    </row>
    <row r="19665" spans="7:7">
      <c r="G19665"/>
    </row>
    <row r="19666" spans="7:7">
      <c r="G19666"/>
    </row>
    <row r="19667" spans="7:7">
      <c r="G19667"/>
    </row>
    <row r="19668" spans="7:7">
      <c r="G19668"/>
    </row>
    <row r="19669" spans="7:7">
      <c r="G19669"/>
    </row>
    <row r="19670" spans="7:7">
      <c r="G19670"/>
    </row>
    <row r="19671" spans="7:7">
      <c r="G19671"/>
    </row>
    <row r="19672" spans="7:7">
      <c r="G19672"/>
    </row>
    <row r="19673" spans="7:7">
      <c r="G19673"/>
    </row>
    <row r="19674" spans="7:7">
      <c r="G19674"/>
    </row>
    <row r="19675" spans="7:7">
      <c r="G19675"/>
    </row>
    <row r="19676" spans="7:7">
      <c r="G19676"/>
    </row>
    <row r="19677" spans="7:7">
      <c r="G19677"/>
    </row>
    <row r="19678" spans="7:7">
      <c r="G19678"/>
    </row>
    <row r="19679" spans="7:7">
      <c r="G19679"/>
    </row>
    <row r="19680" spans="7:7">
      <c r="G19680"/>
    </row>
    <row r="19681" spans="7:7">
      <c r="G19681"/>
    </row>
    <row r="19682" spans="7:7">
      <c r="G19682"/>
    </row>
    <row r="19683" spans="7:7">
      <c r="G19683"/>
    </row>
    <row r="19684" spans="7:7">
      <c r="G19684"/>
    </row>
    <row r="19685" spans="7:7">
      <c r="G19685"/>
    </row>
    <row r="19686" spans="7:7">
      <c r="G19686"/>
    </row>
    <row r="19687" spans="7:7">
      <c r="G19687"/>
    </row>
    <row r="19688" spans="7:7">
      <c r="G19688"/>
    </row>
    <row r="19689" spans="7:7">
      <c r="G19689"/>
    </row>
    <row r="19690" spans="7:7">
      <c r="G19690"/>
    </row>
    <row r="19691" spans="7:7">
      <c r="G19691"/>
    </row>
    <row r="19692" spans="7:7">
      <c r="G19692"/>
    </row>
    <row r="19693" spans="7:7">
      <c r="G19693"/>
    </row>
    <row r="19694" spans="7:7">
      <c r="G19694"/>
    </row>
    <row r="19695" spans="7:7">
      <c r="G19695"/>
    </row>
    <row r="19696" spans="7:7">
      <c r="G19696"/>
    </row>
    <row r="19697" spans="7:7">
      <c r="G19697"/>
    </row>
    <row r="19698" spans="7:7">
      <c r="G19698"/>
    </row>
    <row r="19699" spans="7:7">
      <c r="G19699"/>
    </row>
    <row r="19700" spans="7:7">
      <c r="G19700"/>
    </row>
    <row r="19701" spans="7:7">
      <c r="G19701"/>
    </row>
    <row r="19702" spans="7:7">
      <c r="G19702"/>
    </row>
    <row r="19703" spans="7:7">
      <c r="G19703"/>
    </row>
    <row r="19704" spans="7:7">
      <c r="G19704"/>
    </row>
    <row r="19705" spans="7:7">
      <c r="G19705"/>
    </row>
    <row r="19706" spans="7:7">
      <c r="G19706"/>
    </row>
    <row r="19707" spans="7:7">
      <c r="G19707"/>
    </row>
    <row r="19708" spans="7:7">
      <c r="G19708"/>
    </row>
    <row r="19709" spans="7:7">
      <c r="G19709"/>
    </row>
    <row r="19710" spans="7:7">
      <c r="G19710"/>
    </row>
    <row r="19711" spans="7:7">
      <c r="G19711"/>
    </row>
    <row r="19712" spans="7:7">
      <c r="G19712"/>
    </row>
    <row r="19713" spans="7:7">
      <c r="G19713"/>
    </row>
    <row r="19714" spans="7:7">
      <c r="G19714"/>
    </row>
    <row r="19715" spans="7:7">
      <c r="G19715"/>
    </row>
    <row r="19716" spans="7:7">
      <c r="G19716"/>
    </row>
    <row r="19717" spans="7:7">
      <c r="G19717"/>
    </row>
    <row r="19718" spans="7:7">
      <c r="G19718"/>
    </row>
    <row r="19719" spans="7:7">
      <c r="G19719"/>
    </row>
    <row r="19720" spans="7:7">
      <c r="G19720"/>
    </row>
    <row r="19721" spans="7:7">
      <c r="G19721"/>
    </row>
    <row r="19722" spans="7:7">
      <c r="G19722"/>
    </row>
    <row r="19723" spans="7:7">
      <c r="G19723"/>
    </row>
    <row r="19724" spans="7:7">
      <c r="G19724"/>
    </row>
    <row r="19725" spans="7:7">
      <c r="G19725"/>
    </row>
    <row r="19726" spans="7:7">
      <c r="G19726"/>
    </row>
    <row r="19727" spans="7:7">
      <c r="G19727"/>
    </row>
    <row r="19728" spans="7:7">
      <c r="G19728"/>
    </row>
    <row r="19729" spans="7:7">
      <c r="G19729"/>
    </row>
    <row r="19730" spans="7:7">
      <c r="G19730"/>
    </row>
    <row r="19731" spans="7:7">
      <c r="G19731"/>
    </row>
    <row r="19732" spans="7:7">
      <c r="G19732"/>
    </row>
    <row r="19733" spans="7:7">
      <c r="G19733"/>
    </row>
    <row r="19734" spans="7:7">
      <c r="G19734"/>
    </row>
    <row r="19735" spans="7:7">
      <c r="G19735"/>
    </row>
    <row r="19736" spans="7:7">
      <c r="G19736"/>
    </row>
    <row r="19737" spans="7:7">
      <c r="G19737"/>
    </row>
    <row r="19738" spans="7:7">
      <c r="G19738"/>
    </row>
    <row r="19739" spans="7:7">
      <c r="G19739"/>
    </row>
    <row r="19740" spans="7:7">
      <c r="G19740"/>
    </row>
    <row r="19741" spans="7:7">
      <c r="G19741"/>
    </row>
    <row r="19742" spans="7:7">
      <c r="G19742"/>
    </row>
    <row r="19743" spans="7:7">
      <c r="G19743"/>
    </row>
    <row r="19744" spans="7:7">
      <c r="G19744"/>
    </row>
    <row r="19745" spans="7:7">
      <c r="G19745"/>
    </row>
    <row r="19746" spans="7:7">
      <c r="G19746"/>
    </row>
    <row r="19747" spans="7:7">
      <c r="G19747"/>
    </row>
    <row r="19748" spans="7:7">
      <c r="G19748"/>
    </row>
    <row r="19749" spans="7:7">
      <c r="G19749"/>
    </row>
    <row r="19750" spans="7:7">
      <c r="G19750"/>
    </row>
    <row r="19751" spans="7:7">
      <c r="G19751"/>
    </row>
    <row r="19752" spans="7:7">
      <c r="G19752"/>
    </row>
    <row r="19753" spans="7:7">
      <c r="G19753"/>
    </row>
    <row r="19754" spans="7:7">
      <c r="G19754"/>
    </row>
    <row r="19755" spans="7:7">
      <c r="G19755"/>
    </row>
    <row r="19756" spans="7:7">
      <c r="G19756"/>
    </row>
    <row r="19757" spans="7:7">
      <c r="G19757"/>
    </row>
    <row r="19758" spans="7:7">
      <c r="G19758"/>
    </row>
    <row r="19759" spans="7:7">
      <c r="G19759"/>
    </row>
    <row r="19760" spans="7:7">
      <c r="G19760"/>
    </row>
    <row r="19761" spans="7:7">
      <c r="G19761"/>
    </row>
    <row r="19762" spans="7:7">
      <c r="G19762"/>
    </row>
    <row r="19763" spans="7:7">
      <c r="G19763"/>
    </row>
    <row r="19764" spans="7:7">
      <c r="G19764"/>
    </row>
    <row r="19765" spans="7:7">
      <c r="G19765"/>
    </row>
    <row r="19766" spans="7:7">
      <c r="G19766"/>
    </row>
    <row r="19767" spans="7:7">
      <c r="G19767"/>
    </row>
    <row r="19768" spans="7:7">
      <c r="G19768"/>
    </row>
    <row r="19769" spans="7:7">
      <c r="G19769"/>
    </row>
    <row r="19770" spans="7:7">
      <c r="G19770"/>
    </row>
    <row r="19771" spans="7:7">
      <c r="G19771"/>
    </row>
    <row r="19772" spans="7:7">
      <c r="G19772"/>
    </row>
    <row r="19773" spans="7:7">
      <c r="G19773"/>
    </row>
    <row r="19774" spans="7:7">
      <c r="G19774"/>
    </row>
    <row r="19775" spans="7:7">
      <c r="G19775"/>
    </row>
    <row r="19776" spans="7:7">
      <c r="G19776"/>
    </row>
    <row r="19777" spans="7:7">
      <c r="G19777"/>
    </row>
    <row r="19778" spans="7:7">
      <c r="G19778"/>
    </row>
    <row r="19779" spans="7:7">
      <c r="G19779"/>
    </row>
    <row r="19780" spans="7:7">
      <c r="G19780"/>
    </row>
    <row r="19781" spans="7:7">
      <c r="G19781"/>
    </row>
    <row r="19782" spans="7:7">
      <c r="G19782"/>
    </row>
    <row r="19783" spans="7:7">
      <c r="G19783"/>
    </row>
    <row r="19784" spans="7:7">
      <c r="G19784"/>
    </row>
    <row r="19785" spans="7:7">
      <c r="G19785"/>
    </row>
    <row r="19786" spans="7:7">
      <c r="G19786"/>
    </row>
    <row r="19787" spans="7:7">
      <c r="G19787"/>
    </row>
    <row r="19788" spans="7:7">
      <c r="G19788"/>
    </row>
    <row r="19789" spans="7:7">
      <c r="G19789"/>
    </row>
    <row r="19790" spans="7:7">
      <c r="G19790"/>
    </row>
    <row r="19791" spans="7:7">
      <c r="G19791"/>
    </row>
    <row r="19792" spans="7:7">
      <c r="G19792"/>
    </row>
    <row r="19793" spans="7:7">
      <c r="G19793"/>
    </row>
    <row r="19794" spans="7:7">
      <c r="G19794"/>
    </row>
    <row r="19795" spans="7:7">
      <c r="G19795"/>
    </row>
    <row r="19796" spans="7:7">
      <c r="G19796"/>
    </row>
    <row r="19797" spans="7:7">
      <c r="G19797"/>
    </row>
    <row r="19798" spans="7:7">
      <c r="G19798"/>
    </row>
    <row r="19799" spans="7:7">
      <c r="G19799"/>
    </row>
    <row r="19800" spans="7:7">
      <c r="G19800"/>
    </row>
    <row r="19801" spans="7:7">
      <c r="G19801"/>
    </row>
    <row r="19802" spans="7:7">
      <c r="G19802"/>
    </row>
    <row r="19803" spans="7:7">
      <c r="G19803"/>
    </row>
    <row r="19804" spans="7:7">
      <c r="G19804"/>
    </row>
    <row r="19805" spans="7:7">
      <c r="G19805"/>
    </row>
    <row r="19806" spans="7:7">
      <c r="G19806"/>
    </row>
    <row r="19807" spans="7:7">
      <c r="G19807"/>
    </row>
    <row r="19808" spans="7:7">
      <c r="G19808"/>
    </row>
    <row r="19809" spans="7:7">
      <c r="G19809"/>
    </row>
    <row r="19810" spans="7:7">
      <c r="G19810"/>
    </row>
    <row r="19811" spans="7:7">
      <c r="G19811"/>
    </row>
    <row r="19812" spans="7:7">
      <c r="G19812"/>
    </row>
    <row r="19813" spans="7:7">
      <c r="G19813"/>
    </row>
    <row r="19814" spans="7:7">
      <c r="G19814"/>
    </row>
    <row r="19815" spans="7:7">
      <c r="G19815"/>
    </row>
    <row r="19816" spans="7:7">
      <c r="G19816"/>
    </row>
    <row r="19817" spans="7:7">
      <c r="G19817"/>
    </row>
    <row r="19818" spans="7:7">
      <c r="G19818"/>
    </row>
    <row r="19819" spans="7:7">
      <c r="G19819"/>
    </row>
    <row r="19820" spans="7:7">
      <c r="G19820"/>
    </row>
    <row r="19821" spans="7:7">
      <c r="G19821"/>
    </row>
    <row r="19822" spans="7:7">
      <c r="G19822"/>
    </row>
    <row r="19823" spans="7:7">
      <c r="G19823"/>
    </row>
    <row r="19824" spans="7:7">
      <c r="G19824"/>
    </row>
    <row r="19825" spans="7:7">
      <c r="G19825"/>
    </row>
    <row r="19826" spans="7:7">
      <c r="G19826"/>
    </row>
    <row r="19827" spans="7:7">
      <c r="G19827"/>
    </row>
    <row r="19828" spans="7:7">
      <c r="G19828"/>
    </row>
    <row r="19829" spans="7:7">
      <c r="G19829"/>
    </row>
    <row r="19830" spans="7:7">
      <c r="G19830"/>
    </row>
    <row r="19831" spans="7:7">
      <c r="G19831"/>
    </row>
    <row r="19832" spans="7:7">
      <c r="G19832"/>
    </row>
    <row r="19833" spans="7:7">
      <c r="G19833"/>
    </row>
    <row r="19834" spans="7:7">
      <c r="G19834"/>
    </row>
    <row r="19835" spans="7:7">
      <c r="G19835"/>
    </row>
    <row r="19836" spans="7:7">
      <c r="G19836"/>
    </row>
    <row r="19837" spans="7:7">
      <c r="G19837"/>
    </row>
    <row r="19838" spans="7:7">
      <c r="G19838"/>
    </row>
    <row r="19839" spans="7:7">
      <c r="G19839"/>
    </row>
    <row r="19840" spans="7:7">
      <c r="G19840"/>
    </row>
    <row r="19841" spans="7:7">
      <c r="G19841"/>
    </row>
    <row r="19842" spans="7:7">
      <c r="G19842"/>
    </row>
    <row r="19843" spans="7:7">
      <c r="G19843"/>
    </row>
    <row r="19844" spans="7:7">
      <c r="G19844"/>
    </row>
    <row r="19845" spans="7:7">
      <c r="G19845"/>
    </row>
    <row r="19846" spans="7:7">
      <c r="G19846"/>
    </row>
    <row r="19847" spans="7:7">
      <c r="G19847"/>
    </row>
    <row r="19848" spans="7:7">
      <c r="G19848"/>
    </row>
    <row r="19849" spans="7:7">
      <c r="G19849"/>
    </row>
    <row r="19850" spans="7:7">
      <c r="G19850"/>
    </row>
    <row r="19851" spans="7:7">
      <c r="G19851"/>
    </row>
    <row r="19852" spans="7:7">
      <c r="G19852"/>
    </row>
    <row r="19853" spans="7:7">
      <c r="G19853"/>
    </row>
    <row r="19854" spans="7:7">
      <c r="G19854"/>
    </row>
    <row r="19855" spans="7:7">
      <c r="G19855"/>
    </row>
    <row r="19856" spans="7:7">
      <c r="G19856"/>
    </row>
    <row r="19857" spans="7:7">
      <c r="G19857"/>
    </row>
    <row r="19858" spans="7:7">
      <c r="G19858"/>
    </row>
    <row r="19859" spans="7:7">
      <c r="G19859"/>
    </row>
    <row r="19860" spans="7:7">
      <c r="G19860"/>
    </row>
    <row r="19861" spans="7:7">
      <c r="G19861"/>
    </row>
    <row r="19862" spans="7:7">
      <c r="G19862"/>
    </row>
    <row r="19863" spans="7:7">
      <c r="G19863"/>
    </row>
    <row r="19864" spans="7:7">
      <c r="G19864"/>
    </row>
    <row r="19865" spans="7:7">
      <c r="G19865"/>
    </row>
    <row r="19866" spans="7:7">
      <c r="G19866"/>
    </row>
    <row r="19867" spans="7:7">
      <c r="G19867"/>
    </row>
    <row r="19868" spans="7:7">
      <c r="G19868"/>
    </row>
    <row r="19869" spans="7:7">
      <c r="G19869"/>
    </row>
    <row r="19870" spans="7:7">
      <c r="G19870"/>
    </row>
    <row r="19871" spans="7:7">
      <c r="G19871"/>
    </row>
    <row r="19872" spans="7:7">
      <c r="G19872"/>
    </row>
    <row r="19873" spans="7:7">
      <c r="G19873"/>
    </row>
    <row r="19874" spans="7:7">
      <c r="G19874"/>
    </row>
    <row r="19875" spans="7:7">
      <c r="G19875"/>
    </row>
    <row r="19876" spans="7:7">
      <c r="G19876"/>
    </row>
    <row r="19877" spans="7:7">
      <c r="G19877"/>
    </row>
    <row r="19878" spans="7:7">
      <c r="G19878"/>
    </row>
    <row r="19879" spans="7:7">
      <c r="G19879"/>
    </row>
    <row r="19880" spans="7:7">
      <c r="G19880"/>
    </row>
    <row r="19881" spans="7:7">
      <c r="G19881"/>
    </row>
    <row r="19882" spans="7:7">
      <c r="G19882"/>
    </row>
    <row r="19883" spans="7:7">
      <c r="G19883"/>
    </row>
    <row r="19884" spans="7:7">
      <c r="G19884"/>
    </row>
    <row r="19885" spans="7:7">
      <c r="G19885"/>
    </row>
    <row r="19886" spans="7:7">
      <c r="G19886"/>
    </row>
    <row r="19887" spans="7:7">
      <c r="G19887"/>
    </row>
    <row r="19888" spans="7:7">
      <c r="G19888"/>
    </row>
    <row r="19889" spans="7:7">
      <c r="G19889"/>
    </row>
    <row r="19890" spans="7:7">
      <c r="G19890"/>
    </row>
    <row r="19891" spans="7:7">
      <c r="G19891"/>
    </row>
    <row r="19892" spans="7:7">
      <c r="G19892"/>
    </row>
    <row r="19893" spans="7:7">
      <c r="G19893"/>
    </row>
    <row r="19894" spans="7:7">
      <c r="G19894"/>
    </row>
    <row r="19895" spans="7:7">
      <c r="G19895"/>
    </row>
    <row r="19896" spans="7:7">
      <c r="G19896"/>
    </row>
    <row r="19897" spans="7:7">
      <c r="G19897"/>
    </row>
    <row r="19898" spans="7:7">
      <c r="G19898"/>
    </row>
    <row r="19899" spans="7:7">
      <c r="G19899"/>
    </row>
    <row r="19900" spans="7:7">
      <c r="G19900"/>
    </row>
    <row r="19901" spans="7:7">
      <c r="G19901"/>
    </row>
    <row r="19902" spans="7:7">
      <c r="G19902"/>
    </row>
    <row r="19903" spans="7:7">
      <c r="G19903"/>
    </row>
    <row r="19904" spans="7:7">
      <c r="G19904"/>
    </row>
    <row r="19905" spans="7:7">
      <c r="G19905"/>
    </row>
    <row r="19906" spans="7:7">
      <c r="G19906"/>
    </row>
    <row r="19907" spans="7:7">
      <c r="G19907"/>
    </row>
    <row r="19908" spans="7:7">
      <c r="G19908"/>
    </row>
    <row r="19909" spans="7:7">
      <c r="G19909"/>
    </row>
    <row r="19910" spans="7:7">
      <c r="G19910"/>
    </row>
    <row r="19911" spans="7:7">
      <c r="G19911"/>
    </row>
    <row r="19912" spans="7:7">
      <c r="G19912"/>
    </row>
    <row r="19913" spans="7:7">
      <c r="G19913"/>
    </row>
    <row r="19914" spans="7:7">
      <c r="G19914"/>
    </row>
    <row r="19915" spans="7:7">
      <c r="G19915"/>
    </row>
    <row r="19916" spans="7:7">
      <c r="G19916"/>
    </row>
    <row r="19917" spans="7:7">
      <c r="G19917"/>
    </row>
    <row r="19918" spans="7:7">
      <c r="G19918"/>
    </row>
    <row r="19919" spans="7:7">
      <c r="G19919"/>
    </row>
    <row r="19920" spans="7:7">
      <c r="G19920"/>
    </row>
    <row r="19921" spans="7:7">
      <c r="G19921"/>
    </row>
    <row r="19922" spans="7:7">
      <c r="G19922"/>
    </row>
    <row r="19923" spans="7:7">
      <c r="G19923"/>
    </row>
    <row r="19924" spans="7:7">
      <c r="G19924"/>
    </row>
    <row r="19925" spans="7:7">
      <c r="G19925"/>
    </row>
    <row r="19926" spans="7:7">
      <c r="G19926"/>
    </row>
    <row r="19927" spans="7:7">
      <c r="G19927"/>
    </row>
    <row r="19928" spans="7:7">
      <c r="G19928"/>
    </row>
    <row r="19929" spans="7:7">
      <c r="G19929"/>
    </row>
    <row r="19930" spans="7:7">
      <c r="G19930"/>
    </row>
    <row r="19931" spans="7:7">
      <c r="G19931"/>
    </row>
    <row r="19932" spans="7:7">
      <c r="G19932"/>
    </row>
    <row r="19933" spans="7:7">
      <c r="G19933"/>
    </row>
    <row r="19934" spans="7:7">
      <c r="G19934"/>
    </row>
    <row r="19935" spans="7:7">
      <c r="G19935"/>
    </row>
    <row r="19936" spans="7:7">
      <c r="G19936"/>
    </row>
    <row r="19937" spans="7:7">
      <c r="G19937"/>
    </row>
    <row r="19938" spans="7:7">
      <c r="G19938"/>
    </row>
    <row r="19939" spans="7:7">
      <c r="G19939"/>
    </row>
    <row r="19940" spans="7:7">
      <c r="G19940"/>
    </row>
    <row r="19941" spans="7:7">
      <c r="G19941"/>
    </row>
    <row r="19942" spans="7:7">
      <c r="G19942"/>
    </row>
    <row r="19943" spans="7:7">
      <c r="G19943"/>
    </row>
    <row r="19944" spans="7:7">
      <c r="G19944"/>
    </row>
    <row r="19945" spans="7:7">
      <c r="G19945"/>
    </row>
    <row r="19946" spans="7:7">
      <c r="G19946"/>
    </row>
    <row r="19947" spans="7:7">
      <c r="G19947"/>
    </row>
    <row r="19948" spans="7:7">
      <c r="G19948"/>
    </row>
    <row r="19949" spans="7:7">
      <c r="G19949"/>
    </row>
    <row r="19950" spans="7:7">
      <c r="G19950"/>
    </row>
    <row r="19951" spans="7:7">
      <c r="G19951"/>
    </row>
    <row r="19952" spans="7:7">
      <c r="G19952"/>
    </row>
    <row r="19953" spans="7:7">
      <c r="G19953"/>
    </row>
    <row r="19954" spans="7:7">
      <c r="G19954"/>
    </row>
    <row r="19955" spans="7:7">
      <c r="G19955"/>
    </row>
    <row r="19956" spans="7:7">
      <c r="G19956"/>
    </row>
    <row r="19957" spans="7:7">
      <c r="G19957"/>
    </row>
    <row r="19958" spans="7:7">
      <c r="G19958"/>
    </row>
    <row r="19959" spans="7:7">
      <c r="G19959"/>
    </row>
    <row r="19960" spans="7:7">
      <c r="G19960"/>
    </row>
    <row r="19961" spans="7:7">
      <c r="G19961"/>
    </row>
    <row r="19962" spans="7:7">
      <c r="G19962"/>
    </row>
    <row r="19963" spans="7:7">
      <c r="G19963"/>
    </row>
    <row r="19964" spans="7:7">
      <c r="G19964"/>
    </row>
    <row r="19965" spans="7:7">
      <c r="G19965"/>
    </row>
    <row r="19966" spans="7:7">
      <c r="G19966"/>
    </row>
    <row r="19967" spans="7:7">
      <c r="G19967"/>
    </row>
    <row r="19968" spans="7:7">
      <c r="G19968"/>
    </row>
    <row r="19969" spans="7:7">
      <c r="G19969"/>
    </row>
    <row r="19970" spans="7:7">
      <c r="G19970"/>
    </row>
    <row r="19971" spans="7:7">
      <c r="G19971"/>
    </row>
    <row r="19972" spans="7:7">
      <c r="G19972"/>
    </row>
    <row r="19973" spans="7:7">
      <c r="G19973"/>
    </row>
    <row r="19974" spans="7:7">
      <c r="G19974"/>
    </row>
    <row r="19975" spans="7:7">
      <c r="G19975"/>
    </row>
    <row r="19976" spans="7:7">
      <c r="G19976"/>
    </row>
    <row r="19977" spans="7:7">
      <c r="G19977"/>
    </row>
    <row r="19978" spans="7:7">
      <c r="G19978"/>
    </row>
    <row r="19979" spans="7:7">
      <c r="G19979"/>
    </row>
    <row r="19980" spans="7:7">
      <c r="G19980"/>
    </row>
    <row r="19981" spans="7:7">
      <c r="G19981"/>
    </row>
    <row r="19982" spans="7:7">
      <c r="G19982"/>
    </row>
    <row r="19983" spans="7:7">
      <c r="G19983"/>
    </row>
    <row r="19984" spans="7:7">
      <c r="G19984"/>
    </row>
    <row r="19985" spans="7:7">
      <c r="G19985"/>
    </row>
    <row r="19986" spans="7:7">
      <c r="G19986"/>
    </row>
    <row r="19987" spans="7:7">
      <c r="G19987"/>
    </row>
    <row r="19988" spans="7:7">
      <c r="G19988"/>
    </row>
    <row r="19989" spans="7:7">
      <c r="G19989"/>
    </row>
    <row r="19990" spans="7:7">
      <c r="G19990"/>
    </row>
    <row r="19991" spans="7:7">
      <c r="G19991"/>
    </row>
    <row r="19992" spans="7:7">
      <c r="G19992"/>
    </row>
    <row r="19993" spans="7:7">
      <c r="G19993"/>
    </row>
    <row r="19994" spans="7:7">
      <c r="G19994"/>
    </row>
    <row r="19995" spans="7:7">
      <c r="G19995"/>
    </row>
    <row r="19996" spans="7:7">
      <c r="G19996"/>
    </row>
    <row r="19997" spans="7:7">
      <c r="G19997"/>
    </row>
    <row r="19998" spans="7:7">
      <c r="G19998"/>
    </row>
    <row r="19999" spans="7:7">
      <c r="G19999"/>
    </row>
    <row r="20000" spans="7:7">
      <c r="G20000"/>
    </row>
  </sheetData>
  <sheetProtection algorithmName="SHA-512" hashValue="qWSKDNx01grzjoHU0B82vElRlQrxp7xCJRFGqFesitD6g5GQJsZfy52/MRg1QS37QwR7UDYx4/Rht6XP+XaPzg==" saltValue="dfDYfKzo4fNBslKfAZ0TEg==" spinCount="100000" sheet="1" objects="1" scenarios="1"/>
  <phoneticPr fontId="46"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149EA-5972-454B-8409-C280AD7A5B5A}">
  <sheetPr codeName="Sheet2"/>
  <dimension ref="A1:L56"/>
  <sheetViews>
    <sheetView showGridLines="0" tabSelected="1" zoomScaleNormal="100" zoomScaleSheetLayoutView="100" workbookViewId="0">
      <selection activeCell="J9" sqref="J9"/>
    </sheetView>
  </sheetViews>
  <sheetFormatPr defaultColWidth="8.625" defaultRowHeight="12"/>
  <cols>
    <col min="1" max="1" width="1.875" style="53" customWidth="1"/>
    <col min="2" max="2" width="25.75" style="77" customWidth="1"/>
    <col min="3" max="3" width="21.25" style="77" customWidth="1"/>
    <col min="4" max="4" width="15.625" style="77" bestFit="1" customWidth="1"/>
    <col min="5" max="5" width="1.75" style="53" customWidth="1"/>
    <col min="6" max="6" width="9.25" style="53" customWidth="1"/>
    <col min="7" max="7" width="1.75" style="53" customWidth="1"/>
    <col min="8" max="8" width="3.875" style="230" bestFit="1" customWidth="1"/>
    <col min="9" max="9" width="7.625" style="230" bestFit="1" customWidth="1"/>
    <col min="10" max="10" width="16.75" style="53" customWidth="1"/>
    <col min="11" max="11" width="79.875" style="53" customWidth="1"/>
    <col min="12" max="12" width="2.5" style="53" customWidth="1"/>
    <col min="13" max="14" width="8.625" style="53"/>
    <col min="15" max="15" width="11.5" style="53" bestFit="1" customWidth="1"/>
    <col min="16" max="16" width="9.5" style="53" bestFit="1" customWidth="1"/>
    <col min="17" max="259" width="8.625" style="53"/>
    <col min="260" max="260" width="5.625" style="53" customWidth="1"/>
    <col min="261" max="261" width="10.625" style="53" customWidth="1"/>
    <col min="262" max="262" width="45.625" style="53" customWidth="1"/>
    <col min="263" max="263" width="48.625" style="53" customWidth="1"/>
    <col min="264" max="266" width="5.625" style="53" customWidth="1"/>
    <col min="267" max="267" width="21.625" style="53" customWidth="1"/>
    <col min="268" max="268" width="22.625" style="53" customWidth="1"/>
    <col min="269" max="515" width="8.625" style="53"/>
    <col min="516" max="516" width="5.625" style="53" customWidth="1"/>
    <col min="517" max="517" width="10.625" style="53" customWidth="1"/>
    <col min="518" max="518" width="45.625" style="53" customWidth="1"/>
    <col min="519" max="519" width="48.625" style="53" customWidth="1"/>
    <col min="520" max="522" width="5.625" style="53" customWidth="1"/>
    <col min="523" max="523" width="21.625" style="53" customWidth="1"/>
    <col min="524" max="524" width="22.625" style="53" customWidth="1"/>
    <col min="525" max="771" width="8.625" style="53"/>
    <col min="772" max="772" width="5.625" style="53" customWidth="1"/>
    <col min="773" max="773" width="10.625" style="53" customWidth="1"/>
    <col min="774" max="774" width="45.625" style="53" customWidth="1"/>
    <col min="775" max="775" width="48.625" style="53" customWidth="1"/>
    <col min="776" max="778" width="5.625" style="53" customWidth="1"/>
    <col min="779" max="779" width="21.625" style="53" customWidth="1"/>
    <col min="780" max="780" width="22.625" style="53" customWidth="1"/>
    <col min="781" max="1027" width="8.625" style="53"/>
    <col min="1028" max="1028" width="5.625" style="53" customWidth="1"/>
    <col min="1029" max="1029" width="10.625" style="53" customWidth="1"/>
    <col min="1030" max="1030" width="45.625" style="53" customWidth="1"/>
    <col min="1031" max="1031" width="48.625" style="53" customWidth="1"/>
    <col min="1032" max="1034" width="5.625" style="53" customWidth="1"/>
    <col min="1035" max="1035" width="21.625" style="53" customWidth="1"/>
    <col min="1036" max="1036" width="22.625" style="53" customWidth="1"/>
    <col min="1037" max="1283" width="8.625" style="53"/>
    <col min="1284" max="1284" width="5.625" style="53" customWidth="1"/>
    <col min="1285" max="1285" width="10.625" style="53" customWidth="1"/>
    <col min="1286" max="1286" width="45.625" style="53" customWidth="1"/>
    <col min="1287" max="1287" width="48.625" style="53" customWidth="1"/>
    <col min="1288" max="1290" width="5.625" style="53" customWidth="1"/>
    <col min="1291" max="1291" width="21.625" style="53" customWidth="1"/>
    <col min="1292" max="1292" width="22.625" style="53" customWidth="1"/>
    <col min="1293" max="1539" width="8.625" style="53"/>
    <col min="1540" max="1540" width="5.625" style="53" customWidth="1"/>
    <col min="1541" max="1541" width="10.625" style="53" customWidth="1"/>
    <col min="1542" max="1542" width="45.625" style="53" customWidth="1"/>
    <col min="1543" max="1543" width="48.625" style="53" customWidth="1"/>
    <col min="1544" max="1546" width="5.625" style="53" customWidth="1"/>
    <col min="1547" max="1547" width="21.625" style="53" customWidth="1"/>
    <col min="1548" max="1548" width="22.625" style="53" customWidth="1"/>
    <col min="1549" max="1795" width="8.625" style="53"/>
    <col min="1796" max="1796" width="5.625" style="53" customWidth="1"/>
    <col min="1797" max="1797" width="10.625" style="53" customWidth="1"/>
    <col min="1798" max="1798" width="45.625" style="53" customWidth="1"/>
    <col min="1799" max="1799" width="48.625" style="53" customWidth="1"/>
    <col min="1800" max="1802" width="5.625" style="53" customWidth="1"/>
    <col min="1803" max="1803" width="21.625" style="53" customWidth="1"/>
    <col min="1804" max="1804" width="22.625" style="53" customWidth="1"/>
    <col min="1805" max="2051" width="8.625" style="53"/>
    <col min="2052" max="2052" width="5.625" style="53" customWidth="1"/>
    <col min="2053" max="2053" width="10.625" style="53" customWidth="1"/>
    <col min="2054" max="2054" width="45.625" style="53" customWidth="1"/>
    <col min="2055" max="2055" width="48.625" style="53" customWidth="1"/>
    <col min="2056" max="2058" width="5.625" style="53" customWidth="1"/>
    <col min="2059" max="2059" width="21.625" style="53" customWidth="1"/>
    <col min="2060" max="2060" width="22.625" style="53" customWidth="1"/>
    <col min="2061" max="2307" width="8.625" style="53"/>
    <col min="2308" max="2308" width="5.625" style="53" customWidth="1"/>
    <col min="2309" max="2309" width="10.625" style="53" customWidth="1"/>
    <col min="2310" max="2310" width="45.625" style="53" customWidth="1"/>
    <col min="2311" max="2311" width="48.625" style="53" customWidth="1"/>
    <col min="2312" max="2314" width="5.625" style="53" customWidth="1"/>
    <col min="2315" max="2315" width="21.625" style="53" customWidth="1"/>
    <col min="2316" max="2316" width="22.625" style="53" customWidth="1"/>
    <col min="2317" max="2563" width="8.625" style="53"/>
    <col min="2564" max="2564" width="5.625" style="53" customWidth="1"/>
    <col min="2565" max="2565" width="10.625" style="53" customWidth="1"/>
    <col min="2566" max="2566" width="45.625" style="53" customWidth="1"/>
    <col min="2567" max="2567" width="48.625" style="53" customWidth="1"/>
    <col min="2568" max="2570" width="5.625" style="53" customWidth="1"/>
    <col min="2571" max="2571" width="21.625" style="53" customWidth="1"/>
    <col min="2572" max="2572" width="22.625" style="53" customWidth="1"/>
    <col min="2573" max="2819" width="8.625" style="53"/>
    <col min="2820" max="2820" width="5.625" style="53" customWidth="1"/>
    <col min="2821" max="2821" width="10.625" style="53" customWidth="1"/>
    <col min="2822" max="2822" width="45.625" style="53" customWidth="1"/>
    <col min="2823" max="2823" width="48.625" style="53" customWidth="1"/>
    <col min="2824" max="2826" width="5.625" style="53" customWidth="1"/>
    <col min="2827" max="2827" width="21.625" style="53" customWidth="1"/>
    <col min="2828" max="2828" width="22.625" style="53" customWidth="1"/>
    <col min="2829" max="3075" width="8.625" style="53"/>
    <col min="3076" max="3076" width="5.625" style="53" customWidth="1"/>
    <col min="3077" max="3077" width="10.625" style="53" customWidth="1"/>
    <col min="3078" max="3078" width="45.625" style="53" customWidth="1"/>
    <col min="3079" max="3079" width="48.625" style="53" customWidth="1"/>
    <col min="3080" max="3082" width="5.625" style="53" customWidth="1"/>
    <col min="3083" max="3083" width="21.625" style="53" customWidth="1"/>
    <col min="3084" max="3084" width="22.625" style="53" customWidth="1"/>
    <col min="3085" max="3331" width="8.625" style="53"/>
    <col min="3332" max="3332" width="5.625" style="53" customWidth="1"/>
    <col min="3333" max="3333" width="10.625" style="53" customWidth="1"/>
    <col min="3334" max="3334" width="45.625" style="53" customWidth="1"/>
    <col min="3335" max="3335" width="48.625" style="53" customWidth="1"/>
    <col min="3336" max="3338" width="5.625" style="53" customWidth="1"/>
    <col min="3339" max="3339" width="21.625" style="53" customWidth="1"/>
    <col min="3340" max="3340" width="22.625" style="53" customWidth="1"/>
    <col min="3341" max="3587" width="8.625" style="53"/>
    <col min="3588" max="3588" width="5.625" style="53" customWidth="1"/>
    <col min="3589" max="3589" width="10.625" style="53" customWidth="1"/>
    <col min="3590" max="3590" width="45.625" style="53" customWidth="1"/>
    <col min="3591" max="3591" width="48.625" style="53" customWidth="1"/>
    <col min="3592" max="3594" width="5.625" style="53" customWidth="1"/>
    <col min="3595" max="3595" width="21.625" style="53" customWidth="1"/>
    <col min="3596" max="3596" width="22.625" style="53" customWidth="1"/>
    <col min="3597" max="3843" width="8.625" style="53"/>
    <col min="3844" max="3844" width="5.625" style="53" customWidth="1"/>
    <col min="3845" max="3845" width="10.625" style="53" customWidth="1"/>
    <col min="3846" max="3846" width="45.625" style="53" customWidth="1"/>
    <col min="3847" max="3847" width="48.625" style="53" customWidth="1"/>
    <col min="3848" max="3850" width="5.625" style="53" customWidth="1"/>
    <col min="3851" max="3851" width="21.625" style="53" customWidth="1"/>
    <col min="3852" max="3852" width="22.625" style="53" customWidth="1"/>
    <col min="3853" max="4099" width="8.625" style="53"/>
    <col min="4100" max="4100" width="5.625" style="53" customWidth="1"/>
    <col min="4101" max="4101" width="10.625" style="53" customWidth="1"/>
    <col min="4102" max="4102" width="45.625" style="53" customWidth="1"/>
    <col min="4103" max="4103" width="48.625" style="53" customWidth="1"/>
    <col min="4104" max="4106" width="5.625" style="53" customWidth="1"/>
    <col min="4107" max="4107" width="21.625" style="53" customWidth="1"/>
    <col min="4108" max="4108" width="22.625" style="53" customWidth="1"/>
    <col min="4109" max="4355" width="8.625" style="53"/>
    <col min="4356" max="4356" width="5.625" style="53" customWidth="1"/>
    <col min="4357" max="4357" width="10.625" style="53" customWidth="1"/>
    <col min="4358" max="4358" width="45.625" style="53" customWidth="1"/>
    <col min="4359" max="4359" width="48.625" style="53" customWidth="1"/>
    <col min="4360" max="4362" width="5.625" style="53" customWidth="1"/>
    <col min="4363" max="4363" width="21.625" style="53" customWidth="1"/>
    <col min="4364" max="4364" width="22.625" style="53" customWidth="1"/>
    <col min="4365" max="4611" width="8.625" style="53"/>
    <col min="4612" max="4612" width="5.625" style="53" customWidth="1"/>
    <col min="4613" max="4613" width="10.625" style="53" customWidth="1"/>
    <col min="4614" max="4614" width="45.625" style="53" customWidth="1"/>
    <col min="4615" max="4615" width="48.625" style="53" customWidth="1"/>
    <col min="4616" max="4618" width="5.625" style="53" customWidth="1"/>
    <col min="4619" max="4619" width="21.625" style="53" customWidth="1"/>
    <col min="4620" max="4620" width="22.625" style="53" customWidth="1"/>
    <col min="4621" max="4867" width="8.625" style="53"/>
    <col min="4868" max="4868" width="5.625" style="53" customWidth="1"/>
    <col min="4869" max="4869" width="10.625" style="53" customWidth="1"/>
    <col min="4870" max="4870" width="45.625" style="53" customWidth="1"/>
    <col min="4871" max="4871" width="48.625" style="53" customWidth="1"/>
    <col min="4872" max="4874" width="5.625" style="53" customWidth="1"/>
    <col min="4875" max="4875" width="21.625" style="53" customWidth="1"/>
    <col min="4876" max="4876" width="22.625" style="53" customWidth="1"/>
    <col min="4877" max="5123" width="8.625" style="53"/>
    <col min="5124" max="5124" width="5.625" style="53" customWidth="1"/>
    <col min="5125" max="5125" width="10.625" style="53" customWidth="1"/>
    <col min="5126" max="5126" width="45.625" style="53" customWidth="1"/>
    <col min="5127" max="5127" width="48.625" style="53" customWidth="1"/>
    <col min="5128" max="5130" width="5.625" style="53" customWidth="1"/>
    <col min="5131" max="5131" width="21.625" style="53" customWidth="1"/>
    <col min="5132" max="5132" width="22.625" style="53" customWidth="1"/>
    <col min="5133" max="5379" width="8.625" style="53"/>
    <col min="5380" max="5380" width="5.625" style="53" customWidth="1"/>
    <col min="5381" max="5381" width="10.625" style="53" customWidth="1"/>
    <col min="5382" max="5382" width="45.625" style="53" customWidth="1"/>
    <col min="5383" max="5383" width="48.625" style="53" customWidth="1"/>
    <col min="5384" max="5386" width="5.625" style="53" customWidth="1"/>
    <col min="5387" max="5387" width="21.625" style="53" customWidth="1"/>
    <col min="5388" max="5388" width="22.625" style="53" customWidth="1"/>
    <col min="5389" max="5635" width="8.625" style="53"/>
    <col min="5636" max="5636" width="5.625" style="53" customWidth="1"/>
    <col min="5637" max="5637" width="10.625" style="53" customWidth="1"/>
    <col min="5638" max="5638" width="45.625" style="53" customWidth="1"/>
    <col min="5639" max="5639" width="48.625" style="53" customWidth="1"/>
    <col min="5640" max="5642" width="5.625" style="53" customWidth="1"/>
    <col min="5643" max="5643" width="21.625" style="53" customWidth="1"/>
    <col min="5644" max="5644" width="22.625" style="53" customWidth="1"/>
    <col min="5645" max="5891" width="8.625" style="53"/>
    <col min="5892" max="5892" width="5.625" style="53" customWidth="1"/>
    <col min="5893" max="5893" width="10.625" style="53" customWidth="1"/>
    <col min="5894" max="5894" width="45.625" style="53" customWidth="1"/>
    <col min="5895" max="5895" width="48.625" style="53" customWidth="1"/>
    <col min="5896" max="5898" width="5.625" style="53" customWidth="1"/>
    <col min="5899" max="5899" width="21.625" style="53" customWidth="1"/>
    <col min="5900" max="5900" width="22.625" style="53" customWidth="1"/>
    <col min="5901" max="6147" width="8.625" style="53"/>
    <col min="6148" max="6148" width="5.625" style="53" customWidth="1"/>
    <col min="6149" max="6149" width="10.625" style="53" customWidth="1"/>
    <col min="6150" max="6150" width="45.625" style="53" customWidth="1"/>
    <col min="6151" max="6151" width="48.625" style="53" customWidth="1"/>
    <col min="6152" max="6154" width="5.625" style="53" customWidth="1"/>
    <col min="6155" max="6155" width="21.625" style="53" customWidth="1"/>
    <col min="6156" max="6156" width="22.625" style="53" customWidth="1"/>
    <col min="6157" max="6403" width="8.625" style="53"/>
    <col min="6404" max="6404" width="5.625" style="53" customWidth="1"/>
    <col min="6405" max="6405" width="10.625" style="53" customWidth="1"/>
    <col min="6406" max="6406" width="45.625" style="53" customWidth="1"/>
    <col min="6407" max="6407" width="48.625" style="53" customWidth="1"/>
    <col min="6408" max="6410" width="5.625" style="53" customWidth="1"/>
    <col min="6411" max="6411" width="21.625" style="53" customWidth="1"/>
    <col min="6412" max="6412" width="22.625" style="53" customWidth="1"/>
    <col min="6413" max="6659" width="8.625" style="53"/>
    <col min="6660" max="6660" width="5.625" style="53" customWidth="1"/>
    <col min="6661" max="6661" width="10.625" style="53" customWidth="1"/>
    <col min="6662" max="6662" width="45.625" style="53" customWidth="1"/>
    <col min="6663" max="6663" width="48.625" style="53" customWidth="1"/>
    <col min="6664" max="6666" width="5.625" style="53" customWidth="1"/>
    <col min="6667" max="6667" width="21.625" style="53" customWidth="1"/>
    <col min="6668" max="6668" width="22.625" style="53" customWidth="1"/>
    <col min="6669" max="6915" width="8.625" style="53"/>
    <col min="6916" max="6916" width="5.625" style="53" customWidth="1"/>
    <col min="6917" max="6917" width="10.625" style="53" customWidth="1"/>
    <col min="6918" max="6918" width="45.625" style="53" customWidth="1"/>
    <col min="6919" max="6919" width="48.625" style="53" customWidth="1"/>
    <col min="6920" max="6922" width="5.625" style="53" customWidth="1"/>
    <col min="6923" max="6923" width="21.625" style="53" customWidth="1"/>
    <col min="6924" max="6924" width="22.625" style="53" customWidth="1"/>
    <col min="6925" max="7171" width="8.625" style="53"/>
    <col min="7172" max="7172" width="5.625" style="53" customWidth="1"/>
    <col min="7173" max="7173" width="10.625" style="53" customWidth="1"/>
    <col min="7174" max="7174" width="45.625" style="53" customWidth="1"/>
    <col min="7175" max="7175" width="48.625" style="53" customWidth="1"/>
    <col min="7176" max="7178" width="5.625" style="53" customWidth="1"/>
    <col min="7179" max="7179" width="21.625" style="53" customWidth="1"/>
    <col min="7180" max="7180" width="22.625" style="53" customWidth="1"/>
    <col min="7181" max="7427" width="8.625" style="53"/>
    <col min="7428" max="7428" width="5.625" style="53" customWidth="1"/>
    <col min="7429" max="7429" width="10.625" style="53" customWidth="1"/>
    <col min="7430" max="7430" width="45.625" style="53" customWidth="1"/>
    <col min="7431" max="7431" width="48.625" style="53" customWidth="1"/>
    <col min="7432" max="7434" width="5.625" style="53" customWidth="1"/>
    <col min="7435" max="7435" width="21.625" style="53" customWidth="1"/>
    <col min="7436" max="7436" width="22.625" style="53" customWidth="1"/>
    <col min="7437" max="7683" width="8.625" style="53"/>
    <col min="7684" max="7684" width="5.625" style="53" customWidth="1"/>
    <col min="7685" max="7685" width="10.625" style="53" customWidth="1"/>
    <col min="7686" max="7686" width="45.625" style="53" customWidth="1"/>
    <col min="7687" max="7687" width="48.625" style="53" customWidth="1"/>
    <col min="7688" max="7690" width="5.625" style="53" customWidth="1"/>
    <col min="7691" max="7691" width="21.625" style="53" customWidth="1"/>
    <col min="7692" max="7692" width="22.625" style="53" customWidth="1"/>
    <col min="7693" max="7939" width="8.625" style="53"/>
    <col min="7940" max="7940" width="5.625" style="53" customWidth="1"/>
    <col min="7941" max="7941" width="10.625" style="53" customWidth="1"/>
    <col min="7942" max="7942" width="45.625" style="53" customWidth="1"/>
    <col min="7943" max="7943" width="48.625" style="53" customWidth="1"/>
    <col min="7944" max="7946" width="5.625" style="53" customWidth="1"/>
    <col min="7947" max="7947" width="21.625" style="53" customWidth="1"/>
    <col min="7948" max="7948" width="22.625" style="53" customWidth="1"/>
    <col min="7949" max="8195" width="8.625" style="53"/>
    <col min="8196" max="8196" width="5.625" style="53" customWidth="1"/>
    <col min="8197" max="8197" width="10.625" style="53" customWidth="1"/>
    <col min="8198" max="8198" width="45.625" style="53" customWidth="1"/>
    <col min="8199" max="8199" width="48.625" style="53" customWidth="1"/>
    <col min="8200" max="8202" width="5.625" style="53" customWidth="1"/>
    <col min="8203" max="8203" width="21.625" style="53" customWidth="1"/>
    <col min="8204" max="8204" width="22.625" style="53" customWidth="1"/>
    <col min="8205" max="8451" width="8.625" style="53"/>
    <col min="8452" max="8452" width="5.625" style="53" customWidth="1"/>
    <col min="8453" max="8453" width="10.625" style="53" customWidth="1"/>
    <col min="8454" max="8454" width="45.625" style="53" customWidth="1"/>
    <col min="8455" max="8455" width="48.625" style="53" customWidth="1"/>
    <col min="8456" max="8458" width="5.625" style="53" customWidth="1"/>
    <col min="8459" max="8459" width="21.625" style="53" customWidth="1"/>
    <col min="8460" max="8460" width="22.625" style="53" customWidth="1"/>
    <col min="8461" max="8707" width="8.625" style="53"/>
    <col min="8708" max="8708" width="5.625" style="53" customWidth="1"/>
    <col min="8709" max="8709" width="10.625" style="53" customWidth="1"/>
    <col min="8710" max="8710" width="45.625" style="53" customWidth="1"/>
    <col min="8711" max="8711" width="48.625" style="53" customWidth="1"/>
    <col min="8712" max="8714" width="5.625" style="53" customWidth="1"/>
    <col min="8715" max="8715" width="21.625" style="53" customWidth="1"/>
    <col min="8716" max="8716" width="22.625" style="53" customWidth="1"/>
    <col min="8717" max="8963" width="8.625" style="53"/>
    <col min="8964" max="8964" width="5.625" style="53" customWidth="1"/>
    <col min="8965" max="8965" width="10.625" style="53" customWidth="1"/>
    <col min="8966" max="8966" width="45.625" style="53" customWidth="1"/>
    <col min="8967" max="8967" width="48.625" style="53" customWidth="1"/>
    <col min="8968" max="8970" width="5.625" style="53" customWidth="1"/>
    <col min="8971" max="8971" width="21.625" style="53" customWidth="1"/>
    <col min="8972" max="8972" width="22.625" style="53" customWidth="1"/>
    <col min="8973" max="9219" width="8.625" style="53"/>
    <col min="9220" max="9220" width="5.625" style="53" customWidth="1"/>
    <col min="9221" max="9221" width="10.625" style="53" customWidth="1"/>
    <col min="9222" max="9222" width="45.625" style="53" customWidth="1"/>
    <col min="9223" max="9223" width="48.625" style="53" customWidth="1"/>
    <col min="9224" max="9226" width="5.625" style="53" customWidth="1"/>
    <col min="9227" max="9227" width="21.625" style="53" customWidth="1"/>
    <col min="9228" max="9228" width="22.625" style="53" customWidth="1"/>
    <col min="9229" max="9475" width="8.625" style="53"/>
    <col min="9476" max="9476" width="5.625" style="53" customWidth="1"/>
    <col min="9477" max="9477" width="10.625" style="53" customWidth="1"/>
    <col min="9478" max="9478" width="45.625" style="53" customWidth="1"/>
    <col min="9479" max="9479" width="48.625" style="53" customWidth="1"/>
    <col min="9480" max="9482" width="5.625" style="53" customWidth="1"/>
    <col min="9483" max="9483" width="21.625" style="53" customWidth="1"/>
    <col min="9484" max="9484" width="22.625" style="53" customWidth="1"/>
    <col min="9485" max="9731" width="8.625" style="53"/>
    <col min="9732" max="9732" width="5.625" style="53" customWidth="1"/>
    <col min="9733" max="9733" width="10.625" style="53" customWidth="1"/>
    <col min="9734" max="9734" width="45.625" style="53" customWidth="1"/>
    <col min="9735" max="9735" width="48.625" style="53" customWidth="1"/>
    <col min="9736" max="9738" width="5.625" style="53" customWidth="1"/>
    <col min="9739" max="9739" width="21.625" style="53" customWidth="1"/>
    <col min="9740" max="9740" width="22.625" style="53" customWidth="1"/>
    <col min="9741" max="9987" width="8.625" style="53"/>
    <col min="9988" max="9988" width="5.625" style="53" customWidth="1"/>
    <col min="9989" max="9989" width="10.625" style="53" customWidth="1"/>
    <col min="9990" max="9990" width="45.625" style="53" customWidth="1"/>
    <col min="9991" max="9991" width="48.625" style="53" customWidth="1"/>
    <col min="9992" max="9994" width="5.625" style="53" customWidth="1"/>
    <col min="9995" max="9995" width="21.625" style="53" customWidth="1"/>
    <col min="9996" max="9996" width="22.625" style="53" customWidth="1"/>
    <col min="9997" max="10243" width="8.625" style="53"/>
    <col min="10244" max="10244" width="5.625" style="53" customWidth="1"/>
    <col min="10245" max="10245" width="10.625" style="53" customWidth="1"/>
    <col min="10246" max="10246" width="45.625" style="53" customWidth="1"/>
    <col min="10247" max="10247" width="48.625" style="53" customWidth="1"/>
    <col min="10248" max="10250" width="5.625" style="53" customWidth="1"/>
    <col min="10251" max="10251" width="21.625" style="53" customWidth="1"/>
    <col min="10252" max="10252" width="22.625" style="53" customWidth="1"/>
    <col min="10253" max="10499" width="8.625" style="53"/>
    <col min="10500" max="10500" width="5.625" style="53" customWidth="1"/>
    <col min="10501" max="10501" width="10.625" style="53" customWidth="1"/>
    <col min="10502" max="10502" width="45.625" style="53" customWidth="1"/>
    <col min="10503" max="10503" width="48.625" style="53" customWidth="1"/>
    <col min="10504" max="10506" width="5.625" style="53" customWidth="1"/>
    <col min="10507" max="10507" width="21.625" style="53" customWidth="1"/>
    <col min="10508" max="10508" width="22.625" style="53" customWidth="1"/>
    <col min="10509" max="10755" width="8.625" style="53"/>
    <col min="10756" max="10756" width="5.625" style="53" customWidth="1"/>
    <col min="10757" max="10757" width="10.625" style="53" customWidth="1"/>
    <col min="10758" max="10758" width="45.625" style="53" customWidth="1"/>
    <col min="10759" max="10759" width="48.625" style="53" customWidth="1"/>
    <col min="10760" max="10762" width="5.625" style="53" customWidth="1"/>
    <col min="10763" max="10763" width="21.625" style="53" customWidth="1"/>
    <col min="10764" max="10764" width="22.625" style="53" customWidth="1"/>
    <col min="10765" max="11011" width="8.625" style="53"/>
    <col min="11012" max="11012" width="5.625" style="53" customWidth="1"/>
    <col min="11013" max="11013" width="10.625" style="53" customWidth="1"/>
    <col min="11014" max="11014" width="45.625" style="53" customWidth="1"/>
    <col min="11015" max="11015" width="48.625" style="53" customWidth="1"/>
    <col min="11016" max="11018" width="5.625" style="53" customWidth="1"/>
    <col min="11019" max="11019" width="21.625" style="53" customWidth="1"/>
    <col min="11020" max="11020" width="22.625" style="53" customWidth="1"/>
    <col min="11021" max="11267" width="8.625" style="53"/>
    <col min="11268" max="11268" width="5.625" style="53" customWidth="1"/>
    <col min="11269" max="11269" width="10.625" style="53" customWidth="1"/>
    <col min="11270" max="11270" width="45.625" style="53" customWidth="1"/>
    <col min="11271" max="11271" width="48.625" style="53" customWidth="1"/>
    <col min="11272" max="11274" width="5.625" style="53" customWidth="1"/>
    <col min="11275" max="11275" width="21.625" style="53" customWidth="1"/>
    <col min="11276" max="11276" width="22.625" style="53" customWidth="1"/>
    <col min="11277" max="11523" width="8.625" style="53"/>
    <col min="11524" max="11524" width="5.625" style="53" customWidth="1"/>
    <col min="11525" max="11525" width="10.625" style="53" customWidth="1"/>
    <col min="11526" max="11526" width="45.625" style="53" customWidth="1"/>
    <col min="11527" max="11527" width="48.625" style="53" customWidth="1"/>
    <col min="11528" max="11530" width="5.625" style="53" customWidth="1"/>
    <col min="11531" max="11531" width="21.625" style="53" customWidth="1"/>
    <col min="11532" max="11532" width="22.625" style="53" customWidth="1"/>
    <col min="11533" max="11779" width="8.625" style="53"/>
    <col min="11780" max="11780" width="5.625" style="53" customWidth="1"/>
    <col min="11781" max="11781" width="10.625" style="53" customWidth="1"/>
    <col min="11782" max="11782" width="45.625" style="53" customWidth="1"/>
    <col min="11783" max="11783" width="48.625" style="53" customWidth="1"/>
    <col min="11784" max="11786" width="5.625" style="53" customWidth="1"/>
    <col min="11787" max="11787" width="21.625" style="53" customWidth="1"/>
    <col min="11788" max="11788" width="22.625" style="53" customWidth="1"/>
    <col min="11789" max="12035" width="8.625" style="53"/>
    <col min="12036" max="12036" width="5.625" style="53" customWidth="1"/>
    <col min="12037" max="12037" width="10.625" style="53" customWidth="1"/>
    <col min="12038" max="12038" width="45.625" style="53" customWidth="1"/>
    <col min="12039" max="12039" width="48.625" style="53" customWidth="1"/>
    <col min="12040" max="12042" width="5.625" style="53" customWidth="1"/>
    <col min="12043" max="12043" width="21.625" style="53" customWidth="1"/>
    <col min="12044" max="12044" width="22.625" style="53" customWidth="1"/>
    <col min="12045" max="12291" width="8.625" style="53"/>
    <col min="12292" max="12292" width="5.625" style="53" customWidth="1"/>
    <col min="12293" max="12293" width="10.625" style="53" customWidth="1"/>
    <col min="12294" max="12294" width="45.625" style="53" customWidth="1"/>
    <col min="12295" max="12295" width="48.625" style="53" customWidth="1"/>
    <col min="12296" max="12298" width="5.625" style="53" customWidth="1"/>
    <col min="12299" max="12299" width="21.625" style="53" customWidth="1"/>
    <col min="12300" max="12300" width="22.625" style="53" customWidth="1"/>
    <col min="12301" max="12547" width="8.625" style="53"/>
    <col min="12548" max="12548" width="5.625" style="53" customWidth="1"/>
    <col min="12549" max="12549" width="10.625" style="53" customWidth="1"/>
    <col min="12550" max="12550" width="45.625" style="53" customWidth="1"/>
    <col min="12551" max="12551" width="48.625" style="53" customWidth="1"/>
    <col min="12552" max="12554" width="5.625" style="53" customWidth="1"/>
    <col min="12555" max="12555" width="21.625" style="53" customWidth="1"/>
    <col min="12556" max="12556" width="22.625" style="53" customWidth="1"/>
    <col min="12557" max="12803" width="8.625" style="53"/>
    <col min="12804" max="12804" width="5.625" style="53" customWidth="1"/>
    <col min="12805" max="12805" width="10.625" style="53" customWidth="1"/>
    <col min="12806" max="12806" width="45.625" style="53" customWidth="1"/>
    <col min="12807" max="12807" width="48.625" style="53" customWidth="1"/>
    <col min="12808" max="12810" width="5.625" style="53" customWidth="1"/>
    <col min="12811" max="12811" width="21.625" style="53" customWidth="1"/>
    <col min="12812" max="12812" width="22.625" style="53" customWidth="1"/>
    <col min="12813" max="13059" width="8.625" style="53"/>
    <col min="13060" max="13060" width="5.625" style="53" customWidth="1"/>
    <col min="13061" max="13061" width="10.625" style="53" customWidth="1"/>
    <col min="13062" max="13062" width="45.625" style="53" customWidth="1"/>
    <col min="13063" max="13063" width="48.625" style="53" customWidth="1"/>
    <col min="13064" max="13066" width="5.625" style="53" customWidth="1"/>
    <col min="13067" max="13067" width="21.625" style="53" customWidth="1"/>
    <col min="13068" max="13068" width="22.625" style="53" customWidth="1"/>
    <col min="13069" max="13315" width="8.625" style="53"/>
    <col min="13316" max="13316" width="5.625" style="53" customWidth="1"/>
    <col min="13317" max="13317" width="10.625" style="53" customWidth="1"/>
    <col min="13318" max="13318" width="45.625" style="53" customWidth="1"/>
    <col min="13319" max="13319" width="48.625" style="53" customWidth="1"/>
    <col min="13320" max="13322" width="5.625" style="53" customWidth="1"/>
    <col min="13323" max="13323" width="21.625" style="53" customWidth="1"/>
    <col min="13324" max="13324" width="22.625" style="53" customWidth="1"/>
    <col min="13325" max="13571" width="8.625" style="53"/>
    <col min="13572" max="13572" width="5.625" style="53" customWidth="1"/>
    <col min="13573" max="13573" width="10.625" style="53" customWidth="1"/>
    <col min="13574" max="13574" width="45.625" style="53" customWidth="1"/>
    <col min="13575" max="13575" width="48.625" style="53" customWidth="1"/>
    <col min="13576" max="13578" width="5.625" style="53" customWidth="1"/>
    <col min="13579" max="13579" width="21.625" style="53" customWidth="1"/>
    <col min="13580" max="13580" width="22.625" style="53" customWidth="1"/>
    <col min="13581" max="13827" width="8.625" style="53"/>
    <col min="13828" max="13828" width="5.625" style="53" customWidth="1"/>
    <col min="13829" max="13829" width="10.625" style="53" customWidth="1"/>
    <col min="13830" max="13830" width="45.625" style="53" customWidth="1"/>
    <col min="13831" max="13831" width="48.625" style="53" customWidth="1"/>
    <col min="13832" max="13834" width="5.625" style="53" customWidth="1"/>
    <col min="13835" max="13835" width="21.625" style="53" customWidth="1"/>
    <col min="13836" max="13836" width="22.625" style="53" customWidth="1"/>
    <col min="13837" max="14083" width="8.625" style="53"/>
    <col min="14084" max="14084" width="5.625" style="53" customWidth="1"/>
    <col min="14085" max="14085" width="10.625" style="53" customWidth="1"/>
    <col min="14086" max="14086" width="45.625" style="53" customWidth="1"/>
    <col min="14087" max="14087" width="48.625" style="53" customWidth="1"/>
    <col min="14088" max="14090" width="5.625" style="53" customWidth="1"/>
    <col min="14091" max="14091" width="21.625" style="53" customWidth="1"/>
    <col min="14092" max="14092" width="22.625" style="53" customWidth="1"/>
    <col min="14093" max="14339" width="8.625" style="53"/>
    <col min="14340" max="14340" width="5.625" style="53" customWidth="1"/>
    <col min="14341" max="14341" width="10.625" style="53" customWidth="1"/>
    <col min="14342" max="14342" width="45.625" style="53" customWidth="1"/>
    <col min="14343" max="14343" width="48.625" style="53" customWidth="1"/>
    <col min="14344" max="14346" width="5.625" style="53" customWidth="1"/>
    <col min="14347" max="14347" width="21.625" style="53" customWidth="1"/>
    <col min="14348" max="14348" width="22.625" style="53" customWidth="1"/>
    <col min="14349" max="14595" width="8.625" style="53"/>
    <col min="14596" max="14596" width="5.625" style="53" customWidth="1"/>
    <col min="14597" max="14597" width="10.625" style="53" customWidth="1"/>
    <col min="14598" max="14598" width="45.625" style="53" customWidth="1"/>
    <col min="14599" max="14599" width="48.625" style="53" customWidth="1"/>
    <col min="14600" max="14602" width="5.625" style="53" customWidth="1"/>
    <col min="14603" max="14603" width="21.625" style="53" customWidth="1"/>
    <col min="14604" max="14604" width="22.625" style="53" customWidth="1"/>
    <col min="14605" max="14851" width="8.625" style="53"/>
    <col min="14852" max="14852" width="5.625" style="53" customWidth="1"/>
    <col min="14853" max="14853" width="10.625" style="53" customWidth="1"/>
    <col min="14854" max="14854" width="45.625" style="53" customWidth="1"/>
    <col min="14855" max="14855" width="48.625" style="53" customWidth="1"/>
    <col min="14856" max="14858" width="5.625" style="53" customWidth="1"/>
    <col min="14859" max="14859" width="21.625" style="53" customWidth="1"/>
    <col min="14860" max="14860" width="22.625" style="53" customWidth="1"/>
    <col min="14861" max="15107" width="8.625" style="53"/>
    <col min="15108" max="15108" width="5.625" style="53" customWidth="1"/>
    <col min="15109" max="15109" width="10.625" style="53" customWidth="1"/>
    <col min="15110" max="15110" width="45.625" style="53" customWidth="1"/>
    <col min="15111" max="15111" width="48.625" style="53" customWidth="1"/>
    <col min="15112" max="15114" width="5.625" style="53" customWidth="1"/>
    <col min="15115" max="15115" width="21.625" style="53" customWidth="1"/>
    <col min="15116" max="15116" width="22.625" style="53" customWidth="1"/>
    <col min="15117" max="15363" width="8.625" style="53"/>
    <col min="15364" max="15364" width="5.625" style="53" customWidth="1"/>
    <col min="15365" max="15365" width="10.625" style="53" customWidth="1"/>
    <col min="15366" max="15366" width="45.625" style="53" customWidth="1"/>
    <col min="15367" max="15367" width="48.625" style="53" customWidth="1"/>
    <col min="15368" max="15370" width="5.625" style="53" customWidth="1"/>
    <col min="15371" max="15371" width="21.625" style="53" customWidth="1"/>
    <col min="15372" max="15372" width="22.625" style="53" customWidth="1"/>
    <col min="15373" max="15619" width="8.625" style="53"/>
    <col min="15620" max="15620" width="5.625" style="53" customWidth="1"/>
    <col min="15621" max="15621" width="10.625" style="53" customWidth="1"/>
    <col min="15622" max="15622" width="45.625" style="53" customWidth="1"/>
    <col min="15623" max="15623" width="48.625" style="53" customWidth="1"/>
    <col min="15624" max="15626" width="5.625" style="53" customWidth="1"/>
    <col min="15627" max="15627" width="21.625" style="53" customWidth="1"/>
    <col min="15628" max="15628" width="22.625" style="53" customWidth="1"/>
    <col min="15629" max="15875" width="8.625" style="53"/>
    <col min="15876" max="15876" width="5.625" style="53" customWidth="1"/>
    <col min="15877" max="15877" width="10.625" style="53" customWidth="1"/>
    <col min="15878" max="15878" width="45.625" style="53" customWidth="1"/>
    <col min="15879" max="15879" width="48.625" style="53" customWidth="1"/>
    <col min="15880" max="15882" width="5.625" style="53" customWidth="1"/>
    <col min="15883" max="15883" width="21.625" style="53" customWidth="1"/>
    <col min="15884" max="15884" width="22.625" style="53" customWidth="1"/>
    <col min="15885" max="16131" width="8.625" style="53"/>
    <col min="16132" max="16132" width="5.625" style="53" customWidth="1"/>
    <col min="16133" max="16133" width="10.625" style="53" customWidth="1"/>
    <col min="16134" max="16134" width="45.625" style="53" customWidth="1"/>
    <col min="16135" max="16135" width="48.625" style="53" customWidth="1"/>
    <col min="16136" max="16138" width="5.625" style="53" customWidth="1"/>
    <col min="16139" max="16139" width="21.625" style="53" customWidth="1"/>
    <col min="16140" max="16140" width="22.625" style="53" customWidth="1"/>
    <col min="16141" max="16384" width="8.625" style="53"/>
  </cols>
  <sheetData>
    <row r="1" spans="1:12" ht="25.5">
      <c r="A1" s="40" t="e" vm="1">
        <v>#VALUE!</v>
      </c>
      <c r="B1" s="48" t="s">
        <v>0</v>
      </c>
      <c r="C1" s="49"/>
      <c r="D1" s="49"/>
      <c r="E1" s="50"/>
      <c r="F1" s="50"/>
      <c r="G1" s="50"/>
      <c r="H1" s="225"/>
      <c r="I1" s="225"/>
      <c r="J1" s="51"/>
      <c r="K1" s="50"/>
      <c r="L1" s="52"/>
    </row>
    <row r="2" spans="1:12" ht="16.149999999999999" customHeight="1">
      <c r="A2" s="54"/>
      <c r="B2" s="55" t="s">
        <v>1</v>
      </c>
      <c r="C2" s="56"/>
      <c r="D2" s="56"/>
      <c r="E2" s="57"/>
      <c r="F2" s="57"/>
      <c r="G2" s="57"/>
      <c r="H2" s="335"/>
      <c r="I2" s="335"/>
      <c r="J2" s="335"/>
      <c r="K2" s="58"/>
      <c r="L2" s="59"/>
    </row>
    <row r="3" spans="1:12" ht="27" customHeight="1">
      <c r="A3" s="42"/>
      <c r="B3" s="334" t="str" cm="1">
        <f t="array" aca="1" ref="B3" ca="1">_xlfn.TEXTAFTER(CELL("filename",A1),"]")</f>
        <v>Cover Page</v>
      </c>
      <c r="C3" s="334"/>
      <c r="D3" s="60" t="s">
        <v>213</v>
      </c>
      <c r="E3" s="61"/>
      <c r="F3" s="233" t="s">
        <v>427</v>
      </c>
      <c r="G3" s="61"/>
      <c r="H3" s="226" t="s">
        <v>183</v>
      </c>
      <c r="I3" s="226" t="s">
        <v>5</v>
      </c>
      <c r="J3" s="62" t="s">
        <v>19</v>
      </c>
      <c r="K3" s="63" t="s">
        <v>20</v>
      </c>
      <c r="L3" s="59"/>
    </row>
    <row r="4" spans="1:12" ht="17.100000000000001" customHeight="1">
      <c r="A4" s="64"/>
      <c r="B4" s="65" t="s">
        <v>2</v>
      </c>
      <c r="C4" s="81" t="s">
        <v>550</v>
      </c>
      <c r="D4" s="66" t="s">
        <v>214</v>
      </c>
      <c r="E4" s="67"/>
      <c r="F4" s="30" t="s">
        <v>201</v>
      </c>
      <c r="G4" s="67"/>
      <c r="H4" s="227">
        <v>1</v>
      </c>
      <c r="I4" s="231" t="s">
        <v>553</v>
      </c>
      <c r="J4" s="32" t="s">
        <v>554</v>
      </c>
      <c r="K4" s="33" t="s">
        <v>555</v>
      </c>
      <c r="L4" s="67"/>
    </row>
    <row r="5" spans="1:12" ht="17.100000000000001" customHeight="1">
      <c r="A5" s="42"/>
      <c r="B5" s="65" t="s">
        <v>6</v>
      </c>
      <c r="C5" s="81" t="s">
        <v>549</v>
      </c>
      <c r="D5" s="66" t="s">
        <v>215</v>
      </c>
      <c r="E5" s="67"/>
      <c r="F5" s="30" t="s">
        <v>429</v>
      </c>
      <c r="G5" s="67"/>
      <c r="H5" s="227">
        <v>2</v>
      </c>
      <c r="I5" s="231" t="s">
        <v>603</v>
      </c>
      <c r="J5" s="32" t="s">
        <v>604</v>
      </c>
      <c r="K5" s="33" t="s">
        <v>605</v>
      </c>
      <c r="L5" s="67"/>
    </row>
    <row r="6" spans="1:12" ht="17.100000000000001" customHeight="1">
      <c r="A6" s="42"/>
      <c r="B6" s="65" t="s">
        <v>4</v>
      </c>
      <c r="C6" s="82" t="s">
        <v>517</v>
      </c>
      <c r="D6" s="68" t="s">
        <v>204</v>
      </c>
      <c r="E6" s="67"/>
      <c r="F6" s="30" t="s">
        <v>430</v>
      </c>
      <c r="G6" s="67"/>
      <c r="H6" s="227">
        <v>3</v>
      </c>
      <c r="I6" s="231" t="s">
        <v>608</v>
      </c>
      <c r="J6" s="32" t="s">
        <v>604</v>
      </c>
      <c r="K6" s="33" t="s">
        <v>609</v>
      </c>
      <c r="L6" s="67"/>
    </row>
    <row r="7" spans="1:12" ht="17.100000000000001" customHeight="1">
      <c r="A7" s="42"/>
      <c r="B7" s="65" t="s">
        <v>8</v>
      </c>
      <c r="C7" s="81" t="s">
        <v>540</v>
      </c>
      <c r="D7" s="66">
        <v>1300</v>
      </c>
      <c r="E7" s="67"/>
      <c r="F7" s="29"/>
      <c r="G7" s="67"/>
      <c r="H7" s="227">
        <v>4</v>
      </c>
      <c r="I7" s="231" t="s">
        <v>634</v>
      </c>
      <c r="J7" s="32" t="s">
        <v>635</v>
      </c>
      <c r="K7" s="33" t="s">
        <v>636</v>
      </c>
      <c r="L7" s="67"/>
    </row>
    <row r="8" spans="1:12" ht="17.100000000000001" customHeight="1">
      <c r="A8" s="42"/>
      <c r="B8" s="65" t="s">
        <v>10</v>
      </c>
      <c r="C8" s="83" t="s">
        <v>541</v>
      </c>
      <c r="D8" s="69" t="s">
        <v>205</v>
      </c>
      <c r="E8" s="67"/>
      <c r="F8" s="31"/>
      <c r="G8" s="67"/>
      <c r="H8" s="227"/>
      <c r="I8" s="231"/>
      <c r="J8" s="32"/>
      <c r="K8" s="33"/>
      <c r="L8" s="67"/>
    </row>
    <row r="9" spans="1:12" ht="17.100000000000001" customHeight="1">
      <c r="A9" s="42"/>
      <c r="B9" s="65" t="s">
        <v>12</v>
      </c>
      <c r="C9" s="83"/>
      <c r="D9" s="69" t="s">
        <v>216</v>
      </c>
      <c r="E9" s="67"/>
      <c r="F9" s="29"/>
      <c r="G9" s="67"/>
      <c r="H9" s="227"/>
      <c r="I9" s="231"/>
      <c r="J9" s="32"/>
      <c r="K9" s="33"/>
      <c r="L9" s="67"/>
    </row>
    <row r="10" spans="1:12" ht="17.100000000000001" customHeight="1">
      <c r="A10" s="42"/>
      <c r="B10" s="65" t="s">
        <v>428</v>
      </c>
      <c r="C10" s="83"/>
      <c r="D10" s="69" t="s">
        <v>598</v>
      </c>
      <c r="E10" s="70"/>
      <c r="F10" s="36"/>
      <c r="G10" s="70"/>
      <c r="H10" s="227"/>
      <c r="I10" s="231"/>
      <c r="J10" s="32"/>
      <c r="K10" s="33"/>
      <c r="L10" s="67"/>
    </row>
    <row r="11" spans="1:12" ht="17.100000000000001" customHeight="1">
      <c r="A11" s="42"/>
      <c r="B11" s="71" t="s">
        <v>13</v>
      </c>
      <c r="C11" s="81" t="s">
        <v>217</v>
      </c>
      <c r="D11" s="66" t="s">
        <v>217</v>
      </c>
      <c r="E11" s="72"/>
      <c r="F11" s="37"/>
      <c r="G11" s="72"/>
      <c r="H11" s="227"/>
      <c r="I11" s="231"/>
      <c r="J11" s="32"/>
      <c r="K11" s="33"/>
      <c r="L11" s="58"/>
    </row>
    <row r="12" spans="1:12" ht="17.100000000000001" customHeight="1">
      <c r="A12" s="42"/>
      <c r="B12" s="65" t="s">
        <v>16</v>
      </c>
      <c r="C12" s="82" t="s">
        <v>18</v>
      </c>
      <c r="D12" s="68" t="s">
        <v>218</v>
      </c>
      <c r="E12" s="67"/>
      <c r="F12" s="29"/>
      <c r="G12" s="67"/>
      <c r="H12" s="227"/>
      <c r="I12" s="231"/>
      <c r="J12" s="32"/>
      <c r="K12" s="33"/>
      <c r="L12" s="58"/>
    </row>
    <row r="13" spans="1:12" ht="17.100000000000001" customHeight="1">
      <c r="A13" s="42"/>
      <c r="B13" s="65" t="s">
        <v>3</v>
      </c>
      <c r="C13" s="82" t="s">
        <v>551</v>
      </c>
      <c r="D13" s="68" t="s">
        <v>219</v>
      </c>
      <c r="E13" s="67"/>
      <c r="F13" s="29"/>
      <c r="G13" s="67"/>
      <c r="H13" s="227"/>
      <c r="I13" s="231"/>
      <c r="J13" s="32"/>
      <c r="K13" s="33"/>
      <c r="L13" s="73"/>
    </row>
    <row r="14" spans="1:12" ht="17.100000000000001" customHeight="1">
      <c r="A14" s="42"/>
      <c r="B14" s="65" t="s">
        <v>7</v>
      </c>
      <c r="C14" s="84">
        <v>1</v>
      </c>
      <c r="D14" s="74">
        <v>0.25</v>
      </c>
      <c r="F14" s="38"/>
      <c r="H14" s="227"/>
      <c r="I14" s="231"/>
      <c r="J14" s="32"/>
      <c r="K14" s="33"/>
      <c r="L14" s="75"/>
    </row>
    <row r="15" spans="1:12" ht="17.100000000000001" customHeight="1">
      <c r="A15" s="42"/>
      <c r="B15" s="65" t="s">
        <v>5</v>
      </c>
      <c r="C15" s="85" t="s">
        <v>556</v>
      </c>
      <c r="D15" s="76">
        <v>45536</v>
      </c>
      <c r="F15" s="38"/>
      <c r="H15" s="227"/>
      <c r="I15" s="231"/>
      <c r="J15" s="32"/>
      <c r="K15" s="33"/>
    </row>
    <row r="16" spans="1:12" ht="17.100000000000001" customHeight="1">
      <c r="A16" s="42"/>
      <c r="B16" s="65" t="s">
        <v>9</v>
      </c>
      <c r="C16" s="82" t="s">
        <v>518</v>
      </c>
      <c r="D16" s="68" t="s">
        <v>182</v>
      </c>
      <c r="F16" s="38"/>
      <c r="H16" s="227"/>
      <c r="I16" s="231"/>
      <c r="J16" s="32"/>
      <c r="K16" s="33"/>
    </row>
    <row r="17" spans="1:11" ht="17.100000000000001" customHeight="1">
      <c r="A17" s="42"/>
      <c r="B17" s="65" t="s">
        <v>11</v>
      </c>
      <c r="C17" s="82" t="s">
        <v>552</v>
      </c>
      <c r="D17" s="68" t="s">
        <v>187</v>
      </c>
      <c r="F17" s="38"/>
      <c r="H17" s="227"/>
      <c r="I17" s="231"/>
      <c r="J17" s="32"/>
      <c r="K17" s="33"/>
    </row>
    <row r="18" spans="1:11" ht="17.100000000000001" customHeight="1">
      <c r="A18" s="42"/>
      <c r="B18" s="65" t="s">
        <v>14</v>
      </c>
      <c r="C18" s="82" t="s">
        <v>15</v>
      </c>
      <c r="D18" s="68" t="s">
        <v>15</v>
      </c>
      <c r="F18" s="38"/>
      <c r="H18" s="227"/>
      <c r="I18" s="231"/>
      <c r="J18" s="32"/>
      <c r="K18" s="33"/>
    </row>
    <row r="19" spans="1:11" ht="17.100000000000001" customHeight="1">
      <c r="A19" s="42"/>
      <c r="B19" s="65" t="s">
        <v>17</v>
      </c>
      <c r="C19" s="82" t="s">
        <v>18</v>
      </c>
      <c r="D19" s="68" t="s">
        <v>93</v>
      </c>
      <c r="F19" s="39"/>
      <c r="H19" s="227"/>
      <c r="I19" s="231"/>
      <c r="J19" s="32"/>
      <c r="K19" s="33"/>
    </row>
    <row r="20" spans="1:11" ht="17.100000000000001" customHeight="1">
      <c r="A20" s="42"/>
      <c r="C20" s="78"/>
      <c r="D20" s="78"/>
      <c r="F20" s="39"/>
      <c r="H20" s="227"/>
      <c r="I20" s="231"/>
      <c r="J20" s="32"/>
      <c r="K20" s="33"/>
    </row>
    <row r="21" spans="1:11" ht="17.100000000000001" customHeight="1">
      <c r="A21" s="42"/>
      <c r="B21" s="79"/>
      <c r="C21" s="78"/>
      <c r="D21" s="78"/>
      <c r="F21" s="39"/>
      <c r="H21" s="227"/>
      <c r="I21" s="231"/>
      <c r="J21" s="32"/>
      <c r="K21" s="33"/>
    </row>
    <row r="22" spans="1:11" ht="17.100000000000001" customHeight="1">
      <c r="A22" s="42"/>
      <c r="B22" s="78"/>
      <c r="C22" s="78"/>
      <c r="D22" s="78"/>
      <c r="F22" s="39"/>
      <c r="H22" s="227"/>
      <c r="I22" s="231"/>
      <c r="J22" s="32"/>
      <c r="K22" s="33"/>
    </row>
    <row r="23" spans="1:11" ht="17.100000000000001" customHeight="1">
      <c r="A23" s="42"/>
      <c r="B23" s="78"/>
      <c r="C23" s="78"/>
      <c r="D23" s="78"/>
      <c r="F23" s="39"/>
      <c r="H23" s="227"/>
      <c r="I23" s="231"/>
      <c r="J23" s="32"/>
      <c r="K23" s="33"/>
    </row>
    <row r="24" spans="1:11" ht="17.100000000000001" customHeight="1">
      <c r="A24" s="42"/>
      <c r="B24" s="78"/>
      <c r="C24" s="78"/>
      <c r="D24" s="78"/>
      <c r="F24" s="39"/>
      <c r="H24" s="227"/>
      <c r="I24" s="231"/>
      <c r="J24" s="32"/>
      <c r="K24" s="33"/>
    </row>
    <row r="25" spans="1:11" ht="17.100000000000001" customHeight="1">
      <c r="A25" s="42"/>
      <c r="B25" s="78"/>
      <c r="C25" s="78"/>
      <c r="D25" s="78"/>
      <c r="F25" s="39"/>
      <c r="H25" s="227"/>
      <c r="I25" s="231"/>
      <c r="J25" s="32"/>
      <c r="K25" s="33"/>
    </row>
    <row r="26" spans="1:11" ht="17.100000000000001" customHeight="1">
      <c r="A26" s="42"/>
      <c r="C26" s="78"/>
      <c r="D26" s="78"/>
      <c r="F26" s="39"/>
      <c r="H26" s="227"/>
      <c r="I26" s="231"/>
      <c r="J26" s="32"/>
      <c r="K26" s="33"/>
    </row>
    <row r="27" spans="1:11" ht="17.100000000000001" customHeight="1">
      <c r="A27" s="42"/>
      <c r="C27" s="78"/>
      <c r="D27" s="78"/>
      <c r="F27" s="39"/>
      <c r="H27" s="227"/>
      <c r="I27" s="231"/>
      <c r="J27" s="32"/>
      <c r="K27" s="33"/>
    </row>
    <row r="28" spans="1:11" ht="17.100000000000001" customHeight="1">
      <c r="A28" s="42"/>
      <c r="B28" s="78"/>
      <c r="C28" s="78"/>
      <c r="D28" s="78"/>
      <c r="F28" s="39"/>
      <c r="H28" s="227"/>
      <c r="I28" s="231"/>
      <c r="J28" s="32"/>
      <c r="K28" s="33"/>
    </row>
    <row r="29" spans="1:11" ht="17.100000000000001" customHeight="1">
      <c r="A29" s="42"/>
      <c r="C29" s="78"/>
      <c r="D29" s="78"/>
      <c r="F29" s="39"/>
      <c r="H29" s="227"/>
      <c r="I29" s="231"/>
      <c r="J29" s="32"/>
      <c r="K29" s="33"/>
    </row>
    <row r="30" spans="1:11" ht="17.100000000000001" customHeight="1">
      <c r="A30" s="42"/>
      <c r="C30" s="78"/>
      <c r="D30" s="78"/>
      <c r="F30" s="39"/>
      <c r="H30" s="227"/>
      <c r="I30" s="231"/>
      <c r="J30" s="32"/>
      <c r="K30" s="33"/>
    </row>
    <row r="31" spans="1:11" ht="17.100000000000001" customHeight="1">
      <c r="A31" s="42"/>
      <c r="B31" s="78"/>
      <c r="C31" s="78"/>
      <c r="D31" s="78"/>
      <c r="F31" s="39"/>
      <c r="H31" s="227"/>
      <c r="I31" s="231"/>
      <c r="J31" s="32"/>
      <c r="K31" s="33"/>
    </row>
    <row r="32" spans="1:11" ht="17.100000000000001" customHeight="1">
      <c r="A32" s="42"/>
      <c r="B32" s="78"/>
      <c r="C32" s="78"/>
      <c r="D32" s="78"/>
      <c r="F32" s="39"/>
      <c r="H32" s="227"/>
      <c r="I32" s="231"/>
      <c r="J32" s="32"/>
      <c r="K32" s="33"/>
    </row>
    <row r="33" spans="1:11" ht="17.100000000000001" customHeight="1">
      <c r="A33" s="42"/>
      <c r="B33" s="78"/>
      <c r="C33" s="78"/>
      <c r="D33" s="78"/>
      <c r="F33" s="39"/>
      <c r="H33" s="227"/>
      <c r="I33" s="231"/>
      <c r="J33" s="32"/>
      <c r="K33" s="33"/>
    </row>
    <row r="34" spans="1:11" ht="17.100000000000001" customHeight="1">
      <c r="A34" s="42"/>
      <c r="B34" s="78"/>
      <c r="C34" s="78"/>
      <c r="D34" s="78"/>
      <c r="F34" s="39"/>
      <c r="H34" s="227"/>
      <c r="I34" s="231"/>
      <c r="J34" s="32"/>
      <c r="K34" s="33"/>
    </row>
    <row r="35" spans="1:11" ht="17.100000000000001" customHeight="1">
      <c r="A35" s="42"/>
      <c r="C35" s="78"/>
      <c r="D35" s="78"/>
      <c r="F35" s="39"/>
      <c r="H35" s="227"/>
      <c r="I35" s="231"/>
      <c r="J35" s="32"/>
      <c r="K35" s="33"/>
    </row>
    <row r="36" spans="1:11" ht="17.100000000000001" customHeight="1">
      <c r="A36" s="42"/>
      <c r="C36" s="78"/>
      <c r="D36" s="78"/>
      <c r="F36" s="39"/>
      <c r="H36" s="227"/>
      <c r="I36" s="231"/>
      <c r="J36" s="32"/>
      <c r="K36" s="33"/>
    </row>
    <row r="37" spans="1:11" ht="17.100000000000001" customHeight="1">
      <c r="A37" s="42"/>
      <c r="B37" s="78"/>
      <c r="C37" s="78"/>
      <c r="D37" s="78"/>
      <c r="F37" s="39"/>
      <c r="H37" s="227"/>
      <c r="I37" s="231"/>
      <c r="J37" s="32"/>
      <c r="K37" s="33"/>
    </row>
    <row r="38" spans="1:11" ht="17.100000000000001" customHeight="1">
      <c r="A38" s="42"/>
      <c r="B38" s="78"/>
      <c r="C38" s="78"/>
      <c r="D38" s="78"/>
      <c r="F38" s="39"/>
      <c r="H38" s="227"/>
      <c r="I38" s="231"/>
      <c r="J38" s="32"/>
      <c r="K38" s="33"/>
    </row>
    <row r="39" spans="1:11" ht="17.100000000000001" customHeight="1">
      <c r="A39" s="42"/>
      <c r="B39" s="78"/>
      <c r="C39" s="78"/>
      <c r="D39" s="78"/>
      <c r="F39" s="39"/>
      <c r="H39" s="227"/>
      <c r="I39" s="231"/>
      <c r="J39" s="32"/>
      <c r="K39" s="33"/>
    </row>
    <row r="40" spans="1:11" ht="17.100000000000001" customHeight="1">
      <c r="A40" s="42"/>
      <c r="B40" s="78"/>
      <c r="C40" s="78"/>
      <c r="D40" s="78"/>
      <c r="F40" s="39"/>
      <c r="H40" s="227"/>
      <c r="I40" s="231"/>
      <c r="J40" s="32"/>
      <c r="K40" s="33"/>
    </row>
    <row r="41" spans="1:11" ht="17.100000000000001" customHeight="1">
      <c r="A41" s="42"/>
      <c r="B41" s="78"/>
      <c r="C41" s="78"/>
      <c r="D41" s="78"/>
      <c r="F41" s="39"/>
      <c r="H41" s="227"/>
      <c r="I41" s="231"/>
      <c r="J41" s="32"/>
      <c r="K41" s="33"/>
    </row>
    <row r="42" spans="1:11" ht="17.100000000000001" customHeight="1">
      <c r="A42" s="42"/>
      <c r="B42" s="78"/>
      <c r="C42" s="78"/>
      <c r="D42" s="78"/>
      <c r="F42" s="39"/>
      <c r="H42" s="227"/>
      <c r="I42" s="231"/>
      <c r="J42" s="32"/>
      <c r="K42" s="33"/>
    </row>
    <row r="43" spans="1:11" ht="17.100000000000001" customHeight="1">
      <c r="A43" s="42"/>
      <c r="B43" s="78"/>
      <c r="C43" s="78"/>
      <c r="D43" s="78"/>
      <c r="F43" s="39"/>
      <c r="H43" s="227"/>
      <c r="I43" s="231"/>
      <c r="J43" s="32"/>
      <c r="K43" s="33"/>
    </row>
    <row r="44" spans="1:11" ht="17.100000000000001" customHeight="1">
      <c r="A44" s="42"/>
      <c r="B44" s="78"/>
      <c r="C44" s="78"/>
      <c r="D44" s="78"/>
      <c r="F44" s="39"/>
      <c r="H44" s="227"/>
      <c r="I44" s="231"/>
      <c r="J44" s="32"/>
      <c r="K44" s="33"/>
    </row>
    <row r="45" spans="1:11" ht="17.100000000000001" customHeight="1">
      <c r="A45" s="42"/>
      <c r="B45" s="78"/>
      <c r="C45" s="78"/>
      <c r="D45" s="78"/>
      <c r="F45" s="39"/>
      <c r="H45" s="227"/>
      <c r="I45" s="231"/>
      <c r="J45" s="32"/>
      <c r="K45" s="33"/>
    </row>
    <row r="46" spans="1:11" ht="17.100000000000001" customHeight="1">
      <c r="A46" s="42"/>
      <c r="B46" s="78"/>
      <c r="C46" s="78"/>
      <c r="D46" s="78"/>
      <c r="F46" s="39"/>
      <c r="H46" s="227"/>
      <c r="I46" s="231"/>
      <c r="J46" s="32"/>
      <c r="K46" s="33"/>
    </row>
    <row r="47" spans="1:11" ht="17.100000000000001" customHeight="1">
      <c r="A47" s="42"/>
      <c r="B47" s="78"/>
      <c r="C47" s="78"/>
      <c r="D47" s="78"/>
      <c r="F47" s="39"/>
      <c r="H47" s="227"/>
      <c r="I47" s="231"/>
      <c r="J47" s="32"/>
      <c r="K47" s="33"/>
    </row>
    <row r="48" spans="1:11" ht="17.100000000000001" customHeight="1">
      <c r="A48" s="42"/>
      <c r="B48" s="78"/>
      <c r="C48" s="78"/>
      <c r="D48" s="78"/>
      <c r="F48" s="39"/>
      <c r="H48" s="227"/>
      <c r="I48" s="231"/>
      <c r="J48" s="32"/>
      <c r="K48" s="33"/>
    </row>
    <row r="49" spans="1:11" ht="17.100000000000001" customHeight="1">
      <c r="A49" s="42"/>
      <c r="B49" s="78"/>
      <c r="C49" s="78"/>
      <c r="D49" s="78"/>
      <c r="F49" s="39"/>
      <c r="H49" s="227"/>
      <c r="I49" s="231"/>
      <c r="J49" s="32"/>
      <c r="K49" s="33"/>
    </row>
    <row r="50" spans="1:11" ht="17.100000000000001" customHeight="1">
      <c r="A50" s="42"/>
      <c r="B50" s="78"/>
      <c r="C50" s="78"/>
      <c r="D50" s="78"/>
      <c r="F50" s="39"/>
      <c r="H50" s="227"/>
      <c r="I50" s="231"/>
      <c r="J50" s="32"/>
      <c r="K50" s="33"/>
    </row>
    <row r="51" spans="1:11" ht="17.100000000000001" customHeight="1">
      <c r="A51" s="42"/>
      <c r="B51" s="78"/>
      <c r="C51" s="78"/>
      <c r="D51" s="78"/>
      <c r="F51" s="39"/>
      <c r="H51" s="227"/>
      <c r="I51" s="231"/>
      <c r="J51" s="32"/>
      <c r="K51" s="33"/>
    </row>
    <row r="52" spans="1:11" ht="17.100000000000001" customHeight="1">
      <c r="A52" s="42"/>
      <c r="B52" s="78"/>
      <c r="C52" s="78"/>
      <c r="D52" s="78"/>
      <c r="F52" s="39"/>
      <c r="H52" s="227"/>
      <c r="I52" s="231"/>
      <c r="J52" s="32"/>
      <c r="K52" s="33"/>
    </row>
    <row r="53" spans="1:11" ht="17.100000000000001" customHeight="1">
      <c r="A53" s="42"/>
      <c r="B53" s="78"/>
      <c r="C53" s="78"/>
      <c r="D53" s="78"/>
      <c r="F53" s="39"/>
      <c r="H53" s="227"/>
      <c r="I53" s="231"/>
      <c r="J53" s="32"/>
      <c r="K53" s="33"/>
    </row>
    <row r="54" spans="1:11" ht="17.100000000000001" customHeight="1">
      <c r="A54" s="42"/>
      <c r="B54" s="78"/>
      <c r="C54" s="78"/>
      <c r="D54" s="78"/>
      <c r="F54" s="39"/>
      <c r="H54" s="228"/>
      <c r="I54" s="232"/>
      <c r="J54" s="34"/>
      <c r="K54" s="35"/>
    </row>
    <row r="55" spans="1:11" ht="17.100000000000001" customHeight="1">
      <c r="H55" s="229"/>
      <c r="I55" s="229"/>
      <c r="J55" s="80"/>
      <c r="K55" s="80"/>
    </row>
    <row r="56" spans="1:11">
      <c r="J56" s="57"/>
    </row>
  </sheetData>
  <mergeCells count="2">
    <mergeCell ref="B3:C3"/>
    <mergeCell ref="H2:J2"/>
  </mergeCells>
  <phoneticPr fontId="46" type="noConversion"/>
  <conditionalFormatting sqref="C4:D8 C11:D19">
    <cfRule type="expression" dxfId="120" priority="1">
      <formula>OR(LEN(C4) = 0, C4="0")</formula>
    </cfRule>
  </conditionalFormatting>
  <printOptions horizontalCentered="1"/>
  <pageMargins left="0.25" right="0.25" top="0.4" bottom="0.4" header="0.5" footer="0.25"/>
  <pageSetup scale="60" fitToHeight="5" orientation="portrait" r:id="rId1"/>
  <headerFooter>
    <oddFooter>&amp;L&amp;D&amp;CPage &amp;P of &amp;N&amp;REquipment Vendor Safety Buyoff - Rev 1</oddFooter>
  </headerFooter>
  <drawing r:id="rId2"/>
  <legacy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A5AE1321-A46B-40A1-B701-FBDEFE140E38}">
          <x14:formula1>
            <xm:f>Dropdown_Lists!$A$2:$A$3</xm:f>
          </x14:formula1>
          <xm:sqref>C18:D18</xm:sqref>
        </x14:dataValidation>
        <x14:dataValidation type="list" allowBlank="1" showInputMessage="1" showErrorMessage="1" xr:uid="{D8CB9664-2586-4AD5-969A-594E986FAE85}">
          <x14:formula1>
            <xm:f>Dropdown_Lists!$B$2:$B$4</xm:f>
          </x14:formula1>
          <xm:sqref>C19:D19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2BA25-313C-40A1-B23A-B5500B572086}">
  <sheetPr codeName="Sheet3"/>
  <dimension ref="A1:F34"/>
  <sheetViews>
    <sheetView view="pageBreakPreview" zoomScale="85" zoomScaleNormal="86" zoomScaleSheetLayoutView="85" workbookViewId="0">
      <selection activeCell="J17" sqref="J17"/>
    </sheetView>
  </sheetViews>
  <sheetFormatPr defaultColWidth="8.625" defaultRowHeight="12"/>
  <cols>
    <col min="1" max="1" width="5.375" style="42" customWidth="1"/>
    <col min="2" max="2" width="25.75" style="78" customWidth="1"/>
    <col min="3" max="3" width="21.25" style="78" customWidth="1"/>
    <col min="4" max="4" width="1.75" style="42" customWidth="1"/>
    <col min="5" max="5" width="101.25" style="4" customWidth="1"/>
    <col min="6" max="6" width="2.5" style="42" customWidth="1"/>
    <col min="7" max="8" width="8.625" style="42"/>
    <col min="9" max="9" width="11.5" style="42" bestFit="1" customWidth="1"/>
    <col min="10" max="10" width="9.5" style="42" bestFit="1" customWidth="1"/>
    <col min="11" max="253" width="8.625" style="42"/>
    <col min="254" max="254" width="5.625" style="42" customWidth="1"/>
    <col min="255" max="255" width="10.625" style="42" customWidth="1"/>
    <col min="256" max="256" width="45.625" style="42" customWidth="1"/>
    <col min="257" max="257" width="48.625" style="42" customWidth="1"/>
    <col min="258" max="260" width="5.625" style="42" customWidth="1"/>
    <col min="261" max="261" width="21.625" style="42" customWidth="1"/>
    <col min="262" max="262" width="22.625" style="42" customWidth="1"/>
    <col min="263" max="509" width="8.625" style="42"/>
    <col min="510" max="510" width="5.625" style="42" customWidth="1"/>
    <col min="511" max="511" width="10.625" style="42" customWidth="1"/>
    <col min="512" max="512" width="45.625" style="42" customWidth="1"/>
    <col min="513" max="513" width="48.625" style="42" customWidth="1"/>
    <col min="514" max="516" width="5.625" style="42" customWidth="1"/>
    <col min="517" max="517" width="21.625" style="42" customWidth="1"/>
    <col min="518" max="518" width="22.625" style="42" customWidth="1"/>
    <col min="519" max="765" width="8.625" style="42"/>
    <col min="766" max="766" width="5.625" style="42" customWidth="1"/>
    <col min="767" max="767" width="10.625" style="42" customWidth="1"/>
    <col min="768" max="768" width="45.625" style="42" customWidth="1"/>
    <col min="769" max="769" width="48.625" style="42" customWidth="1"/>
    <col min="770" max="772" width="5.625" style="42" customWidth="1"/>
    <col min="773" max="773" width="21.625" style="42" customWidth="1"/>
    <col min="774" max="774" width="22.625" style="42" customWidth="1"/>
    <col min="775" max="1021" width="8.625" style="42"/>
    <col min="1022" max="1022" width="5.625" style="42" customWidth="1"/>
    <col min="1023" max="1023" width="10.625" style="42" customWidth="1"/>
    <col min="1024" max="1024" width="45.625" style="42" customWidth="1"/>
    <col min="1025" max="1025" width="48.625" style="42" customWidth="1"/>
    <col min="1026" max="1028" width="5.625" style="42" customWidth="1"/>
    <col min="1029" max="1029" width="21.625" style="42" customWidth="1"/>
    <col min="1030" max="1030" width="22.625" style="42" customWidth="1"/>
    <col min="1031" max="1277" width="8.625" style="42"/>
    <col min="1278" max="1278" width="5.625" style="42" customWidth="1"/>
    <col min="1279" max="1279" width="10.625" style="42" customWidth="1"/>
    <col min="1280" max="1280" width="45.625" style="42" customWidth="1"/>
    <col min="1281" max="1281" width="48.625" style="42" customWidth="1"/>
    <col min="1282" max="1284" width="5.625" style="42" customWidth="1"/>
    <col min="1285" max="1285" width="21.625" style="42" customWidth="1"/>
    <col min="1286" max="1286" width="22.625" style="42" customWidth="1"/>
    <col min="1287" max="1533" width="8.625" style="42"/>
    <col min="1534" max="1534" width="5.625" style="42" customWidth="1"/>
    <col min="1535" max="1535" width="10.625" style="42" customWidth="1"/>
    <col min="1536" max="1536" width="45.625" style="42" customWidth="1"/>
    <col min="1537" max="1537" width="48.625" style="42" customWidth="1"/>
    <col min="1538" max="1540" width="5.625" style="42" customWidth="1"/>
    <col min="1541" max="1541" width="21.625" style="42" customWidth="1"/>
    <col min="1542" max="1542" width="22.625" style="42" customWidth="1"/>
    <col min="1543" max="1789" width="8.625" style="42"/>
    <col min="1790" max="1790" width="5.625" style="42" customWidth="1"/>
    <col min="1791" max="1791" width="10.625" style="42" customWidth="1"/>
    <col min="1792" max="1792" width="45.625" style="42" customWidth="1"/>
    <col min="1793" max="1793" width="48.625" style="42" customWidth="1"/>
    <col min="1794" max="1796" width="5.625" style="42" customWidth="1"/>
    <col min="1797" max="1797" width="21.625" style="42" customWidth="1"/>
    <col min="1798" max="1798" width="22.625" style="42" customWidth="1"/>
    <col min="1799" max="2045" width="8.625" style="42"/>
    <col min="2046" max="2046" width="5.625" style="42" customWidth="1"/>
    <col min="2047" max="2047" width="10.625" style="42" customWidth="1"/>
    <col min="2048" max="2048" width="45.625" style="42" customWidth="1"/>
    <col min="2049" max="2049" width="48.625" style="42" customWidth="1"/>
    <col min="2050" max="2052" width="5.625" style="42" customWidth="1"/>
    <col min="2053" max="2053" width="21.625" style="42" customWidth="1"/>
    <col min="2054" max="2054" width="22.625" style="42" customWidth="1"/>
    <col min="2055" max="2301" width="8.625" style="42"/>
    <col min="2302" max="2302" width="5.625" style="42" customWidth="1"/>
    <col min="2303" max="2303" width="10.625" style="42" customWidth="1"/>
    <col min="2304" max="2304" width="45.625" style="42" customWidth="1"/>
    <col min="2305" max="2305" width="48.625" style="42" customWidth="1"/>
    <col min="2306" max="2308" width="5.625" style="42" customWidth="1"/>
    <col min="2309" max="2309" width="21.625" style="42" customWidth="1"/>
    <col min="2310" max="2310" width="22.625" style="42" customWidth="1"/>
    <col min="2311" max="2557" width="8.625" style="42"/>
    <col min="2558" max="2558" width="5.625" style="42" customWidth="1"/>
    <col min="2559" max="2559" width="10.625" style="42" customWidth="1"/>
    <col min="2560" max="2560" width="45.625" style="42" customWidth="1"/>
    <col min="2561" max="2561" width="48.625" style="42" customWidth="1"/>
    <col min="2562" max="2564" width="5.625" style="42" customWidth="1"/>
    <col min="2565" max="2565" width="21.625" style="42" customWidth="1"/>
    <col min="2566" max="2566" width="22.625" style="42" customWidth="1"/>
    <col min="2567" max="2813" width="8.625" style="42"/>
    <col min="2814" max="2814" width="5.625" style="42" customWidth="1"/>
    <col min="2815" max="2815" width="10.625" style="42" customWidth="1"/>
    <col min="2816" max="2816" width="45.625" style="42" customWidth="1"/>
    <col min="2817" max="2817" width="48.625" style="42" customWidth="1"/>
    <col min="2818" max="2820" width="5.625" style="42" customWidth="1"/>
    <col min="2821" max="2821" width="21.625" style="42" customWidth="1"/>
    <col min="2822" max="2822" width="22.625" style="42" customWidth="1"/>
    <col min="2823" max="3069" width="8.625" style="42"/>
    <col min="3070" max="3070" width="5.625" style="42" customWidth="1"/>
    <col min="3071" max="3071" width="10.625" style="42" customWidth="1"/>
    <col min="3072" max="3072" width="45.625" style="42" customWidth="1"/>
    <col min="3073" max="3073" width="48.625" style="42" customWidth="1"/>
    <col min="3074" max="3076" width="5.625" style="42" customWidth="1"/>
    <col min="3077" max="3077" width="21.625" style="42" customWidth="1"/>
    <col min="3078" max="3078" width="22.625" style="42" customWidth="1"/>
    <col min="3079" max="3325" width="8.625" style="42"/>
    <col min="3326" max="3326" width="5.625" style="42" customWidth="1"/>
    <col min="3327" max="3327" width="10.625" style="42" customWidth="1"/>
    <col min="3328" max="3328" width="45.625" style="42" customWidth="1"/>
    <col min="3329" max="3329" width="48.625" style="42" customWidth="1"/>
    <col min="3330" max="3332" width="5.625" style="42" customWidth="1"/>
    <col min="3333" max="3333" width="21.625" style="42" customWidth="1"/>
    <col min="3334" max="3334" width="22.625" style="42" customWidth="1"/>
    <col min="3335" max="3581" width="8.625" style="42"/>
    <col min="3582" max="3582" width="5.625" style="42" customWidth="1"/>
    <col min="3583" max="3583" width="10.625" style="42" customWidth="1"/>
    <col min="3584" max="3584" width="45.625" style="42" customWidth="1"/>
    <col min="3585" max="3585" width="48.625" style="42" customWidth="1"/>
    <col min="3586" max="3588" width="5.625" style="42" customWidth="1"/>
    <col min="3589" max="3589" width="21.625" style="42" customWidth="1"/>
    <col min="3590" max="3590" width="22.625" style="42" customWidth="1"/>
    <col min="3591" max="3837" width="8.625" style="42"/>
    <col min="3838" max="3838" width="5.625" style="42" customWidth="1"/>
    <col min="3839" max="3839" width="10.625" style="42" customWidth="1"/>
    <col min="3840" max="3840" width="45.625" style="42" customWidth="1"/>
    <col min="3841" max="3841" width="48.625" style="42" customWidth="1"/>
    <col min="3842" max="3844" width="5.625" style="42" customWidth="1"/>
    <col min="3845" max="3845" width="21.625" style="42" customWidth="1"/>
    <col min="3846" max="3846" width="22.625" style="42" customWidth="1"/>
    <col min="3847" max="4093" width="8.625" style="42"/>
    <col min="4094" max="4094" width="5.625" style="42" customWidth="1"/>
    <col min="4095" max="4095" width="10.625" style="42" customWidth="1"/>
    <col min="4096" max="4096" width="45.625" style="42" customWidth="1"/>
    <col min="4097" max="4097" width="48.625" style="42" customWidth="1"/>
    <col min="4098" max="4100" width="5.625" style="42" customWidth="1"/>
    <col min="4101" max="4101" width="21.625" style="42" customWidth="1"/>
    <col min="4102" max="4102" width="22.625" style="42" customWidth="1"/>
    <col min="4103" max="4349" width="8.625" style="42"/>
    <col min="4350" max="4350" width="5.625" style="42" customWidth="1"/>
    <col min="4351" max="4351" width="10.625" style="42" customWidth="1"/>
    <col min="4352" max="4352" width="45.625" style="42" customWidth="1"/>
    <col min="4353" max="4353" width="48.625" style="42" customWidth="1"/>
    <col min="4354" max="4356" width="5.625" style="42" customWidth="1"/>
    <col min="4357" max="4357" width="21.625" style="42" customWidth="1"/>
    <col min="4358" max="4358" width="22.625" style="42" customWidth="1"/>
    <col min="4359" max="4605" width="8.625" style="42"/>
    <col min="4606" max="4606" width="5.625" style="42" customWidth="1"/>
    <col min="4607" max="4607" width="10.625" style="42" customWidth="1"/>
    <col min="4608" max="4608" width="45.625" style="42" customWidth="1"/>
    <col min="4609" max="4609" width="48.625" style="42" customWidth="1"/>
    <col min="4610" max="4612" width="5.625" style="42" customWidth="1"/>
    <col min="4613" max="4613" width="21.625" style="42" customWidth="1"/>
    <col min="4614" max="4614" width="22.625" style="42" customWidth="1"/>
    <col min="4615" max="4861" width="8.625" style="42"/>
    <col min="4862" max="4862" width="5.625" style="42" customWidth="1"/>
    <col min="4863" max="4863" width="10.625" style="42" customWidth="1"/>
    <col min="4864" max="4864" width="45.625" style="42" customWidth="1"/>
    <col min="4865" max="4865" width="48.625" style="42" customWidth="1"/>
    <col min="4866" max="4868" width="5.625" style="42" customWidth="1"/>
    <col min="4869" max="4869" width="21.625" style="42" customWidth="1"/>
    <col min="4870" max="4870" width="22.625" style="42" customWidth="1"/>
    <col min="4871" max="5117" width="8.625" style="42"/>
    <col min="5118" max="5118" width="5.625" style="42" customWidth="1"/>
    <col min="5119" max="5119" width="10.625" style="42" customWidth="1"/>
    <col min="5120" max="5120" width="45.625" style="42" customWidth="1"/>
    <col min="5121" max="5121" width="48.625" style="42" customWidth="1"/>
    <col min="5122" max="5124" width="5.625" style="42" customWidth="1"/>
    <col min="5125" max="5125" width="21.625" style="42" customWidth="1"/>
    <col min="5126" max="5126" width="22.625" style="42" customWidth="1"/>
    <col min="5127" max="5373" width="8.625" style="42"/>
    <col min="5374" max="5374" width="5.625" style="42" customWidth="1"/>
    <col min="5375" max="5375" width="10.625" style="42" customWidth="1"/>
    <col min="5376" max="5376" width="45.625" style="42" customWidth="1"/>
    <col min="5377" max="5377" width="48.625" style="42" customWidth="1"/>
    <col min="5378" max="5380" width="5.625" style="42" customWidth="1"/>
    <col min="5381" max="5381" width="21.625" style="42" customWidth="1"/>
    <col min="5382" max="5382" width="22.625" style="42" customWidth="1"/>
    <col min="5383" max="5629" width="8.625" style="42"/>
    <col min="5630" max="5630" width="5.625" style="42" customWidth="1"/>
    <col min="5631" max="5631" width="10.625" style="42" customWidth="1"/>
    <col min="5632" max="5632" width="45.625" style="42" customWidth="1"/>
    <col min="5633" max="5633" width="48.625" style="42" customWidth="1"/>
    <col min="5634" max="5636" width="5.625" style="42" customWidth="1"/>
    <col min="5637" max="5637" width="21.625" style="42" customWidth="1"/>
    <col min="5638" max="5638" width="22.625" style="42" customWidth="1"/>
    <col min="5639" max="5885" width="8.625" style="42"/>
    <col min="5886" max="5886" width="5.625" style="42" customWidth="1"/>
    <col min="5887" max="5887" width="10.625" style="42" customWidth="1"/>
    <col min="5888" max="5888" width="45.625" style="42" customWidth="1"/>
    <col min="5889" max="5889" width="48.625" style="42" customWidth="1"/>
    <col min="5890" max="5892" width="5.625" style="42" customWidth="1"/>
    <col min="5893" max="5893" width="21.625" style="42" customWidth="1"/>
    <col min="5894" max="5894" width="22.625" style="42" customWidth="1"/>
    <col min="5895" max="6141" width="8.625" style="42"/>
    <col min="6142" max="6142" width="5.625" style="42" customWidth="1"/>
    <col min="6143" max="6143" width="10.625" style="42" customWidth="1"/>
    <col min="6144" max="6144" width="45.625" style="42" customWidth="1"/>
    <col min="6145" max="6145" width="48.625" style="42" customWidth="1"/>
    <col min="6146" max="6148" width="5.625" style="42" customWidth="1"/>
    <col min="6149" max="6149" width="21.625" style="42" customWidth="1"/>
    <col min="6150" max="6150" width="22.625" style="42" customWidth="1"/>
    <col min="6151" max="6397" width="8.625" style="42"/>
    <col min="6398" max="6398" width="5.625" style="42" customWidth="1"/>
    <col min="6399" max="6399" width="10.625" style="42" customWidth="1"/>
    <col min="6400" max="6400" width="45.625" style="42" customWidth="1"/>
    <col min="6401" max="6401" width="48.625" style="42" customWidth="1"/>
    <col min="6402" max="6404" width="5.625" style="42" customWidth="1"/>
    <col min="6405" max="6405" width="21.625" style="42" customWidth="1"/>
    <col min="6406" max="6406" width="22.625" style="42" customWidth="1"/>
    <col min="6407" max="6653" width="8.625" style="42"/>
    <col min="6654" max="6654" width="5.625" style="42" customWidth="1"/>
    <col min="6655" max="6655" width="10.625" style="42" customWidth="1"/>
    <col min="6656" max="6656" width="45.625" style="42" customWidth="1"/>
    <col min="6657" max="6657" width="48.625" style="42" customWidth="1"/>
    <col min="6658" max="6660" width="5.625" style="42" customWidth="1"/>
    <col min="6661" max="6661" width="21.625" style="42" customWidth="1"/>
    <col min="6662" max="6662" width="22.625" style="42" customWidth="1"/>
    <col min="6663" max="6909" width="8.625" style="42"/>
    <col min="6910" max="6910" width="5.625" style="42" customWidth="1"/>
    <col min="6911" max="6911" width="10.625" style="42" customWidth="1"/>
    <col min="6912" max="6912" width="45.625" style="42" customWidth="1"/>
    <col min="6913" max="6913" width="48.625" style="42" customWidth="1"/>
    <col min="6914" max="6916" width="5.625" style="42" customWidth="1"/>
    <col min="6917" max="6917" width="21.625" style="42" customWidth="1"/>
    <col min="6918" max="6918" width="22.625" style="42" customWidth="1"/>
    <col min="6919" max="7165" width="8.625" style="42"/>
    <col min="7166" max="7166" width="5.625" style="42" customWidth="1"/>
    <col min="7167" max="7167" width="10.625" style="42" customWidth="1"/>
    <col min="7168" max="7168" width="45.625" style="42" customWidth="1"/>
    <col min="7169" max="7169" width="48.625" style="42" customWidth="1"/>
    <col min="7170" max="7172" width="5.625" style="42" customWidth="1"/>
    <col min="7173" max="7173" width="21.625" style="42" customWidth="1"/>
    <col min="7174" max="7174" width="22.625" style="42" customWidth="1"/>
    <col min="7175" max="7421" width="8.625" style="42"/>
    <col min="7422" max="7422" width="5.625" style="42" customWidth="1"/>
    <col min="7423" max="7423" width="10.625" style="42" customWidth="1"/>
    <col min="7424" max="7424" width="45.625" style="42" customWidth="1"/>
    <col min="7425" max="7425" width="48.625" style="42" customWidth="1"/>
    <col min="7426" max="7428" width="5.625" style="42" customWidth="1"/>
    <col min="7429" max="7429" width="21.625" style="42" customWidth="1"/>
    <col min="7430" max="7430" width="22.625" style="42" customWidth="1"/>
    <col min="7431" max="7677" width="8.625" style="42"/>
    <col min="7678" max="7678" width="5.625" style="42" customWidth="1"/>
    <col min="7679" max="7679" width="10.625" style="42" customWidth="1"/>
    <col min="7680" max="7680" width="45.625" style="42" customWidth="1"/>
    <col min="7681" max="7681" width="48.625" style="42" customWidth="1"/>
    <col min="7682" max="7684" width="5.625" style="42" customWidth="1"/>
    <col min="7685" max="7685" width="21.625" style="42" customWidth="1"/>
    <col min="7686" max="7686" width="22.625" style="42" customWidth="1"/>
    <col min="7687" max="7933" width="8.625" style="42"/>
    <col min="7934" max="7934" width="5.625" style="42" customWidth="1"/>
    <col min="7935" max="7935" width="10.625" style="42" customWidth="1"/>
    <col min="7936" max="7936" width="45.625" style="42" customWidth="1"/>
    <col min="7937" max="7937" width="48.625" style="42" customWidth="1"/>
    <col min="7938" max="7940" width="5.625" style="42" customWidth="1"/>
    <col min="7941" max="7941" width="21.625" style="42" customWidth="1"/>
    <col min="7942" max="7942" width="22.625" style="42" customWidth="1"/>
    <col min="7943" max="8189" width="8.625" style="42"/>
    <col min="8190" max="8190" width="5.625" style="42" customWidth="1"/>
    <col min="8191" max="8191" width="10.625" style="42" customWidth="1"/>
    <col min="8192" max="8192" width="45.625" style="42" customWidth="1"/>
    <col min="8193" max="8193" width="48.625" style="42" customWidth="1"/>
    <col min="8194" max="8196" width="5.625" style="42" customWidth="1"/>
    <col min="8197" max="8197" width="21.625" style="42" customWidth="1"/>
    <col min="8198" max="8198" width="22.625" style="42" customWidth="1"/>
    <col min="8199" max="8445" width="8.625" style="42"/>
    <col min="8446" max="8446" width="5.625" style="42" customWidth="1"/>
    <col min="8447" max="8447" width="10.625" style="42" customWidth="1"/>
    <col min="8448" max="8448" width="45.625" style="42" customWidth="1"/>
    <col min="8449" max="8449" width="48.625" style="42" customWidth="1"/>
    <col min="8450" max="8452" width="5.625" style="42" customWidth="1"/>
    <col min="8453" max="8453" width="21.625" style="42" customWidth="1"/>
    <col min="8454" max="8454" width="22.625" style="42" customWidth="1"/>
    <col min="8455" max="8701" width="8.625" style="42"/>
    <col min="8702" max="8702" width="5.625" style="42" customWidth="1"/>
    <col min="8703" max="8703" width="10.625" style="42" customWidth="1"/>
    <col min="8704" max="8704" width="45.625" style="42" customWidth="1"/>
    <col min="8705" max="8705" width="48.625" style="42" customWidth="1"/>
    <col min="8706" max="8708" width="5.625" style="42" customWidth="1"/>
    <col min="8709" max="8709" width="21.625" style="42" customWidth="1"/>
    <col min="8710" max="8710" width="22.625" style="42" customWidth="1"/>
    <col min="8711" max="8957" width="8.625" style="42"/>
    <col min="8958" max="8958" width="5.625" style="42" customWidth="1"/>
    <col min="8959" max="8959" width="10.625" style="42" customWidth="1"/>
    <col min="8960" max="8960" width="45.625" style="42" customWidth="1"/>
    <col min="8961" max="8961" width="48.625" style="42" customWidth="1"/>
    <col min="8962" max="8964" width="5.625" style="42" customWidth="1"/>
    <col min="8965" max="8965" width="21.625" style="42" customWidth="1"/>
    <col min="8966" max="8966" width="22.625" style="42" customWidth="1"/>
    <col min="8967" max="9213" width="8.625" style="42"/>
    <col min="9214" max="9214" width="5.625" style="42" customWidth="1"/>
    <col min="9215" max="9215" width="10.625" style="42" customWidth="1"/>
    <col min="9216" max="9216" width="45.625" style="42" customWidth="1"/>
    <col min="9217" max="9217" width="48.625" style="42" customWidth="1"/>
    <col min="9218" max="9220" width="5.625" style="42" customWidth="1"/>
    <col min="9221" max="9221" width="21.625" style="42" customWidth="1"/>
    <col min="9222" max="9222" width="22.625" style="42" customWidth="1"/>
    <col min="9223" max="9469" width="8.625" style="42"/>
    <col min="9470" max="9470" width="5.625" style="42" customWidth="1"/>
    <col min="9471" max="9471" width="10.625" style="42" customWidth="1"/>
    <col min="9472" max="9472" width="45.625" style="42" customWidth="1"/>
    <col min="9473" max="9473" width="48.625" style="42" customWidth="1"/>
    <col min="9474" max="9476" width="5.625" style="42" customWidth="1"/>
    <col min="9477" max="9477" width="21.625" style="42" customWidth="1"/>
    <col min="9478" max="9478" width="22.625" style="42" customWidth="1"/>
    <col min="9479" max="9725" width="8.625" style="42"/>
    <col min="9726" max="9726" width="5.625" style="42" customWidth="1"/>
    <col min="9727" max="9727" width="10.625" style="42" customWidth="1"/>
    <col min="9728" max="9728" width="45.625" style="42" customWidth="1"/>
    <col min="9729" max="9729" width="48.625" style="42" customWidth="1"/>
    <col min="9730" max="9732" width="5.625" style="42" customWidth="1"/>
    <col min="9733" max="9733" width="21.625" style="42" customWidth="1"/>
    <col min="9734" max="9734" width="22.625" style="42" customWidth="1"/>
    <col min="9735" max="9981" width="8.625" style="42"/>
    <col min="9982" max="9982" width="5.625" style="42" customWidth="1"/>
    <col min="9983" max="9983" width="10.625" style="42" customWidth="1"/>
    <col min="9984" max="9984" width="45.625" style="42" customWidth="1"/>
    <col min="9985" max="9985" width="48.625" style="42" customWidth="1"/>
    <col min="9986" max="9988" width="5.625" style="42" customWidth="1"/>
    <col min="9989" max="9989" width="21.625" style="42" customWidth="1"/>
    <col min="9990" max="9990" width="22.625" style="42" customWidth="1"/>
    <col min="9991" max="10237" width="8.625" style="42"/>
    <col min="10238" max="10238" width="5.625" style="42" customWidth="1"/>
    <col min="10239" max="10239" width="10.625" style="42" customWidth="1"/>
    <col min="10240" max="10240" width="45.625" style="42" customWidth="1"/>
    <col min="10241" max="10241" width="48.625" style="42" customWidth="1"/>
    <col min="10242" max="10244" width="5.625" style="42" customWidth="1"/>
    <col min="10245" max="10245" width="21.625" style="42" customWidth="1"/>
    <col min="10246" max="10246" width="22.625" style="42" customWidth="1"/>
    <col min="10247" max="10493" width="8.625" style="42"/>
    <col min="10494" max="10494" width="5.625" style="42" customWidth="1"/>
    <col min="10495" max="10495" width="10.625" style="42" customWidth="1"/>
    <col min="10496" max="10496" width="45.625" style="42" customWidth="1"/>
    <col min="10497" max="10497" width="48.625" style="42" customWidth="1"/>
    <col min="10498" max="10500" width="5.625" style="42" customWidth="1"/>
    <col min="10501" max="10501" width="21.625" style="42" customWidth="1"/>
    <col min="10502" max="10502" width="22.625" style="42" customWidth="1"/>
    <col min="10503" max="10749" width="8.625" style="42"/>
    <col min="10750" max="10750" width="5.625" style="42" customWidth="1"/>
    <col min="10751" max="10751" width="10.625" style="42" customWidth="1"/>
    <col min="10752" max="10752" width="45.625" style="42" customWidth="1"/>
    <col min="10753" max="10753" width="48.625" style="42" customWidth="1"/>
    <col min="10754" max="10756" width="5.625" style="42" customWidth="1"/>
    <col min="10757" max="10757" width="21.625" style="42" customWidth="1"/>
    <col min="10758" max="10758" width="22.625" style="42" customWidth="1"/>
    <col min="10759" max="11005" width="8.625" style="42"/>
    <col min="11006" max="11006" width="5.625" style="42" customWidth="1"/>
    <col min="11007" max="11007" width="10.625" style="42" customWidth="1"/>
    <col min="11008" max="11008" width="45.625" style="42" customWidth="1"/>
    <col min="11009" max="11009" width="48.625" style="42" customWidth="1"/>
    <col min="11010" max="11012" width="5.625" style="42" customWidth="1"/>
    <col min="11013" max="11013" width="21.625" style="42" customWidth="1"/>
    <col min="11014" max="11014" width="22.625" style="42" customWidth="1"/>
    <col min="11015" max="11261" width="8.625" style="42"/>
    <col min="11262" max="11262" width="5.625" style="42" customWidth="1"/>
    <col min="11263" max="11263" width="10.625" style="42" customWidth="1"/>
    <col min="11264" max="11264" width="45.625" style="42" customWidth="1"/>
    <col min="11265" max="11265" width="48.625" style="42" customWidth="1"/>
    <col min="11266" max="11268" width="5.625" style="42" customWidth="1"/>
    <col min="11269" max="11269" width="21.625" style="42" customWidth="1"/>
    <col min="11270" max="11270" width="22.625" style="42" customWidth="1"/>
    <col min="11271" max="11517" width="8.625" style="42"/>
    <col min="11518" max="11518" width="5.625" style="42" customWidth="1"/>
    <col min="11519" max="11519" width="10.625" style="42" customWidth="1"/>
    <col min="11520" max="11520" width="45.625" style="42" customWidth="1"/>
    <col min="11521" max="11521" width="48.625" style="42" customWidth="1"/>
    <col min="11522" max="11524" width="5.625" style="42" customWidth="1"/>
    <col min="11525" max="11525" width="21.625" style="42" customWidth="1"/>
    <col min="11526" max="11526" width="22.625" style="42" customWidth="1"/>
    <col min="11527" max="11773" width="8.625" style="42"/>
    <col min="11774" max="11774" width="5.625" style="42" customWidth="1"/>
    <col min="11775" max="11775" width="10.625" style="42" customWidth="1"/>
    <col min="11776" max="11776" width="45.625" style="42" customWidth="1"/>
    <col min="11777" max="11777" width="48.625" style="42" customWidth="1"/>
    <col min="11778" max="11780" width="5.625" style="42" customWidth="1"/>
    <col min="11781" max="11781" width="21.625" style="42" customWidth="1"/>
    <col min="11782" max="11782" width="22.625" style="42" customWidth="1"/>
    <col min="11783" max="12029" width="8.625" style="42"/>
    <col min="12030" max="12030" width="5.625" style="42" customWidth="1"/>
    <col min="12031" max="12031" width="10.625" style="42" customWidth="1"/>
    <col min="12032" max="12032" width="45.625" style="42" customWidth="1"/>
    <col min="12033" max="12033" width="48.625" style="42" customWidth="1"/>
    <col min="12034" max="12036" width="5.625" style="42" customWidth="1"/>
    <col min="12037" max="12037" width="21.625" style="42" customWidth="1"/>
    <col min="12038" max="12038" width="22.625" style="42" customWidth="1"/>
    <col min="12039" max="12285" width="8.625" style="42"/>
    <col min="12286" max="12286" width="5.625" style="42" customWidth="1"/>
    <col min="12287" max="12287" width="10.625" style="42" customWidth="1"/>
    <col min="12288" max="12288" width="45.625" style="42" customWidth="1"/>
    <col min="12289" max="12289" width="48.625" style="42" customWidth="1"/>
    <col min="12290" max="12292" width="5.625" style="42" customWidth="1"/>
    <col min="12293" max="12293" width="21.625" style="42" customWidth="1"/>
    <col min="12294" max="12294" width="22.625" style="42" customWidth="1"/>
    <col min="12295" max="12541" width="8.625" style="42"/>
    <col min="12542" max="12542" width="5.625" style="42" customWidth="1"/>
    <col min="12543" max="12543" width="10.625" style="42" customWidth="1"/>
    <col min="12544" max="12544" width="45.625" style="42" customWidth="1"/>
    <col min="12545" max="12545" width="48.625" style="42" customWidth="1"/>
    <col min="12546" max="12548" width="5.625" style="42" customWidth="1"/>
    <col min="12549" max="12549" width="21.625" style="42" customWidth="1"/>
    <col min="12550" max="12550" width="22.625" style="42" customWidth="1"/>
    <col min="12551" max="12797" width="8.625" style="42"/>
    <col min="12798" max="12798" width="5.625" style="42" customWidth="1"/>
    <col min="12799" max="12799" width="10.625" style="42" customWidth="1"/>
    <col min="12800" max="12800" width="45.625" style="42" customWidth="1"/>
    <col min="12801" max="12801" width="48.625" style="42" customWidth="1"/>
    <col min="12802" max="12804" width="5.625" style="42" customWidth="1"/>
    <col min="12805" max="12805" width="21.625" style="42" customWidth="1"/>
    <col min="12806" max="12806" width="22.625" style="42" customWidth="1"/>
    <col min="12807" max="13053" width="8.625" style="42"/>
    <col min="13054" max="13054" width="5.625" style="42" customWidth="1"/>
    <col min="13055" max="13055" width="10.625" style="42" customWidth="1"/>
    <col min="13056" max="13056" width="45.625" style="42" customWidth="1"/>
    <col min="13057" max="13057" width="48.625" style="42" customWidth="1"/>
    <col min="13058" max="13060" width="5.625" style="42" customWidth="1"/>
    <col min="13061" max="13061" width="21.625" style="42" customWidth="1"/>
    <col min="13062" max="13062" width="22.625" style="42" customWidth="1"/>
    <col min="13063" max="13309" width="8.625" style="42"/>
    <col min="13310" max="13310" width="5.625" style="42" customWidth="1"/>
    <col min="13311" max="13311" width="10.625" style="42" customWidth="1"/>
    <col min="13312" max="13312" width="45.625" style="42" customWidth="1"/>
    <col min="13313" max="13313" width="48.625" style="42" customWidth="1"/>
    <col min="13314" max="13316" width="5.625" style="42" customWidth="1"/>
    <col min="13317" max="13317" width="21.625" style="42" customWidth="1"/>
    <col min="13318" max="13318" width="22.625" style="42" customWidth="1"/>
    <col min="13319" max="13565" width="8.625" style="42"/>
    <col min="13566" max="13566" width="5.625" style="42" customWidth="1"/>
    <col min="13567" max="13567" width="10.625" style="42" customWidth="1"/>
    <col min="13568" max="13568" width="45.625" style="42" customWidth="1"/>
    <col min="13569" max="13569" width="48.625" style="42" customWidth="1"/>
    <col min="13570" max="13572" width="5.625" style="42" customWidth="1"/>
    <col min="13573" max="13573" width="21.625" style="42" customWidth="1"/>
    <col min="13574" max="13574" width="22.625" style="42" customWidth="1"/>
    <col min="13575" max="13821" width="8.625" style="42"/>
    <col min="13822" max="13822" width="5.625" style="42" customWidth="1"/>
    <col min="13823" max="13823" width="10.625" style="42" customWidth="1"/>
    <col min="13824" max="13824" width="45.625" style="42" customWidth="1"/>
    <col min="13825" max="13825" width="48.625" style="42" customWidth="1"/>
    <col min="13826" max="13828" width="5.625" style="42" customWidth="1"/>
    <col min="13829" max="13829" width="21.625" style="42" customWidth="1"/>
    <col min="13830" max="13830" width="22.625" style="42" customWidth="1"/>
    <col min="13831" max="14077" width="8.625" style="42"/>
    <col min="14078" max="14078" width="5.625" style="42" customWidth="1"/>
    <col min="14079" max="14079" width="10.625" style="42" customWidth="1"/>
    <col min="14080" max="14080" width="45.625" style="42" customWidth="1"/>
    <col min="14081" max="14081" width="48.625" style="42" customWidth="1"/>
    <col min="14082" max="14084" width="5.625" style="42" customWidth="1"/>
    <col min="14085" max="14085" width="21.625" style="42" customWidth="1"/>
    <col min="14086" max="14086" width="22.625" style="42" customWidth="1"/>
    <col min="14087" max="14333" width="8.625" style="42"/>
    <col min="14334" max="14334" width="5.625" style="42" customWidth="1"/>
    <col min="14335" max="14335" width="10.625" style="42" customWidth="1"/>
    <col min="14336" max="14336" width="45.625" style="42" customWidth="1"/>
    <col min="14337" max="14337" width="48.625" style="42" customWidth="1"/>
    <col min="14338" max="14340" width="5.625" style="42" customWidth="1"/>
    <col min="14341" max="14341" width="21.625" style="42" customWidth="1"/>
    <col min="14342" max="14342" width="22.625" style="42" customWidth="1"/>
    <col min="14343" max="14589" width="8.625" style="42"/>
    <col min="14590" max="14590" width="5.625" style="42" customWidth="1"/>
    <col min="14591" max="14591" width="10.625" style="42" customWidth="1"/>
    <col min="14592" max="14592" width="45.625" style="42" customWidth="1"/>
    <col min="14593" max="14593" width="48.625" style="42" customWidth="1"/>
    <col min="14594" max="14596" width="5.625" style="42" customWidth="1"/>
    <col min="14597" max="14597" width="21.625" style="42" customWidth="1"/>
    <col min="14598" max="14598" width="22.625" style="42" customWidth="1"/>
    <col min="14599" max="14845" width="8.625" style="42"/>
    <col min="14846" max="14846" width="5.625" style="42" customWidth="1"/>
    <col min="14847" max="14847" width="10.625" style="42" customWidth="1"/>
    <col min="14848" max="14848" width="45.625" style="42" customWidth="1"/>
    <col min="14849" max="14849" width="48.625" style="42" customWidth="1"/>
    <col min="14850" max="14852" width="5.625" style="42" customWidth="1"/>
    <col min="14853" max="14853" width="21.625" style="42" customWidth="1"/>
    <col min="14854" max="14854" width="22.625" style="42" customWidth="1"/>
    <col min="14855" max="15101" width="8.625" style="42"/>
    <col min="15102" max="15102" width="5.625" style="42" customWidth="1"/>
    <col min="15103" max="15103" width="10.625" style="42" customWidth="1"/>
    <col min="15104" max="15104" width="45.625" style="42" customWidth="1"/>
    <col min="15105" max="15105" width="48.625" style="42" customWidth="1"/>
    <col min="15106" max="15108" width="5.625" style="42" customWidth="1"/>
    <col min="15109" max="15109" width="21.625" style="42" customWidth="1"/>
    <col min="15110" max="15110" width="22.625" style="42" customWidth="1"/>
    <col min="15111" max="15357" width="8.625" style="42"/>
    <col min="15358" max="15358" width="5.625" style="42" customWidth="1"/>
    <col min="15359" max="15359" width="10.625" style="42" customWidth="1"/>
    <col min="15360" max="15360" width="45.625" style="42" customWidth="1"/>
    <col min="15361" max="15361" width="48.625" style="42" customWidth="1"/>
    <col min="15362" max="15364" width="5.625" style="42" customWidth="1"/>
    <col min="15365" max="15365" width="21.625" style="42" customWidth="1"/>
    <col min="15366" max="15366" width="22.625" style="42" customWidth="1"/>
    <col min="15367" max="15613" width="8.625" style="42"/>
    <col min="15614" max="15614" width="5.625" style="42" customWidth="1"/>
    <col min="15615" max="15615" width="10.625" style="42" customWidth="1"/>
    <col min="15616" max="15616" width="45.625" style="42" customWidth="1"/>
    <col min="15617" max="15617" width="48.625" style="42" customWidth="1"/>
    <col min="15618" max="15620" width="5.625" style="42" customWidth="1"/>
    <col min="15621" max="15621" width="21.625" style="42" customWidth="1"/>
    <col min="15622" max="15622" width="22.625" style="42" customWidth="1"/>
    <col min="15623" max="15869" width="8.625" style="42"/>
    <col min="15870" max="15870" width="5.625" style="42" customWidth="1"/>
    <col min="15871" max="15871" width="10.625" style="42" customWidth="1"/>
    <col min="15872" max="15872" width="45.625" style="42" customWidth="1"/>
    <col min="15873" max="15873" width="48.625" style="42" customWidth="1"/>
    <col min="15874" max="15876" width="5.625" style="42" customWidth="1"/>
    <col min="15877" max="15877" width="21.625" style="42" customWidth="1"/>
    <col min="15878" max="15878" width="22.625" style="42" customWidth="1"/>
    <col min="15879" max="16125" width="8.625" style="42"/>
    <col min="16126" max="16126" width="5.625" style="42" customWidth="1"/>
    <col min="16127" max="16127" width="10.625" style="42" customWidth="1"/>
    <col min="16128" max="16128" width="45.625" style="42" customWidth="1"/>
    <col min="16129" max="16129" width="48.625" style="42" customWidth="1"/>
    <col min="16130" max="16132" width="5.625" style="42" customWidth="1"/>
    <col min="16133" max="16133" width="21.625" style="42" customWidth="1"/>
    <col min="16134" max="16134" width="22.625" style="42" customWidth="1"/>
    <col min="16135" max="16384" width="8.625" style="42"/>
  </cols>
  <sheetData>
    <row r="1" spans="1:6" ht="25.5">
      <c r="A1" s="40" t="e" vm="1">
        <v>#VALUE!</v>
      </c>
      <c r="B1" s="48" t="s">
        <v>0</v>
      </c>
      <c r="C1" s="49"/>
      <c r="D1" s="40"/>
      <c r="E1" s="8"/>
      <c r="F1" s="45"/>
    </row>
    <row r="2" spans="1:6" ht="16.149999999999999" customHeight="1">
      <c r="A2" s="54"/>
      <c r="B2" s="55" t="s">
        <v>1</v>
      </c>
      <c r="C2" s="56"/>
      <c r="D2" s="54"/>
      <c r="E2" s="3"/>
      <c r="F2" s="64"/>
    </row>
    <row r="3" spans="1:6" ht="27" customHeight="1">
      <c r="B3" s="334" t="str" cm="1">
        <f t="array" aca="1" ref="B3" ca="1">_xlfn.TEXTAFTER(CELL("filename",A1),"]")</f>
        <v>ISO View</v>
      </c>
      <c r="C3" s="334"/>
      <c r="D3" s="86"/>
      <c r="E3" s="10" t="s">
        <v>21</v>
      </c>
      <c r="F3" s="64"/>
    </row>
    <row r="4" spans="1:6" ht="17.100000000000001" customHeight="1">
      <c r="A4" s="64"/>
      <c r="B4" s="65" t="s">
        <v>2</v>
      </c>
      <c r="C4" s="87" t="str">
        <f>IF(Shop &lt;&gt; "", Shop, "")</f>
        <v>BL03</v>
      </c>
      <c r="D4" s="88"/>
      <c r="E4" s="7"/>
      <c r="F4" s="88"/>
    </row>
    <row r="5" spans="1:6" ht="17.100000000000001" customHeight="1">
      <c r="B5" s="65" t="s">
        <v>6</v>
      </c>
      <c r="C5" s="87" t="str">
        <f>IF(Line &lt;&gt; "", Line, "")</f>
        <v>FFLR</v>
      </c>
      <c r="D5" s="88"/>
      <c r="E5" s="7"/>
      <c r="F5" s="88"/>
    </row>
    <row r="6" spans="1:6" ht="17.100000000000001" customHeight="1">
      <c r="B6" s="65" t="s">
        <v>4</v>
      </c>
      <c r="C6" s="89" t="str">
        <f>IF(LineDescription&lt;&gt;"",LineDescription,"")</f>
        <v>Front Floor</v>
      </c>
      <c r="D6" s="88"/>
      <c r="E6" s="7"/>
      <c r="F6" s="88"/>
    </row>
    <row r="7" spans="1:6" ht="17.100000000000001" customHeight="1">
      <c r="B7" s="65" t="s">
        <v>8</v>
      </c>
      <c r="C7" s="89" t="str">
        <f>IF(Station &lt;&gt; "", Station, "")</f>
        <v>010</v>
      </c>
      <c r="D7" s="88"/>
      <c r="E7" s="7"/>
      <c r="F7" s="88"/>
    </row>
    <row r="8" spans="1:6" ht="17.100000000000001" customHeight="1">
      <c r="B8" s="65" t="s">
        <v>10</v>
      </c>
      <c r="C8" s="89" t="str">
        <f>StationDescription</f>
        <v>Station 010</v>
      </c>
      <c r="D8" s="88"/>
      <c r="E8" s="7"/>
      <c r="F8" s="88"/>
    </row>
    <row r="9" spans="1:6" ht="17.100000000000001" customHeight="1">
      <c r="B9" s="65" t="s">
        <v>12</v>
      </c>
      <c r="C9" s="89" t="str">
        <f>IF(System &lt;&gt; "", System, "")</f>
        <v/>
      </c>
      <c r="D9" s="88"/>
      <c r="E9" s="7"/>
      <c r="F9" s="88"/>
    </row>
    <row r="10" spans="1:6" ht="17.100000000000001" customHeight="1">
      <c r="B10" s="65" t="s">
        <v>428</v>
      </c>
      <c r="C10" s="89" t="str">
        <f>IF(SystemDescription &lt;&gt; "", SystemDescription, "")</f>
        <v/>
      </c>
      <c r="D10" s="90"/>
      <c r="E10" s="7"/>
      <c r="F10" s="88"/>
    </row>
    <row r="11" spans="1:6" ht="17.100000000000001" customHeight="1">
      <c r="B11" s="71" t="s">
        <v>13</v>
      </c>
      <c r="C11" s="87" t="str">
        <f>IF(Tool &lt;&gt; "", Tool, "")</f>
        <v>UA1</v>
      </c>
      <c r="D11" s="91"/>
      <c r="E11" s="7"/>
      <c r="F11" s="88"/>
    </row>
    <row r="12" spans="1:6" ht="17.100000000000001" customHeight="1">
      <c r="B12" s="65" t="s">
        <v>16</v>
      </c>
      <c r="C12" s="87" t="str">
        <f>IF(ToolDescription &lt;&gt; "", ToolDescription, "")</f>
        <v>Fixture</v>
      </c>
      <c r="D12" s="88"/>
      <c r="E12" s="7"/>
      <c r="F12" s="92"/>
    </row>
    <row r="13" spans="1:6" ht="17.100000000000001" customHeight="1">
      <c r="B13" s="65" t="s">
        <v>3</v>
      </c>
      <c r="C13" s="89" t="str">
        <f>IF(Integrator &lt;&gt; "", Integrator, "")</f>
        <v>Mino</v>
      </c>
      <c r="D13" s="88"/>
      <c r="E13" s="7"/>
      <c r="F13" s="93"/>
    </row>
    <row r="14" spans="1:6" ht="17.100000000000001" customHeight="1">
      <c r="B14" s="65" t="s">
        <v>7</v>
      </c>
      <c r="C14" s="94">
        <f>IF(DesignStatus &lt;&gt; "", DesignStatus, "")</f>
        <v>1</v>
      </c>
      <c r="E14" s="7"/>
      <c r="F14" s="93"/>
    </row>
    <row r="15" spans="1:6" ht="17.100000000000001" customHeight="1">
      <c r="B15" s="65" t="s">
        <v>5</v>
      </c>
      <c r="C15" s="95" t="str">
        <f>IF(Date &lt;&gt; "", Date, "")</f>
        <v>1/15/2025</v>
      </c>
      <c r="E15" s="7"/>
      <c r="F15" s="93"/>
    </row>
    <row r="16" spans="1:6" ht="17.100000000000001" customHeight="1">
      <c r="B16" s="65" t="s">
        <v>9</v>
      </c>
      <c r="C16" s="89" t="str">
        <f>IF(IntegratorResponsibleEngineer &lt;&gt; "", IntegratorResponsibleEngineer, "")</f>
        <v>wei  jiang</v>
      </c>
      <c r="E16" s="7"/>
      <c r="F16" s="93"/>
    </row>
    <row r="17" spans="2:6" ht="17.100000000000001" customHeight="1">
      <c r="B17" s="65" t="s">
        <v>11</v>
      </c>
      <c r="C17" s="89" t="str">
        <f>IF(RivianResponsibleEngineer &lt;&gt; "", RivianResponsibleEngineer, "")</f>
        <v>Abraham Reyes</v>
      </c>
      <c r="E17" s="7"/>
      <c r="F17" s="93"/>
    </row>
    <row r="18" spans="2:6" ht="17.100000000000001" customHeight="1">
      <c r="B18" s="65" t="s">
        <v>14</v>
      </c>
      <c r="C18" s="89" t="str">
        <f>IF(ManifoldConnection &lt;&gt; "", ManifoldConnection, "")</f>
        <v>M12 5-Pin</v>
      </c>
      <c r="E18" s="7"/>
      <c r="F18" s="93"/>
    </row>
    <row r="19" spans="2:6" ht="17.100000000000001" customHeight="1">
      <c r="B19" s="65" t="s">
        <v>17</v>
      </c>
      <c r="C19" s="89" t="str">
        <f>IF(ToolType &lt;&gt; "", ToolType, "")</f>
        <v>Fixture</v>
      </c>
      <c r="E19" s="7"/>
      <c r="F19" s="93"/>
    </row>
    <row r="20" spans="2:6" ht="17.100000000000001" customHeight="1">
      <c r="E20" s="7"/>
      <c r="F20" s="93"/>
    </row>
    <row r="21" spans="2:6" ht="17.100000000000001" customHeight="1">
      <c r="B21" s="79"/>
      <c r="E21" s="7"/>
      <c r="F21" s="93"/>
    </row>
    <row r="22" spans="2:6" ht="17.100000000000001" customHeight="1">
      <c r="E22" s="7"/>
      <c r="F22" s="93"/>
    </row>
    <row r="23" spans="2:6" ht="17.100000000000001" customHeight="1">
      <c r="E23" s="9"/>
      <c r="F23" s="93"/>
    </row>
    <row r="24" spans="2:6" ht="17.100000000000001" customHeight="1">
      <c r="E24" s="9"/>
      <c r="F24" s="93"/>
    </row>
    <row r="25" spans="2:6" ht="17.100000000000001" customHeight="1">
      <c r="E25" s="9"/>
      <c r="F25" s="93"/>
    </row>
    <row r="26" spans="2:6" ht="17.100000000000001" customHeight="1">
      <c r="E26" s="9"/>
      <c r="F26" s="93"/>
    </row>
    <row r="27" spans="2:6" ht="17.100000000000001" customHeight="1">
      <c r="E27" s="9"/>
      <c r="F27" s="93"/>
    </row>
    <row r="28" spans="2:6" ht="17.100000000000001" customHeight="1">
      <c r="E28" s="9"/>
      <c r="F28" s="93"/>
    </row>
    <row r="29" spans="2:6" ht="17.100000000000001" customHeight="1">
      <c r="E29" s="9"/>
      <c r="F29" s="93"/>
    </row>
    <row r="30" spans="2:6" ht="17.100000000000001" customHeight="1">
      <c r="E30" s="9"/>
      <c r="F30" s="93"/>
    </row>
    <row r="31" spans="2:6" ht="17.100000000000001" customHeight="1">
      <c r="E31" s="9"/>
      <c r="F31" s="93"/>
    </row>
    <row r="32" spans="2:6" ht="17.100000000000001" customHeight="1">
      <c r="E32" s="9"/>
      <c r="F32" s="93"/>
    </row>
    <row r="33" spans="5:6" ht="17.100000000000001" customHeight="1">
      <c r="E33" s="11"/>
      <c r="F33" s="93"/>
    </row>
    <row r="34" spans="5:6" ht="17.100000000000001" customHeight="1">
      <c r="F34" s="96"/>
    </row>
  </sheetData>
  <mergeCells count="1">
    <mergeCell ref="B3:C3"/>
  </mergeCells>
  <phoneticPr fontId="46" type="noConversion"/>
  <conditionalFormatting sqref="C4:C8 C11:C19">
    <cfRule type="expression" dxfId="104" priority="1">
      <formula>OR(C4="", C4=0)</formula>
    </cfRule>
  </conditionalFormatting>
  <printOptions horizontalCentered="1"/>
  <pageMargins left="0.25" right="0.25" top="0.4" bottom="0.4" header="0.5" footer="0.25"/>
  <pageSetup scale="60" fitToHeight="5" orientation="portrait" r:id="rId1"/>
  <headerFooter>
    <oddFooter>&amp;L&amp;D&amp;CPage &amp;P of &amp;N&amp;REquipment Vendor Safety Buyoff - Rev 1</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57A7-95EF-4A88-B048-655C7DA5BEFF}">
  <sheetPr codeName="Sheet4"/>
  <dimension ref="A1:EZ199"/>
  <sheetViews>
    <sheetView showGridLines="0" zoomScale="70" zoomScaleNormal="70" zoomScaleSheetLayoutView="80" workbookViewId="0">
      <pane xSplit="5" ySplit="3" topLeftCell="F4" activePane="bottomRight" state="frozen"/>
      <selection pane="topRight" activeCell="F1" sqref="F1"/>
      <selection pane="bottomLeft" activeCell="A4" sqref="A4"/>
      <selection pane="bottomRight" activeCell="I10" sqref="I10"/>
    </sheetView>
  </sheetViews>
  <sheetFormatPr defaultColWidth="8.625" defaultRowHeight="12" customHeight="1"/>
  <cols>
    <col min="1" max="1" width="0.875" style="42" customWidth="1"/>
    <col min="2" max="2" width="25.75" style="78" customWidth="1"/>
    <col min="3" max="3" width="15" style="78" bestFit="1" customWidth="1"/>
    <col min="4" max="4" width="0.625" style="42" customWidth="1"/>
    <col min="5" max="5" width="6.125" style="120" customWidth="1"/>
    <col min="6" max="6" width="20.625" style="78" bestFit="1" customWidth="1"/>
    <col min="7" max="7" width="8" style="42" customWidth="1"/>
    <col min="8" max="8" width="6" style="42" customWidth="1"/>
    <col min="9" max="9" width="6.875" style="42" customWidth="1"/>
    <col min="10" max="10" width="8.5" style="42" customWidth="1"/>
    <col min="11" max="16" width="5.5" style="42" customWidth="1"/>
    <col min="17" max="17" width="18.5" style="78" bestFit="1" customWidth="1"/>
    <col min="18" max="18" width="8.5" style="120" customWidth="1"/>
    <col min="19" max="20" width="15" style="42" customWidth="1"/>
    <col min="21" max="21" width="9.75" style="42" bestFit="1" customWidth="1"/>
    <col min="22" max="22" width="9.75" style="42" customWidth="1"/>
    <col min="23" max="24" width="9.75" style="42" bestFit="1" customWidth="1"/>
    <col min="25" max="25" width="13.625" style="42" bestFit="1" customWidth="1"/>
    <col min="26" max="26" width="32.125" style="78" bestFit="1" customWidth="1"/>
    <col min="27" max="27" width="13" style="78" bestFit="1" customWidth="1"/>
    <col min="28" max="28" width="6.875" style="132" bestFit="1" customWidth="1"/>
    <col min="29" max="29" width="8.75" style="104" customWidth="1"/>
    <col min="30" max="30" width="10" style="104" customWidth="1"/>
    <col min="31" max="31" width="8.625" style="42"/>
    <col min="32" max="32" width="9.5" style="42" bestFit="1" customWidth="1"/>
    <col min="33" max="275" width="8.625" style="42"/>
    <col min="276" max="276" width="5.625" style="42" customWidth="1"/>
    <col min="277" max="277" width="10.625" style="42" customWidth="1"/>
    <col min="278" max="278" width="45.625" style="42" customWidth="1"/>
    <col min="279" max="279" width="48.625" style="42" customWidth="1"/>
    <col min="280" max="282" width="5.625" style="42" customWidth="1"/>
    <col min="283" max="283" width="21.625" style="42" customWidth="1"/>
    <col min="284" max="284" width="22.625" style="42" customWidth="1"/>
    <col min="285" max="531" width="8.625" style="42"/>
    <col min="532" max="532" width="5.625" style="42" customWidth="1"/>
    <col min="533" max="533" width="10.625" style="42" customWidth="1"/>
    <col min="534" max="534" width="45.625" style="42" customWidth="1"/>
    <col min="535" max="535" width="48.625" style="42" customWidth="1"/>
    <col min="536" max="538" width="5.625" style="42" customWidth="1"/>
    <col min="539" max="539" width="21.625" style="42" customWidth="1"/>
    <col min="540" max="540" width="22.625" style="42" customWidth="1"/>
    <col min="541" max="787" width="8.625" style="42"/>
    <col min="788" max="788" width="5.625" style="42" customWidth="1"/>
    <col min="789" max="789" width="10.625" style="42" customWidth="1"/>
    <col min="790" max="790" width="45.625" style="42" customWidth="1"/>
    <col min="791" max="791" width="48.625" style="42" customWidth="1"/>
    <col min="792" max="794" width="5.625" style="42" customWidth="1"/>
    <col min="795" max="795" width="21.625" style="42" customWidth="1"/>
    <col min="796" max="796" width="22.625" style="42" customWidth="1"/>
    <col min="797" max="1043" width="8.625" style="42"/>
    <col min="1044" max="1044" width="5.625" style="42" customWidth="1"/>
    <col min="1045" max="1045" width="10.625" style="42" customWidth="1"/>
    <col min="1046" max="1046" width="45.625" style="42" customWidth="1"/>
    <col min="1047" max="1047" width="48.625" style="42" customWidth="1"/>
    <col min="1048" max="1050" width="5.625" style="42" customWidth="1"/>
    <col min="1051" max="1051" width="21.625" style="42" customWidth="1"/>
    <col min="1052" max="1052" width="22.625" style="42" customWidth="1"/>
    <col min="1053" max="1299" width="8.625" style="42"/>
    <col min="1300" max="1300" width="5.625" style="42" customWidth="1"/>
    <col min="1301" max="1301" width="10.625" style="42" customWidth="1"/>
    <col min="1302" max="1302" width="45.625" style="42" customWidth="1"/>
    <col min="1303" max="1303" width="48.625" style="42" customWidth="1"/>
    <col min="1304" max="1306" width="5.625" style="42" customWidth="1"/>
    <col min="1307" max="1307" width="21.625" style="42" customWidth="1"/>
    <col min="1308" max="1308" width="22.625" style="42" customWidth="1"/>
    <col min="1309" max="1555" width="8.625" style="42"/>
    <col min="1556" max="1556" width="5.625" style="42" customWidth="1"/>
    <col min="1557" max="1557" width="10.625" style="42" customWidth="1"/>
    <col min="1558" max="1558" width="45.625" style="42" customWidth="1"/>
    <col min="1559" max="1559" width="48.625" style="42" customWidth="1"/>
    <col min="1560" max="1562" width="5.625" style="42" customWidth="1"/>
    <col min="1563" max="1563" width="21.625" style="42" customWidth="1"/>
    <col min="1564" max="1564" width="22.625" style="42" customWidth="1"/>
    <col min="1565" max="1811" width="8.625" style="42"/>
    <col min="1812" max="1812" width="5.625" style="42" customWidth="1"/>
    <col min="1813" max="1813" width="10.625" style="42" customWidth="1"/>
    <col min="1814" max="1814" width="45.625" style="42" customWidth="1"/>
    <col min="1815" max="1815" width="48.625" style="42" customWidth="1"/>
    <col min="1816" max="1818" width="5.625" style="42" customWidth="1"/>
    <col min="1819" max="1819" width="21.625" style="42" customWidth="1"/>
    <col min="1820" max="1820" width="22.625" style="42" customWidth="1"/>
    <col min="1821" max="2067" width="8.625" style="42"/>
    <col min="2068" max="2068" width="5.625" style="42" customWidth="1"/>
    <col min="2069" max="2069" width="10.625" style="42" customWidth="1"/>
    <col min="2070" max="2070" width="45.625" style="42" customWidth="1"/>
    <col min="2071" max="2071" width="48.625" style="42" customWidth="1"/>
    <col min="2072" max="2074" width="5.625" style="42" customWidth="1"/>
    <col min="2075" max="2075" width="21.625" style="42" customWidth="1"/>
    <col min="2076" max="2076" width="22.625" style="42" customWidth="1"/>
    <col min="2077" max="2323" width="8.625" style="42"/>
    <col min="2324" max="2324" width="5.625" style="42" customWidth="1"/>
    <col min="2325" max="2325" width="10.625" style="42" customWidth="1"/>
    <col min="2326" max="2326" width="45.625" style="42" customWidth="1"/>
    <col min="2327" max="2327" width="48.625" style="42" customWidth="1"/>
    <col min="2328" max="2330" width="5.625" style="42" customWidth="1"/>
    <col min="2331" max="2331" width="21.625" style="42" customWidth="1"/>
    <col min="2332" max="2332" width="22.625" style="42" customWidth="1"/>
    <col min="2333" max="2579" width="8.625" style="42"/>
    <col min="2580" max="2580" width="5.625" style="42" customWidth="1"/>
    <col min="2581" max="2581" width="10.625" style="42" customWidth="1"/>
    <col min="2582" max="2582" width="45.625" style="42" customWidth="1"/>
    <col min="2583" max="2583" width="48.625" style="42" customWidth="1"/>
    <col min="2584" max="2586" width="5.625" style="42" customWidth="1"/>
    <col min="2587" max="2587" width="21.625" style="42" customWidth="1"/>
    <col min="2588" max="2588" width="22.625" style="42" customWidth="1"/>
    <col min="2589" max="2835" width="8.625" style="42"/>
    <col min="2836" max="2836" width="5.625" style="42" customWidth="1"/>
    <col min="2837" max="2837" width="10.625" style="42" customWidth="1"/>
    <col min="2838" max="2838" width="45.625" style="42" customWidth="1"/>
    <col min="2839" max="2839" width="48.625" style="42" customWidth="1"/>
    <col min="2840" max="2842" width="5.625" style="42" customWidth="1"/>
    <col min="2843" max="2843" width="21.625" style="42" customWidth="1"/>
    <col min="2844" max="2844" width="22.625" style="42" customWidth="1"/>
    <col min="2845" max="3091" width="8.625" style="42"/>
    <col min="3092" max="3092" width="5.625" style="42" customWidth="1"/>
    <col min="3093" max="3093" width="10.625" style="42" customWidth="1"/>
    <col min="3094" max="3094" width="45.625" style="42" customWidth="1"/>
    <col min="3095" max="3095" width="48.625" style="42" customWidth="1"/>
    <col min="3096" max="3098" width="5.625" style="42" customWidth="1"/>
    <col min="3099" max="3099" width="21.625" style="42" customWidth="1"/>
    <col min="3100" max="3100" width="22.625" style="42" customWidth="1"/>
    <col min="3101" max="3347" width="8.625" style="42"/>
    <col min="3348" max="3348" width="5.625" style="42" customWidth="1"/>
    <col min="3349" max="3349" width="10.625" style="42" customWidth="1"/>
    <col min="3350" max="3350" width="45.625" style="42" customWidth="1"/>
    <col min="3351" max="3351" width="48.625" style="42" customWidth="1"/>
    <col min="3352" max="3354" width="5.625" style="42" customWidth="1"/>
    <col min="3355" max="3355" width="21.625" style="42" customWidth="1"/>
    <col min="3356" max="3356" width="22.625" style="42" customWidth="1"/>
    <col min="3357" max="3603" width="8.625" style="42"/>
    <col min="3604" max="3604" width="5.625" style="42" customWidth="1"/>
    <col min="3605" max="3605" width="10.625" style="42" customWidth="1"/>
    <col min="3606" max="3606" width="45.625" style="42" customWidth="1"/>
    <col min="3607" max="3607" width="48.625" style="42" customWidth="1"/>
    <col min="3608" max="3610" width="5.625" style="42" customWidth="1"/>
    <col min="3611" max="3611" width="21.625" style="42" customWidth="1"/>
    <col min="3612" max="3612" width="22.625" style="42" customWidth="1"/>
    <col min="3613" max="3859" width="8.625" style="42"/>
    <col min="3860" max="3860" width="5.625" style="42" customWidth="1"/>
    <col min="3861" max="3861" width="10.625" style="42" customWidth="1"/>
    <col min="3862" max="3862" width="45.625" style="42" customWidth="1"/>
    <col min="3863" max="3863" width="48.625" style="42" customWidth="1"/>
    <col min="3864" max="3866" width="5.625" style="42" customWidth="1"/>
    <col min="3867" max="3867" width="21.625" style="42" customWidth="1"/>
    <col min="3868" max="3868" width="22.625" style="42" customWidth="1"/>
    <col min="3869" max="4115" width="8.625" style="42"/>
    <col min="4116" max="4116" width="5.625" style="42" customWidth="1"/>
    <col min="4117" max="4117" width="10.625" style="42" customWidth="1"/>
    <col min="4118" max="4118" width="45.625" style="42" customWidth="1"/>
    <col min="4119" max="4119" width="48.625" style="42" customWidth="1"/>
    <col min="4120" max="4122" width="5.625" style="42" customWidth="1"/>
    <col min="4123" max="4123" width="21.625" style="42" customWidth="1"/>
    <col min="4124" max="4124" width="22.625" style="42" customWidth="1"/>
    <col min="4125" max="4371" width="8.625" style="42"/>
    <col min="4372" max="4372" width="5.625" style="42" customWidth="1"/>
    <col min="4373" max="4373" width="10.625" style="42" customWidth="1"/>
    <col min="4374" max="4374" width="45.625" style="42" customWidth="1"/>
    <col min="4375" max="4375" width="48.625" style="42" customWidth="1"/>
    <col min="4376" max="4378" width="5.625" style="42" customWidth="1"/>
    <col min="4379" max="4379" width="21.625" style="42" customWidth="1"/>
    <col min="4380" max="4380" width="22.625" style="42" customWidth="1"/>
    <col min="4381" max="4627" width="8.625" style="42"/>
    <col min="4628" max="4628" width="5.625" style="42" customWidth="1"/>
    <col min="4629" max="4629" width="10.625" style="42" customWidth="1"/>
    <col min="4630" max="4630" width="45.625" style="42" customWidth="1"/>
    <col min="4631" max="4631" width="48.625" style="42" customWidth="1"/>
    <col min="4632" max="4634" width="5.625" style="42" customWidth="1"/>
    <col min="4635" max="4635" width="21.625" style="42" customWidth="1"/>
    <col min="4636" max="4636" width="22.625" style="42" customWidth="1"/>
    <col min="4637" max="4883" width="8.625" style="42"/>
    <col min="4884" max="4884" width="5.625" style="42" customWidth="1"/>
    <col min="4885" max="4885" width="10.625" style="42" customWidth="1"/>
    <col min="4886" max="4886" width="45.625" style="42" customWidth="1"/>
    <col min="4887" max="4887" width="48.625" style="42" customWidth="1"/>
    <col min="4888" max="4890" width="5.625" style="42" customWidth="1"/>
    <col min="4891" max="4891" width="21.625" style="42" customWidth="1"/>
    <col min="4892" max="4892" width="22.625" style="42" customWidth="1"/>
    <col min="4893" max="5139" width="8.625" style="42"/>
    <col min="5140" max="5140" width="5.625" style="42" customWidth="1"/>
    <col min="5141" max="5141" width="10.625" style="42" customWidth="1"/>
    <col min="5142" max="5142" width="45.625" style="42" customWidth="1"/>
    <col min="5143" max="5143" width="48.625" style="42" customWidth="1"/>
    <col min="5144" max="5146" width="5.625" style="42" customWidth="1"/>
    <col min="5147" max="5147" width="21.625" style="42" customWidth="1"/>
    <col min="5148" max="5148" width="22.625" style="42" customWidth="1"/>
    <col min="5149" max="5395" width="8.625" style="42"/>
    <col min="5396" max="5396" width="5.625" style="42" customWidth="1"/>
    <col min="5397" max="5397" width="10.625" style="42" customWidth="1"/>
    <col min="5398" max="5398" width="45.625" style="42" customWidth="1"/>
    <col min="5399" max="5399" width="48.625" style="42" customWidth="1"/>
    <col min="5400" max="5402" width="5.625" style="42" customWidth="1"/>
    <col min="5403" max="5403" width="21.625" style="42" customWidth="1"/>
    <col min="5404" max="5404" width="22.625" style="42" customWidth="1"/>
    <col min="5405" max="5651" width="8.625" style="42"/>
    <col min="5652" max="5652" width="5.625" style="42" customWidth="1"/>
    <col min="5653" max="5653" width="10.625" style="42" customWidth="1"/>
    <col min="5654" max="5654" width="45.625" style="42" customWidth="1"/>
    <col min="5655" max="5655" width="48.625" style="42" customWidth="1"/>
    <col min="5656" max="5658" width="5.625" style="42" customWidth="1"/>
    <col min="5659" max="5659" width="21.625" style="42" customWidth="1"/>
    <col min="5660" max="5660" width="22.625" style="42" customWidth="1"/>
    <col min="5661" max="5907" width="8.625" style="42"/>
    <col min="5908" max="5908" width="5.625" style="42" customWidth="1"/>
    <col min="5909" max="5909" width="10.625" style="42" customWidth="1"/>
    <col min="5910" max="5910" width="45.625" style="42" customWidth="1"/>
    <col min="5911" max="5911" width="48.625" style="42" customWidth="1"/>
    <col min="5912" max="5914" width="5.625" style="42" customWidth="1"/>
    <col min="5915" max="5915" width="21.625" style="42" customWidth="1"/>
    <col min="5916" max="5916" width="22.625" style="42" customWidth="1"/>
    <col min="5917" max="6163" width="8.625" style="42"/>
    <col min="6164" max="6164" width="5.625" style="42" customWidth="1"/>
    <col min="6165" max="6165" width="10.625" style="42" customWidth="1"/>
    <col min="6166" max="6166" width="45.625" style="42" customWidth="1"/>
    <col min="6167" max="6167" width="48.625" style="42" customWidth="1"/>
    <col min="6168" max="6170" width="5.625" style="42" customWidth="1"/>
    <col min="6171" max="6171" width="21.625" style="42" customWidth="1"/>
    <col min="6172" max="6172" width="22.625" style="42" customWidth="1"/>
    <col min="6173" max="6419" width="8.625" style="42"/>
    <col min="6420" max="6420" width="5.625" style="42" customWidth="1"/>
    <col min="6421" max="6421" width="10.625" style="42" customWidth="1"/>
    <col min="6422" max="6422" width="45.625" style="42" customWidth="1"/>
    <col min="6423" max="6423" width="48.625" style="42" customWidth="1"/>
    <col min="6424" max="6426" width="5.625" style="42" customWidth="1"/>
    <col min="6427" max="6427" width="21.625" style="42" customWidth="1"/>
    <col min="6428" max="6428" width="22.625" style="42" customWidth="1"/>
    <col min="6429" max="6675" width="8.625" style="42"/>
    <col min="6676" max="6676" width="5.625" style="42" customWidth="1"/>
    <col min="6677" max="6677" width="10.625" style="42" customWidth="1"/>
    <col min="6678" max="6678" width="45.625" style="42" customWidth="1"/>
    <col min="6679" max="6679" width="48.625" style="42" customWidth="1"/>
    <col min="6680" max="6682" width="5.625" style="42" customWidth="1"/>
    <col min="6683" max="6683" width="21.625" style="42" customWidth="1"/>
    <col min="6684" max="6684" width="22.625" style="42" customWidth="1"/>
    <col min="6685" max="6931" width="8.625" style="42"/>
    <col min="6932" max="6932" width="5.625" style="42" customWidth="1"/>
    <col min="6933" max="6933" width="10.625" style="42" customWidth="1"/>
    <col min="6934" max="6934" width="45.625" style="42" customWidth="1"/>
    <col min="6935" max="6935" width="48.625" style="42" customWidth="1"/>
    <col min="6936" max="6938" width="5.625" style="42" customWidth="1"/>
    <col min="6939" max="6939" width="21.625" style="42" customWidth="1"/>
    <col min="6940" max="6940" width="22.625" style="42" customWidth="1"/>
    <col min="6941" max="7187" width="8.625" style="42"/>
    <col min="7188" max="7188" width="5.625" style="42" customWidth="1"/>
    <col min="7189" max="7189" width="10.625" style="42" customWidth="1"/>
    <col min="7190" max="7190" width="45.625" style="42" customWidth="1"/>
    <col min="7191" max="7191" width="48.625" style="42" customWidth="1"/>
    <col min="7192" max="7194" width="5.625" style="42" customWidth="1"/>
    <col min="7195" max="7195" width="21.625" style="42" customWidth="1"/>
    <col min="7196" max="7196" width="22.625" style="42" customWidth="1"/>
    <col min="7197" max="7443" width="8.625" style="42"/>
    <col min="7444" max="7444" width="5.625" style="42" customWidth="1"/>
    <col min="7445" max="7445" width="10.625" style="42" customWidth="1"/>
    <col min="7446" max="7446" width="45.625" style="42" customWidth="1"/>
    <col min="7447" max="7447" width="48.625" style="42" customWidth="1"/>
    <col min="7448" max="7450" width="5.625" style="42" customWidth="1"/>
    <col min="7451" max="7451" width="21.625" style="42" customWidth="1"/>
    <col min="7452" max="7452" width="22.625" style="42" customWidth="1"/>
    <col min="7453" max="7699" width="8.625" style="42"/>
    <col min="7700" max="7700" width="5.625" style="42" customWidth="1"/>
    <col min="7701" max="7701" width="10.625" style="42" customWidth="1"/>
    <col min="7702" max="7702" width="45.625" style="42" customWidth="1"/>
    <col min="7703" max="7703" width="48.625" style="42" customWidth="1"/>
    <col min="7704" max="7706" width="5.625" style="42" customWidth="1"/>
    <col min="7707" max="7707" width="21.625" style="42" customWidth="1"/>
    <col min="7708" max="7708" width="22.625" style="42" customWidth="1"/>
    <col min="7709" max="7955" width="8.625" style="42"/>
    <col min="7956" max="7956" width="5.625" style="42" customWidth="1"/>
    <col min="7957" max="7957" width="10.625" style="42" customWidth="1"/>
    <col min="7958" max="7958" width="45.625" style="42" customWidth="1"/>
    <col min="7959" max="7959" width="48.625" style="42" customWidth="1"/>
    <col min="7960" max="7962" width="5.625" style="42" customWidth="1"/>
    <col min="7963" max="7963" width="21.625" style="42" customWidth="1"/>
    <col min="7964" max="7964" width="22.625" style="42" customWidth="1"/>
    <col min="7965" max="8211" width="8.625" style="42"/>
    <col min="8212" max="8212" width="5.625" style="42" customWidth="1"/>
    <col min="8213" max="8213" width="10.625" style="42" customWidth="1"/>
    <col min="8214" max="8214" width="45.625" style="42" customWidth="1"/>
    <col min="8215" max="8215" width="48.625" style="42" customWidth="1"/>
    <col min="8216" max="8218" width="5.625" style="42" customWidth="1"/>
    <col min="8219" max="8219" width="21.625" style="42" customWidth="1"/>
    <col min="8220" max="8220" width="22.625" style="42" customWidth="1"/>
    <col min="8221" max="8467" width="8.625" style="42"/>
    <col min="8468" max="8468" width="5.625" style="42" customWidth="1"/>
    <col min="8469" max="8469" width="10.625" style="42" customWidth="1"/>
    <col min="8470" max="8470" width="45.625" style="42" customWidth="1"/>
    <col min="8471" max="8471" width="48.625" style="42" customWidth="1"/>
    <col min="8472" max="8474" width="5.625" style="42" customWidth="1"/>
    <col min="8475" max="8475" width="21.625" style="42" customWidth="1"/>
    <col min="8476" max="8476" width="22.625" style="42" customWidth="1"/>
    <col min="8477" max="8723" width="8.625" style="42"/>
    <col min="8724" max="8724" width="5.625" style="42" customWidth="1"/>
    <col min="8725" max="8725" width="10.625" style="42" customWidth="1"/>
    <col min="8726" max="8726" width="45.625" style="42" customWidth="1"/>
    <col min="8727" max="8727" width="48.625" style="42" customWidth="1"/>
    <col min="8728" max="8730" width="5.625" style="42" customWidth="1"/>
    <col min="8731" max="8731" width="21.625" style="42" customWidth="1"/>
    <col min="8732" max="8732" width="22.625" style="42" customWidth="1"/>
    <col min="8733" max="8979" width="8.625" style="42"/>
    <col min="8980" max="8980" width="5.625" style="42" customWidth="1"/>
    <col min="8981" max="8981" width="10.625" style="42" customWidth="1"/>
    <col min="8982" max="8982" width="45.625" style="42" customWidth="1"/>
    <col min="8983" max="8983" width="48.625" style="42" customWidth="1"/>
    <col min="8984" max="8986" width="5.625" style="42" customWidth="1"/>
    <col min="8987" max="8987" width="21.625" style="42" customWidth="1"/>
    <col min="8988" max="8988" width="22.625" style="42" customWidth="1"/>
    <col min="8989" max="9235" width="8.625" style="42"/>
    <col min="9236" max="9236" width="5.625" style="42" customWidth="1"/>
    <col min="9237" max="9237" width="10.625" style="42" customWidth="1"/>
    <col min="9238" max="9238" width="45.625" style="42" customWidth="1"/>
    <col min="9239" max="9239" width="48.625" style="42" customWidth="1"/>
    <col min="9240" max="9242" width="5.625" style="42" customWidth="1"/>
    <col min="9243" max="9243" width="21.625" style="42" customWidth="1"/>
    <col min="9244" max="9244" width="22.625" style="42" customWidth="1"/>
    <col min="9245" max="9491" width="8.625" style="42"/>
    <col min="9492" max="9492" width="5.625" style="42" customWidth="1"/>
    <col min="9493" max="9493" width="10.625" style="42" customWidth="1"/>
    <col min="9494" max="9494" width="45.625" style="42" customWidth="1"/>
    <col min="9495" max="9495" width="48.625" style="42" customWidth="1"/>
    <col min="9496" max="9498" width="5.625" style="42" customWidth="1"/>
    <col min="9499" max="9499" width="21.625" style="42" customWidth="1"/>
    <col min="9500" max="9500" width="22.625" style="42" customWidth="1"/>
    <col min="9501" max="9747" width="8.625" style="42"/>
    <col min="9748" max="9748" width="5.625" style="42" customWidth="1"/>
    <col min="9749" max="9749" width="10.625" style="42" customWidth="1"/>
    <col min="9750" max="9750" width="45.625" style="42" customWidth="1"/>
    <col min="9751" max="9751" width="48.625" style="42" customWidth="1"/>
    <col min="9752" max="9754" width="5.625" style="42" customWidth="1"/>
    <col min="9755" max="9755" width="21.625" style="42" customWidth="1"/>
    <col min="9756" max="9756" width="22.625" style="42" customWidth="1"/>
    <col min="9757" max="10003" width="8.625" style="42"/>
    <col min="10004" max="10004" width="5.625" style="42" customWidth="1"/>
    <col min="10005" max="10005" width="10.625" style="42" customWidth="1"/>
    <col min="10006" max="10006" width="45.625" style="42" customWidth="1"/>
    <col min="10007" max="10007" width="48.625" style="42" customWidth="1"/>
    <col min="10008" max="10010" width="5.625" style="42" customWidth="1"/>
    <col min="10011" max="10011" width="21.625" style="42" customWidth="1"/>
    <col min="10012" max="10012" width="22.625" style="42" customWidth="1"/>
    <col min="10013" max="10259" width="8.625" style="42"/>
    <col min="10260" max="10260" width="5.625" style="42" customWidth="1"/>
    <col min="10261" max="10261" width="10.625" style="42" customWidth="1"/>
    <col min="10262" max="10262" width="45.625" style="42" customWidth="1"/>
    <col min="10263" max="10263" width="48.625" style="42" customWidth="1"/>
    <col min="10264" max="10266" width="5.625" style="42" customWidth="1"/>
    <col min="10267" max="10267" width="21.625" style="42" customWidth="1"/>
    <col min="10268" max="10268" width="22.625" style="42" customWidth="1"/>
    <col min="10269" max="10515" width="8.625" style="42"/>
    <col min="10516" max="10516" width="5.625" style="42" customWidth="1"/>
    <col min="10517" max="10517" width="10.625" style="42" customWidth="1"/>
    <col min="10518" max="10518" width="45.625" style="42" customWidth="1"/>
    <col min="10519" max="10519" width="48.625" style="42" customWidth="1"/>
    <col min="10520" max="10522" width="5.625" style="42" customWidth="1"/>
    <col min="10523" max="10523" width="21.625" style="42" customWidth="1"/>
    <col min="10524" max="10524" width="22.625" style="42" customWidth="1"/>
    <col min="10525" max="10771" width="8.625" style="42"/>
    <col min="10772" max="10772" width="5.625" style="42" customWidth="1"/>
    <col min="10773" max="10773" width="10.625" style="42" customWidth="1"/>
    <col min="10774" max="10774" width="45.625" style="42" customWidth="1"/>
    <col min="10775" max="10775" width="48.625" style="42" customWidth="1"/>
    <col min="10776" max="10778" width="5.625" style="42" customWidth="1"/>
    <col min="10779" max="10779" width="21.625" style="42" customWidth="1"/>
    <col min="10780" max="10780" width="22.625" style="42" customWidth="1"/>
    <col min="10781" max="11027" width="8.625" style="42"/>
    <col min="11028" max="11028" width="5.625" style="42" customWidth="1"/>
    <col min="11029" max="11029" width="10.625" style="42" customWidth="1"/>
    <col min="11030" max="11030" width="45.625" style="42" customWidth="1"/>
    <col min="11031" max="11031" width="48.625" style="42" customWidth="1"/>
    <col min="11032" max="11034" width="5.625" style="42" customWidth="1"/>
    <col min="11035" max="11035" width="21.625" style="42" customWidth="1"/>
    <col min="11036" max="11036" width="22.625" style="42" customWidth="1"/>
    <col min="11037" max="11283" width="8.625" style="42"/>
    <col min="11284" max="11284" width="5.625" style="42" customWidth="1"/>
    <col min="11285" max="11285" width="10.625" style="42" customWidth="1"/>
    <col min="11286" max="11286" width="45.625" style="42" customWidth="1"/>
    <col min="11287" max="11287" width="48.625" style="42" customWidth="1"/>
    <col min="11288" max="11290" width="5.625" style="42" customWidth="1"/>
    <col min="11291" max="11291" width="21.625" style="42" customWidth="1"/>
    <col min="11292" max="11292" width="22.625" style="42" customWidth="1"/>
    <col min="11293" max="11539" width="8.625" style="42"/>
    <col min="11540" max="11540" width="5.625" style="42" customWidth="1"/>
    <col min="11541" max="11541" width="10.625" style="42" customWidth="1"/>
    <col min="11542" max="11542" width="45.625" style="42" customWidth="1"/>
    <col min="11543" max="11543" width="48.625" style="42" customWidth="1"/>
    <col min="11544" max="11546" width="5.625" style="42" customWidth="1"/>
    <col min="11547" max="11547" width="21.625" style="42" customWidth="1"/>
    <col min="11548" max="11548" width="22.625" style="42" customWidth="1"/>
    <col min="11549" max="11795" width="8.625" style="42"/>
    <col min="11796" max="11796" width="5.625" style="42" customWidth="1"/>
    <col min="11797" max="11797" width="10.625" style="42" customWidth="1"/>
    <col min="11798" max="11798" width="45.625" style="42" customWidth="1"/>
    <col min="11799" max="11799" width="48.625" style="42" customWidth="1"/>
    <col min="11800" max="11802" width="5.625" style="42" customWidth="1"/>
    <col min="11803" max="11803" width="21.625" style="42" customWidth="1"/>
    <col min="11804" max="11804" width="22.625" style="42" customWidth="1"/>
    <col min="11805" max="12051" width="8.625" style="42"/>
    <col min="12052" max="12052" width="5.625" style="42" customWidth="1"/>
    <col min="12053" max="12053" width="10.625" style="42" customWidth="1"/>
    <col min="12054" max="12054" width="45.625" style="42" customWidth="1"/>
    <col min="12055" max="12055" width="48.625" style="42" customWidth="1"/>
    <col min="12056" max="12058" width="5.625" style="42" customWidth="1"/>
    <col min="12059" max="12059" width="21.625" style="42" customWidth="1"/>
    <col min="12060" max="12060" width="22.625" style="42" customWidth="1"/>
    <col min="12061" max="12307" width="8.625" style="42"/>
    <col min="12308" max="12308" width="5.625" style="42" customWidth="1"/>
    <col min="12309" max="12309" width="10.625" style="42" customWidth="1"/>
    <col min="12310" max="12310" width="45.625" style="42" customWidth="1"/>
    <col min="12311" max="12311" width="48.625" style="42" customWidth="1"/>
    <col min="12312" max="12314" width="5.625" style="42" customWidth="1"/>
    <col min="12315" max="12315" width="21.625" style="42" customWidth="1"/>
    <col min="12316" max="12316" width="22.625" style="42" customWidth="1"/>
    <col min="12317" max="12563" width="8.625" style="42"/>
    <col min="12564" max="12564" width="5.625" style="42" customWidth="1"/>
    <col min="12565" max="12565" width="10.625" style="42" customWidth="1"/>
    <col min="12566" max="12566" width="45.625" style="42" customWidth="1"/>
    <col min="12567" max="12567" width="48.625" style="42" customWidth="1"/>
    <col min="12568" max="12570" width="5.625" style="42" customWidth="1"/>
    <col min="12571" max="12571" width="21.625" style="42" customWidth="1"/>
    <col min="12572" max="12572" width="22.625" style="42" customWidth="1"/>
    <col min="12573" max="12819" width="8.625" style="42"/>
    <col min="12820" max="12820" width="5.625" style="42" customWidth="1"/>
    <col min="12821" max="12821" width="10.625" style="42" customWidth="1"/>
    <col min="12822" max="12822" width="45.625" style="42" customWidth="1"/>
    <col min="12823" max="12823" width="48.625" style="42" customWidth="1"/>
    <col min="12824" max="12826" width="5.625" style="42" customWidth="1"/>
    <col min="12827" max="12827" width="21.625" style="42" customWidth="1"/>
    <col min="12828" max="12828" width="22.625" style="42" customWidth="1"/>
    <col min="12829" max="13075" width="8.625" style="42"/>
    <col min="13076" max="13076" width="5.625" style="42" customWidth="1"/>
    <col min="13077" max="13077" width="10.625" style="42" customWidth="1"/>
    <col min="13078" max="13078" width="45.625" style="42" customWidth="1"/>
    <col min="13079" max="13079" width="48.625" style="42" customWidth="1"/>
    <col min="13080" max="13082" width="5.625" style="42" customWidth="1"/>
    <col min="13083" max="13083" width="21.625" style="42" customWidth="1"/>
    <col min="13084" max="13084" width="22.625" style="42" customWidth="1"/>
    <col min="13085" max="13331" width="8.625" style="42"/>
    <col min="13332" max="13332" width="5.625" style="42" customWidth="1"/>
    <col min="13333" max="13333" width="10.625" style="42" customWidth="1"/>
    <col min="13334" max="13334" width="45.625" style="42" customWidth="1"/>
    <col min="13335" max="13335" width="48.625" style="42" customWidth="1"/>
    <col min="13336" max="13338" width="5.625" style="42" customWidth="1"/>
    <col min="13339" max="13339" width="21.625" style="42" customWidth="1"/>
    <col min="13340" max="13340" width="22.625" style="42" customWidth="1"/>
    <col min="13341" max="13587" width="8.625" style="42"/>
    <col min="13588" max="13588" width="5.625" style="42" customWidth="1"/>
    <col min="13589" max="13589" width="10.625" style="42" customWidth="1"/>
    <col min="13590" max="13590" width="45.625" style="42" customWidth="1"/>
    <col min="13591" max="13591" width="48.625" style="42" customWidth="1"/>
    <col min="13592" max="13594" width="5.625" style="42" customWidth="1"/>
    <col min="13595" max="13595" width="21.625" style="42" customWidth="1"/>
    <col min="13596" max="13596" width="22.625" style="42" customWidth="1"/>
    <col min="13597" max="13843" width="8.625" style="42"/>
    <col min="13844" max="13844" width="5.625" style="42" customWidth="1"/>
    <col min="13845" max="13845" width="10.625" style="42" customWidth="1"/>
    <col min="13846" max="13846" width="45.625" style="42" customWidth="1"/>
    <col min="13847" max="13847" width="48.625" style="42" customWidth="1"/>
    <col min="13848" max="13850" width="5.625" style="42" customWidth="1"/>
    <col min="13851" max="13851" width="21.625" style="42" customWidth="1"/>
    <col min="13852" max="13852" width="22.625" style="42" customWidth="1"/>
    <col min="13853" max="14099" width="8.625" style="42"/>
    <col min="14100" max="14100" width="5.625" style="42" customWidth="1"/>
    <col min="14101" max="14101" width="10.625" style="42" customWidth="1"/>
    <col min="14102" max="14102" width="45.625" style="42" customWidth="1"/>
    <col min="14103" max="14103" width="48.625" style="42" customWidth="1"/>
    <col min="14104" max="14106" width="5.625" style="42" customWidth="1"/>
    <col min="14107" max="14107" width="21.625" style="42" customWidth="1"/>
    <col min="14108" max="14108" width="22.625" style="42" customWidth="1"/>
    <col min="14109" max="14355" width="8.625" style="42"/>
    <col min="14356" max="14356" width="5.625" style="42" customWidth="1"/>
    <col min="14357" max="14357" width="10.625" style="42" customWidth="1"/>
    <col min="14358" max="14358" width="45.625" style="42" customWidth="1"/>
    <col min="14359" max="14359" width="48.625" style="42" customWidth="1"/>
    <col min="14360" max="14362" width="5.625" style="42" customWidth="1"/>
    <col min="14363" max="14363" width="21.625" style="42" customWidth="1"/>
    <col min="14364" max="14364" width="22.625" style="42" customWidth="1"/>
    <col min="14365" max="14611" width="8.625" style="42"/>
    <col min="14612" max="14612" width="5.625" style="42" customWidth="1"/>
    <col min="14613" max="14613" width="10.625" style="42" customWidth="1"/>
    <col min="14614" max="14614" width="45.625" style="42" customWidth="1"/>
    <col min="14615" max="14615" width="48.625" style="42" customWidth="1"/>
    <col min="14616" max="14618" width="5.625" style="42" customWidth="1"/>
    <col min="14619" max="14619" width="21.625" style="42" customWidth="1"/>
    <col min="14620" max="14620" width="22.625" style="42" customWidth="1"/>
    <col min="14621" max="14867" width="8.625" style="42"/>
    <col min="14868" max="14868" width="5.625" style="42" customWidth="1"/>
    <col min="14869" max="14869" width="10.625" style="42" customWidth="1"/>
    <col min="14870" max="14870" width="45.625" style="42" customWidth="1"/>
    <col min="14871" max="14871" width="48.625" style="42" customWidth="1"/>
    <col min="14872" max="14874" width="5.625" style="42" customWidth="1"/>
    <col min="14875" max="14875" width="21.625" style="42" customWidth="1"/>
    <col min="14876" max="14876" width="22.625" style="42" customWidth="1"/>
    <col min="14877" max="15123" width="8.625" style="42"/>
    <col min="15124" max="15124" width="5.625" style="42" customWidth="1"/>
    <col min="15125" max="15125" width="10.625" style="42" customWidth="1"/>
    <col min="15126" max="15126" width="45.625" style="42" customWidth="1"/>
    <col min="15127" max="15127" width="48.625" style="42" customWidth="1"/>
    <col min="15128" max="15130" width="5.625" style="42" customWidth="1"/>
    <col min="15131" max="15131" width="21.625" style="42" customWidth="1"/>
    <col min="15132" max="15132" width="22.625" style="42" customWidth="1"/>
    <col min="15133" max="15379" width="8.625" style="42"/>
    <col min="15380" max="15380" width="5.625" style="42" customWidth="1"/>
    <col min="15381" max="15381" width="10.625" style="42" customWidth="1"/>
    <col min="15382" max="15382" width="45.625" style="42" customWidth="1"/>
    <col min="15383" max="15383" width="48.625" style="42" customWidth="1"/>
    <col min="15384" max="15386" width="5.625" style="42" customWidth="1"/>
    <col min="15387" max="15387" width="21.625" style="42" customWidth="1"/>
    <col min="15388" max="15388" width="22.625" style="42" customWidth="1"/>
    <col min="15389" max="15635" width="8.625" style="42"/>
    <col min="15636" max="15636" width="5.625" style="42" customWidth="1"/>
    <col min="15637" max="15637" width="10.625" style="42" customWidth="1"/>
    <col min="15638" max="15638" width="45.625" style="42" customWidth="1"/>
    <col min="15639" max="15639" width="48.625" style="42" customWidth="1"/>
    <col min="15640" max="15642" width="5.625" style="42" customWidth="1"/>
    <col min="15643" max="15643" width="21.625" style="42" customWidth="1"/>
    <col min="15644" max="15644" width="22.625" style="42" customWidth="1"/>
    <col min="15645" max="15891" width="8.625" style="42"/>
    <col min="15892" max="15892" width="5.625" style="42" customWidth="1"/>
    <col min="15893" max="15893" width="10.625" style="42" customWidth="1"/>
    <col min="15894" max="15894" width="45.625" style="42" customWidth="1"/>
    <col min="15895" max="15895" width="48.625" style="42" customWidth="1"/>
    <col min="15896" max="15898" width="5.625" style="42" customWidth="1"/>
    <col min="15899" max="15899" width="21.625" style="42" customWidth="1"/>
    <col min="15900" max="15900" width="22.625" style="42" customWidth="1"/>
    <col min="15901" max="16147" width="8.625" style="42"/>
    <col min="16148" max="16148" width="5.625" style="42" customWidth="1"/>
    <col min="16149" max="16149" width="10.625" style="42" customWidth="1"/>
    <col min="16150" max="16150" width="45.625" style="42" customWidth="1"/>
    <col min="16151" max="16151" width="48.625" style="42" customWidth="1"/>
    <col min="16152" max="16154" width="5.625" style="42" customWidth="1"/>
    <col min="16155" max="16155" width="21.625" style="42" customWidth="1"/>
    <col min="16156" max="16156" width="22.625" style="42" customWidth="1"/>
    <col min="16157" max="16384" width="8.625" style="42"/>
  </cols>
  <sheetData>
    <row r="1" spans="1:156" ht="25.5">
      <c r="A1" s="40" t="e" vm="1">
        <v>#VALUE!</v>
      </c>
      <c r="B1" s="48" t="s">
        <v>0</v>
      </c>
      <c r="C1" s="49"/>
      <c r="D1" s="40"/>
      <c r="AD1" s="173"/>
    </row>
    <row r="2" spans="1:156" ht="41.45" customHeight="1">
      <c r="A2" s="54"/>
      <c r="B2" s="55" t="s">
        <v>1</v>
      </c>
      <c r="C2" s="56"/>
      <c r="D2" s="54"/>
      <c r="E2" s="129"/>
      <c r="F2" s="343" t="s">
        <v>184</v>
      </c>
      <c r="G2" s="343"/>
      <c r="H2" s="343"/>
      <c r="I2" s="343"/>
      <c r="J2" s="344"/>
      <c r="K2" s="340" t="s">
        <v>433</v>
      </c>
      <c r="L2" s="341"/>
      <c r="M2" s="341"/>
      <c r="N2" s="341"/>
      <c r="O2" s="341"/>
      <c r="P2" s="342"/>
      <c r="Q2" s="336" t="s">
        <v>185</v>
      </c>
      <c r="R2" s="336"/>
      <c r="S2" s="336"/>
      <c r="T2" s="336"/>
      <c r="U2" s="337" t="s">
        <v>186</v>
      </c>
      <c r="V2" s="338"/>
      <c r="W2" s="338"/>
      <c r="X2" s="338"/>
      <c r="Y2" s="338"/>
      <c r="Z2" s="338"/>
      <c r="AA2" s="338"/>
      <c r="AB2" s="339"/>
      <c r="AD2" s="173"/>
    </row>
    <row r="3" spans="1:156" ht="42" customHeight="1" thickBot="1">
      <c r="B3" s="334" t="str" cm="1">
        <f t="array" aca="1" ref="B3" ca="1">_xlfn.TEXTAFTER(CELL("filename",A1),"]")</f>
        <v>Cylinder Detail</v>
      </c>
      <c r="C3" s="334"/>
      <c r="D3" s="86"/>
      <c r="E3" s="176" t="s">
        <v>458</v>
      </c>
      <c r="F3" s="118" t="s">
        <v>418</v>
      </c>
      <c r="G3" s="118" t="s">
        <v>200</v>
      </c>
      <c r="H3" s="134" t="s">
        <v>23</v>
      </c>
      <c r="I3" s="134" t="s">
        <v>24</v>
      </c>
      <c r="J3" s="134" t="s">
        <v>431</v>
      </c>
      <c r="K3" s="134" t="s">
        <v>488</v>
      </c>
      <c r="L3" s="134" t="s">
        <v>489</v>
      </c>
      <c r="M3" s="134" t="s">
        <v>490</v>
      </c>
      <c r="N3" s="134" t="s">
        <v>491</v>
      </c>
      <c r="O3" s="134" t="s">
        <v>492</v>
      </c>
      <c r="P3" s="134" t="s">
        <v>493</v>
      </c>
      <c r="Q3" s="131" t="s">
        <v>25</v>
      </c>
      <c r="R3" s="135" t="s">
        <v>26</v>
      </c>
      <c r="S3" s="130" t="s">
        <v>27</v>
      </c>
      <c r="T3" s="130" t="s">
        <v>28</v>
      </c>
      <c r="U3" s="119" t="s">
        <v>456</v>
      </c>
      <c r="V3" s="119" t="s">
        <v>457</v>
      </c>
      <c r="W3" s="119" t="s">
        <v>434</v>
      </c>
      <c r="X3" s="119" t="s">
        <v>435</v>
      </c>
      <c r="Y3" s="119" t="s">
        <v>455</v>
      </c>
      <c r="Z3" s="119" t="s">
        <v>436</v>
      </c>
      <c r="AA3" s="119" t="s">
        <v>437</v>
      </c>
      <c r="AB3" s="133" t="s">
        <v>438</v>
      </c>
      <c r="AC3" s="174" t="s">
        <v>450</v>
      </c>
      <c r="AD3" s="174" t="s">
        <v>449</v>
      </c>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row>
    <row r="4" spans="1:156" ht="22.15" customHeight="1">
      <c r="A4" s="64"/>
      <c r="B4" s="65" t="s">
        <v>2</v>
      </c>
      <c r="C4" s="87" t="str">
        <f>IF(Shop &lt;&gt; "", Shop, "")</f>
        <v>BL03</v>
      </c>
      <c r="D4" s="88"/>
      <c r="E4" s="272" t="s">
        <v>522</v>
      </c>
      <c r="F4" s="273" t="s">
        <v>94</v>
      </c>
      <c r="G4" s="274" t="s">
        <v>429</v>
      </c>
      <c r="H4" s="274">
        <v>63</v>
      </c>
      <c r="I4" s="274">
        <v>72.400000000000006</v>
      </c>
      <c r="J4" s="275">
        <v>1</v>
      </c>
      <c r="K4" s="242" cm="1">
        <f t="array" aca="1" ref="K4" ca="1">IFERROR(
INDEX(Sequence[Dep. ID],
MATCH(1, (Sequence[Actor Type]="CylinderUnits") * (Sequence[Row Type]&lt;&gt;"Start Conditions") * (Sequence[Actor/Unit]=Cylinders[[#This Row],[Unit Name]]), 0)), "")</f>
        <v>53</v>
      </c>
      <c r="L4" s="242" cm="1">
        <f t="array" aca="1" ref="L4" ca="1">IFERROR(
  INDEX(Sequence[Dep. ID],
  MATCH(1, (Sequence[Actor Type]="CylinderUnits") * (Sequence[Row Type]&lt;&gt;"Start Conditions") *  (Sequence[Actor/Unit]=Cylinders[[#This Row],[Unit Name]]) * (Sequence[Dep. ID]&gt;Cylinders[[#This Row],[1st Motion]]), 0)), "")</f>
        <v>81</v>
      </c>
      <c r="M4" s="242" t="str" cm="1">
        <f t="array" aca="1" ref="M4" ca="1">IFERROR(
  INDEX(Sequence[Dep. ID],
  MATCH(1, (Sequence[Actor Type]="CylinderUnits") * (Sequence[Row Type]&lt;&gt;"Start Conditions") *  (Sequence[Actor/Unit]=Cylinders[[#This Row],[Unit Name]]) * (Sequence[Dep. ID]&gt;Cylinders[[#This Row],[2nd Motion]]), 0)), "")</f>
        <v/>
      </c>
      <c r="N4" s="242" t="str" cm="1">
        <f t="array" aca="1" ref="N4" ca="1">IFERROR(
  INDEX(Sequence[Dep. ID],
  MATCH(1, (Sequence[Actor Type]="CylinderUnits") * (Sequence[Row Type]&lt;&gt;"Start Conditions") *  (Sequence[Actor/Unit]=Cylinders[[#This Row],[Unit Name]]) * (Sequence[Dep. ID]&gt;Cylinders[[#This Row],[3rd Motion]]), 0)), "")</f>
        <v/>
      </c>
      <c r="O4" s="242" t="str" cm="1">
        <f t="array" aca="1" ref="O4" ca="1">IFERROR(
  INDEX(Sequence[Dep. ID],
  MATCH(1, (Sequence[Actor Type]="CylinderUnits") * (Sequence[Row Type]&lt;&gt;"Start Conditions") *  (Sequence[Actor/Unit]=Cylinders[[#This Row],[Unit Name]]) * (Sequence[Dep. ID]&gt;Cylinders[[#This Row],[4th Motion]]), 0)), "")</f>
        <v/>
      </c>
      <c r="P4" s="242" t="str" cm="1">
        <f t="array" aca="1" ref="P4" ca="1">IFERROR(
  INDEX(Sequence[Dep. ID],
  MATCH(1, (Sequence[Actor Type]="CylinderUnits") * (Sequence[Row Type]&lt;&gt;"Start Conditions") *  (Sequence[Actor/Unit]=Cylinders[[#This Row],[Unit Name]]) * (Sequence[Dep. ID]&gt;Cylinders[[#This Row],[5th Motion]]), 0)), "")</f>
        <v/>
      </c>
      <c r="Q4" s="273" t="s">
        <v>559</v>
      </c>
      <c r="R4" s="274" t="s">
        <v>95</v>
      </c>
      <c r="S4" s="276"/>
      <c r="T4" s="276"/>
      <c r="U4" s="288" t="s">
        <v>501</v>
      </c>
      <c r="V4" s="289" t="s">
        <v>502</v>
      </c>
      <c r="W4" s="289" t="s">
        <v>506</v>
      </c>
      <c r="X4" s="289" t="s">
        <v>510</v>
      </c>
      <c r="Y4" s="289" t="s">
        <v>612</v>
      </c>
      <c r="Z4" s="273" t="s">
        <v>142</v>
      </c>
      <c r="AA4" s="273" t="s">
        <v>500</v>
      </c>
      <c r="AB4" s="274">
        <v>10</v>
      </c>
      <c r="AC4" s="245" t="str">
        <f>IF(AND(Cylinders[[#This Row],[Controls Manifold Name]]&lt;&gt;"",Cylinders[[#This Row],[Controls Valve Name]]&lt;&gt;"",Cylinders[[#This Row],[Unit Name]]&lt;&gt;""),_xlfn.CONCAT(U4,V4),"")</f>
        <v>=KJ1-QMB1</v>
      </c>
      <c r="AD4" s="245" t="str">
        <f>IF(AND(Cylinders[[#This Row],[Controls
Motion 
Group]]&lt;&gt;"",Cylinders[[#This Row],[Controls
Unit 
Name]]&lt;&gt;"",Cylinders[[#This Row],[Unit Name]]&lt;&gt;""),_xlfn.CONCAT(W4,X4),"")</f>
        <v>=MM1-MMB1</v>
      </c>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row>
    <row r="5" spans="1:156" ht="18.600000000000001" customHeight="1">
      <c r="B5" s="65" t="s">
        <v>6</v>
      </c>
      <c r="C5" s="87" t="str">
        <f>IF(Line &lt;&gt; "", Line, "")</f>
        <v>FFLR</v>
      </c>
      <c r="D5" s="88"/>
      <c r="E5" s="272" t="s">
        <v>557</v>
      </c>
      <c r="F5" s="273" t="s">
        <v>94</v>
      </c>
      <c r="G5" s="274" t="s">
        <v>429</v>
      </c>
      <c r="H5" s="274">
        <v>63</v>
      </c>
      <c r="I5" s="274">
        <v>72.400000000000006</v>
      </c>
      <c r="J5" s="275">
        <v>1</v>
      </c>
      <c r="K5" s="242" cm="1">
        <f t="array" aca="1" ref="K5" ca="1">IFERROR(
INDEX(Sequence[Dep. ID],
MATCH(1, (Sequence[Actor Type]="CylinderUnits") * (Sequence[Row Type]&lt;&gt;"Start Conditions") * (Sequence[Actor/Unit]=Cylinders[[#This Row],[Unit Name]]), 0)), "")</f>
        <v>53</v>
      </c>
      <c r="L5" s="242" cm="1">
        <f t="array" aca="1" ref="L5" ca="1">IFERROR(
  INDEX(Sequence[Dep. ID],
  MATCH(1, (Sequence[Actor Type]="CylinderUnits") * (Sequence[Row Type]&lt;&gt;"Start Conditions") *  (Sequence[Actor/Unit]=Cylinders[[#This Row],[Unit Name]]) * (Sequence[Dep. ID]&gt;Cylinders[[#This Row],[1st Motion]]), 0)), "")</f>
        <v>81</v>
      </c>
      <c r="M5" s="242" t="str" cm="1">
        <f t="array" aca="1" ref="M5" ca="1">IFERROR(
  INDEX(Sequence[Dep. ID],
  MATCH(1, (Sequence[Actor Type]="CylinderUnits") * (Sequence[Row Type]&lt;&gt;"Start Conditions") *  (Sequence[Actor/Unit]=Cylinders[[#This Row],[Unit Name]]) * (Sequence[Dep. ID]&gt;Cylinders[[#This Row],[2nd Motion]]), 0)), "")</f>
        <v/>
      </c>
      <c r="N5" s="242" t="str" cm="1">
        <f t="array" aca="1" ref="N5" ca="1">IFERROR(
  INDEX(Sequence[Dep. ID],
  MATCH(1, (Sequence[Actor Type]="CylinderUnits") * (Sequence[Row Type]&lt;&gt;"Start Conditions") *  (Sequence[Actor/Unit]=Cylinders[[#This Row],[Unit Name]]) * (Sequence[Dep. ID]&gt;Cylinders[[#This Row],[3rd Motion]]), 0)), "")</f>
        <v/>
      </c>
      <c r="O5" s="242" t="str" cm="1">
        <f t="array" aca="1" ref="O5" ca="1">IFERROR(
  INDEX(Sequence[Dep. ID],
  MATCH(1, (Sequence[Actor Type]="CylinderUnits") * (Sequence[Row Type]&lt;&gt;"Start Conditions") *  (Sequence[Actor/Unit]=Cylinders[[#This Row],[Unit Name]]) * (Sequence[Dep. ID]&gt;Cylinders[[#This Row],[4th Motion]]), 0)), "")</f>
        <v/>
      </c>
      <c r="P5" s="242" t="str" cm="1">
        <f t="array" aca="1" ref="P5" ca="1">IFERROR(
  INDEX(Sequence[Dep. ID],
  MATCH(1, (Sequence[Actor Type]="CylinderUnits") * (Sequence[Row Type]&lt;&gt;"Start Conditions") *  (Sequence[Actor/Unit]=Cylinders[[#This Row],[Unit Name]]) * (Sequence[Dep. ID]&gt;Cylinders[[#This Row],[5th Motion]]), 0)), "")</f>
        <v/>
      </c>
      <c r="Q5" s="273" t="s">
        <v>559</v>
      </c>
      <c r="R5" s="274" t="s">
        <v>95</v>
      </c>
      <c r="S5" s="276"/>
      <c r="T5" s="276"/>
      <c r="U5" s="288" t="s">
        <v>501</v>
      </c>
      <c r="V5" s="289" t="s">
        <v>502</v>
      </c>
      <c r="W5" s="289" t="s">
        <v>506</v>
      </c>
      <c r="X5" s="289" t="s">
        <v>511</v>
      </c>
      <c r="Y5" s="289" t="s">
        <v>612</v>
      </c>
      <c r="Z5" s="273" t="s">
        <v>142</v>
      </c>
      <c r="AA5" s="273" t="s">
        <v>500</v>
      </c>
      <c r="AB5" s="274">
        <v>10</v>
      </c>
      <c r="AC5" s="246" t="str">
        <f>IF(AND(Cylinders[[#This Row],[Controls Manifold Name]]&lt;&gt;"",Cylinders[[#This Row],[Controls Valve Name]]&lt;&gt;"",Cylinders[[#This Row],[Unit Name]]&lt;&gt;""),_xlfn.CONCAT(U5,V5),"")</f>
        <v>=KJ1-QMB1</v>
      </c>
      <c r="AD5" s="245" t="str">
        <f>IF(AND(Cylinders[[#This Row],[Controls
Motion 
Group]]&lt;&gt;"",Cylinders[[#This Row],[Controls
Unit 
Name]]&lt;&gt;"",Cylinders[[#This Row],[Unit Name]]&lt;&gt;""),_xlfn.CONCAT(W5,X5),"")</f>
        <v>=MM1-MMB2</v>
      </c>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row>
    <row r="6" spans="1:156" ht="18.600000000000001" customHeight="1">
      <c r="B6" s="65" t="s">
        <v>4</v>
      </c>
      <c r="C6" s="89" t="str">
        <f>IF(LineDescription&lt;&gt;"",LineDescription,"")</f>
        <v>Front Floor</v>
      </c>
      <c r="D6" s="88"/>
      <c r="E6" s="272" t="s">
        <v>562</v>
      </c>
      <c r="F6" s="273" t="s">
        <v>94</v>
      </c>
      <c r="G6" s="274" t="s">
        <v>429</v>
      </c>
      <c r="H6" s="274">
        <v>63</v>
      </c>
      <c r="I6" s="274">
        <v>79.400000000000006</v>
      </c>
      <c r="J6" s="275">
        <v>1.5</v>
      </c>
      <c r="K6" s="242" cm="1">
        <f t="array" aca="1" ref="K6" ca="1">IFERROR(
INDEX(Sequence[Dep. ID],
MATCH(1, (Sequence[Actor Type]="CylinderUnits") * (Sequence[Row Type]&lt;&gt;"Start Conditions") * (Sequence[Actor/Unit]=Cylinders[[#This Row],[Unit Name]]), 0)), "")</f>
        <v>53</v>
      </c>
      <c r="L6" s="242" cm="1">
        <f t="array" aca="1" ref="L6" ca="1">IFERROR(
  INDEX(Sequence[Dep. ID],
  MATCH(1, (Sequence[Actor Type]="CylinderUnits") * (Sequence[Row Type]&lt;&gt;"Start Conditions") *  (Sequence[Actor/Unit]=Cylinders[[#This Row],[Unit Name]]) * (Sequence[Dep. ID]&gt;Cylinders[[#This Row],[1st Motion]]), 0)), "")</f>
        <v>81</v>
      </c>
      <c r="M6" s="242" t="str" cm="1">
        <f t="array" aca="1" ref="M6" ca="1">IFERROR(
  INDEX(Sequence[Dep. ID],
  MATCH(1, (Sequence[Actor Type]="CylinderUnits") * (Sequence[Row Type]&lt;&gt;"Start Conditions") *  (Sequence[Actor/Unit]=Cylinders[[#This Row],[Unit Name]]) * (Sequence[Dep. ID]&gt;Cylinders[[#This Row],[2nd Motion]]), 0)), "")</f>
        <v/>
      </c>
      <c r="N6" s="242" t="str" cm="1">
        <f t="array" aca="1" ref="N6" ca="1">IFERROR(
  INDEX(Sequence[Dep. ID],
  MATCH(1, (Sequence[Actor Type]="CylinderUnits") * (Sequence[Row Type]&lt;&gt;"Start Conditions") *  (Sequence[Actor/Unit]=Cylinders[[#This Row],[Unit Name]]) * (Sequence[Dep. ID]&gt;Cylinders[[#This Row],[3rd Motion]]), 0)), "")</f>
        <v/>
      </c>
      <c r="O6" s="242" t="str" cm="1">
        <f t="array" aca="1" ref="O6" ca="1">IFERROR(
  INDEX(Sequence[Dep. ID],
  MATCH(1, (Sequence[Actor Type]="CylinderUnits") * (Sequence[Row Type]&lt;&gt;"Start Conditions") *  (Sequence[Actor/Unit]=Cylinders[[#This Row],[Unit Name]]) * (Sequence[Dep. ID]&gt;Cylinders[[#This Row],[4th Motion]]), 0)), "")</f>
        <v/>
      </c>
      <c r="P6" s="242" t="str" cm="1">
        <f t="array" aca="1" ref="P6" ca="1">IFERROR(
  INDEX(Sequence[Dep. ID],
  MATCH(1, (Sequence[Actor Type]="CylinderUnits") * (Sequence[Row Type]&lt;&gt;"Start Conditions") *  (Sequence[Actor/Unit]=Cylinders[[#This Row],[Unit Name]]) * (Sequence[Dep. ID]&gt;Cylinders[[#This Row],[5th Motion]]), 0)), "")</f>
        <v/>
      </c>
      <c r="Q6" s="273" t="s">
        <v>561</v>
      </c>
      <c r="R6" s="274" t="s">
        <v>95</v>
      </c>
      <c r="S6" s="276"/>
      <c r="T6" s="276"/>
      <c r="U6" s="288" t="s">
        <v>501</v>
      </c>
      <c r="V6" s="289" t="s">
        <v>502</v>
      </c>
      <c r="W6" s="289" t="s">
        <v>506</v>
      </c>
      <c r="X6" s="289" t="s">
        <v>536</v>
      </c>
      <c r="Y6" s="289" t="s">
        <v>612</v>
      </c>
      <c r="Z6" s="273" t="s">
        <v>142</v>
      </c>
      <c r="AA6" s="273" t="s">
        <v>500</v>
      </c>
      <c r="AB6" s="274">
        <v>10</v>
      </c>
      <c r="AC6" s="246" t="str">
        <f>IF(AND(Cylinders[[#This Row],[Controls Manifold Name]]&lt;&gt;"",Cylinders[[#This Row],[Controls Valve Name]]&lt;&gt;"",Cylinders[[#This Row],[Unit Name]]&lt;&gt;""),_xlfn.CONCAT(U6,V6),"")</f>
        <v>=KJ1-QMB1</v>
      </c>
      <c r="AD6" s="245" t="str">
        <f>IF(AND(Cylinders[[#This Row],[Controls
Motion 
Group]]&lt;&gt;"",Cylinders[[#This Row],[Controls
Unit 
Name]]&lt;&gt;"",Cylinders[[#This Row],[Unit Name]]&lt;&gt;""),_xlfn.CONCAT(W6,X6),"")</f>
        <v>=MM1-MMB3</v>
      </c>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row>
    <row r="7" spans="1:156" ht="18.600000000000001" customHeight="1">
      <c r="B7" s="65" t="s">
        <v>8</v>
      </c>
      <c r="C7" s="89" t="str">
        <f>IF(Station &lt;&gt; "", Station, "")</f>
        <v>010</v>
      </c>
      <c r="D7" s="88"/>
      <c r="E7" s="272" t="s">
        <v>563</v>
      </c>
      <c r="F7" s="273" t="s">
        <v>94</v>
      </c>
      <c r="G7" s="274" t="s">
        <v>429</v>
      </c>
      <c r="H7" s="274">
        <v>63</v>
      </c>
      <c r="I7" s="274">
        <v>79.400000000000006</v>
      </c>
      <c r="J7" s="275">
        <v>1.5</v>
      </c>
      <c r="K7" s="242" cm="1">
        <f t="array" aca="1" ref="K7" ca="1">IFERROR(
INDEX(Sequence[Dep. ID],
MATCH(1, (Sequence[Actor Type]="CylinderUnits") * (Sequence[Row Type]&lt;&gt;"Start Conditions") * (Sequence[Actor/Unit]=Cylinders[[#This Row],[Unit Name]]), 0)), "")</f>
        <v>53</v>
      </c>
      <c r="L7" s="242" cm="1">
        <f t="array" aca="1" ref="L7" ca="1">IFERROR(
  INDEX(Sequence[Dep. ID],
  MATCH(1, (Sequence[Actor Type]="CylinderUnits") * (Sequence[Row Type]&lt;&gt;"Start Conditions") *  (Sequence[Actor/Unit]=Cylinders[[#This Row],[Unit Name]]) * (Sequence[Dep. ID]&gt;Cylinders[[#This Row],[1st Motion]]), 0)), "")</f>
        <v>81</v>
      </c>
      <c r="M7" s="242" t="str" cm="1">
        <f t="array" aca="1" ref="M7" ca="1">IFERROR(
  INDEX(Sequence[Dep. ID],
  MATCH(1, (Sequence[Actor Type]="CylinderUnits") * (Sequence[Row Type]&lt;&gt;"Start Conditions") *  (Sequence[Actor/Unit]=Cylinders[[#This Row],[Unit Name]]) * (Sequence[Dep. ID]&gt;Cylinders[[#This Row],[2nd Motion]]), 0)), "")</f>
        <v/>
      </c>
      <c r="N7" s="242" t="str" cm="1">
        <f t="array" aca="1" ref="N7" ca="1">IFERROR(
  INDEX(Sequence[Dep. ID],
  MATCH(1, (Sequence[Actor Type]="CylinderUnits") * (Sequence[Row Type]&lt;&gt;"Start Conditions") *  (Sequence[Actor/Unit]=Cylinders[[#This Row],[Unit Name]]) * (Sequence[Dep. ID]&gt;Cylinders[[#This Row],[3rd Motion]]), 0)), "")</f>
        <v/>
      </c>
      <c r="O7" s="242" t="str" cm="1">
        <f t="array" aca="1" ref="O7" ca="1">IFERROR(
  INDEX(Sequence[Dep. ID],
  MATCH(1, (Sequence[Actor Type]="CylinderUnits") * (Sequence[Row Type]&lt;&gt;"Start Conditions") *  (Sequence[Actor/Unit]=Cylinders[[#This Row],[Unit Name]]) * (Sequence[Dep. ID]&gt;Cylinders[[#This Row],[4th Motion]]), 0)), "")</f>
        <v/>
      </c>
      <c r="P7" s="242" t="str" cm="1">
        <f t="array" aca="1" ref="P7" ca="1">IFERROR(
  INDEX(Sequence[Dep. ID],
  MATCH(1, (Sequence[Actor Type]="CylinderUnits") * (Sequence[Row Type]&lt;&gt;"Start Conditions") *  (Sequence[Actor/Unit]=Cylinders[[#This Row],[Unit Name]]) * (Sequence[Dep. ID]&gt;Cylinders[[#This Row],[5th Motion]]), 0)), "")</f>
        <v/>
      </c>
      <c r="Q7" s="273" t="s">
        <v>561</v>
      </c>
      <c r="R7" s="274" t="s">
        <v>95</v>
      </c>
      <c r="S7" s="276"/>
      <c r="T7" s="276"/>
      <c r="U7" s="288" t="s">
        <v>501</v>
      </c>
      <c r="V7" s="289" t="s">
        <v>502</v>
      </c>
      <c r="W7" s="289" t="s">
        <v>506</v>
      </c>
      <c r="X7" s="289" t="s">
        <v>537</v>
      </c>
      <c r="Y7" s="289" t="s">
        <v>612</v>
      </c>
      <c r="Z7" s="273" t="s">
        <v>142</v>
      </c>
      <c r="AA7" s="273" t="s">
        <v>500</v>
      </c>
      <c r="AB7" s="274">
        <v>10</v>
      </c>
      <c r="AC7" s="246" t="str">
        <f>IF(AND(Cylinders[[#This Row],[Controls Manifold Name]]&lt;&gt;"",Cylinders[[#This Row],[Controls Valve Name]]&lt;&gt;"",Cylinders[[#This Row],[Unit Name]]&lt;&gt;""),_xlfn.CONCAT(U7,V7),"")</f>
        <v>=KJ1-QMB1</v>
      </c>
      <c r="AD7" s="245" t="str">
        <f>IF(AND(Cylinders[[#This Row],[Controls
Motion 
Group]]&lt;&gt;"",Cylinders[[#This Row],[Controls
Unit 
Name]]&lt;&gt;"",Cylinders[[#This Row],[Unit Name]]&lt;&gt;""),_xlfn.CONCAT(W7,X7),"")</f>
        <v>=MM1-MMB4</v>
      </c>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row>
    <row r="8" spans="1:156" ht="18.600000000000001" customHeight="1">
      <c r="B8" s="65" t="s">
        <v>10</v>
      </c>
      <c r="C8" s="89" t="str">
        <f>StationDescription</f>
        <v>Station 010</v>
      </c>
      <c r="D8" s="88"/>
      <c r="E8" s="272" t="s">
        <v>564</v>
      </c>
      <c r="F8" s="273" t="s">
        <v>94</v>
      </c>
      <c r="G8" s="274" t="s">
        <v>429</v>
      </c>
      <c r="H8" s="274">
        <v>63</v>
      </c>
      <c r="I8" s="274">
        <v>72.400000000000006</v>
      </c>
      <c r="J8" s="275">
        <v>1.5</v>
      </c>
      <c r="K8" s="242" cm="1">
        <f t="array" aca="1" ref="K8" ca="1">IFERROR(
INDEX(Sequence[Dep. ID],
MATCH(1, (Sequence[Actor Type]="CylinderUnits") * (Sequence[Row Type]&lt;&gt;"Start Conditions") * (Sequence[Actor/Unit]=Cylinders[[#This Row],[Unit Name]]), 0)), "")</f>
        <v>53</v>
      </c>
      <c r="L8" s="242" cm="1">
        <f t="array" aca="1" ref="L8" ca="1">IFERROR(
  INDEX(Sequence[Dep. ID],
  MATCH(1, (Sequence[Actor Type]="CylinderUnits") * (Sequence[Row Type]&lt;&gt;"Start Conditions") *  (Sequence[Actor/Unit]=Cylinders[[#This Row],[Unit Name]]) * (Sequence[Dep. ID]&gt;Cylinders[[#This Row],[1st Motion]]), 0)), "")</f>
        <v>81</v>
      </c>
      <c r="M8" s="242" t="str" cm="1">
        <f t="array" aca="1" ref="M8" ca="1">IFERROR(
  INDEX(Sequence[Dep. ID],
  MATCH(1, (Sequence[Actor Type]="CylinderUnits") * (Sequence[Row Type]&lt;&gt;"Start Conditions") *  (Sequence[Actor/Unit]=Cylinders[[#This Row],[Unit Name]]) * (Sequence[Dep. ID]&gt;Cylinders[[#This Row],[2nd Motion]]), 0)), "")</f>
        <v/>
      </c>
      <c r="N8" s="242" t="str" cm="1">
        <f t="array" aca="1" ref="N8" ca="1">IFERROR(
  INDEX(Sequence[Dep. ID],
  MATCH(1, (Sequence[Actor Type]="CylinderUnits") * (Sequence[Row Type]&lt;&gt;"Start Conditions") *  (Sequence[Actor/Unit]=Cylinders[[#This Row],[Unit Name]]) * (Sequence[Dep. ID]&gt;Cylinders[[#This Row],[3rd Motion]]), 0)), "")</f>
        <v/>
      </c>
      <c r="O8" s="242" t="str" cm="1">
        <f t="array" aca="1" ref="O8" ca="1">IFERROR(
  INDEX(Sequence[Dep. ID],
  MATCH(1, (Sequence[Actor Type]="CylinderUnits") * (Sequence[Row Type]&lt;&gt;"Start Conditions") *  (Sequence[Actor/Unit]=Cylinders[[#This Row],[Unit Name]]) * (Sequence[Dep. ID]&gt;Cylinders[[#This Row],[4th Motion]]), 0)), "")</f>
        <v/>
      </c>
      <c r="P8" s="242" t="str" cm="1">
        <f t="array" aca="1" ref="P8" ca="1">IFERROR(
  INDEX(Sequence[Dep. ID],
  MATCH(1, (Sequence[Actor Type]="CylinderUnits") * (Sequence[Row Type]&lt;&gt;"Start Conditions") *  (Sequence[Actor/Unit]=Cylinders[[#This Row],[Unit Name]]) * (Sequence[Dep. ID]&gt;Cylinders[[#This Row],[5th Motion]]), 0)), "")</f>
        <v/>
      </c>
      <c r="Q8" s="273" t="s">
        <v>559</v>
      </c>
      <c r="R8" s="274" t="s">
        <v>95</v>
      </c>
      <c r="S8" s="276"/>
      <c r="T8" s="276"/>
      <c r="U8" s="288" t="s">
        <v>501</v>
      </c>
      <c r="V8" s="289" t="s">
        <v>502</v>
      </c>
      <c r="W8" s="289" t="s">
        <v>506</v>
      </c>
      <c r="X8" s="289" t="s">
        <v>538</v>
      </c>
      <c r="Y8" s="289" t="s">
        <v>612</v>
      </c>
      <c r="Z8" s="273" t="s">
        <v>142</v>
      </c>
      <c r="AA8" s="273" t="s">
        <v>500</v>
      </c>
      <c r="AB8" s="274">
        <v>10</v>
      </c>
      <c r="AC8" s="246" t="str">
        <f>IF(AND(Cylinders[[#This Row],[Controls Manifold Name]]&lt;&gt;"",Cylinders[[#This Row],[Controls Valve Name]]&lt;&gt;"",Cylinders[[#This Row],[Unit Name]]&lt;&gt;""),_xlfn.CONCAT(U8,V8),"")</f>
        <v>=KJ1-QMB1</v>
      </c>
      <c r="AD8" s="245" t="str">
        <f>IF(AND(Cylinders[[#This Row],[Controls
Motion 
Group]]&lt;&gt;"",Cylinders[[#This Row],[Controls
Unit 
Name]]&lt;&gt;"",Cylinders[[#This Row],[Unit Name]]&lt;&gt;""),_xlfn.CONCAT(W8,X8),"")</f>
        <v>=MM1-MMB5</v>
      </c>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row>
    <row r="9" spans="1:156" ht="18.600000000000001" customHeight="1">
      <c r="B9" s="65" t="s">
        <v>12</v>
      </c>
      <c r="C9" s="89" t="str">
        <f>IF(System &lt;&gt; "", System, "")</f>
        <v/>
      </c>
      <c r="D9" s="88"/>
      <c r="E9" s="272" t="s">
        <v>565</v>
      </c>
      <c r="F9" s="273" t="s">
        <v>104</v>
      </c>
      <c r="G9" s="274" t="s">
        <v>429</v>
      </c>
      <c r="H9" s="274">
        <v>57</v>
      </c>
      <c r="I9" s="274">
        <v>50</v>
      </c>
      <c r="J9" s="275">
        <v>1.5</v>
      </c>
      <c r="K9" s="242" cm="1">
        <f t="array" aca="1" ref="K9" ca="1">IFERROR(
INDEX(Sequence[Dep. ID],
MATCH(1, (Sequence[Actor Type]="CylinderUnits") * (Sequence[Row Type]&lt;&gt;"Start Conditions") * (Sequence[Actor/Unit]=Cylinders[[#This Row],[Unit Name]]), 0)), "")</f>
        <v>34</v>
      </c>
      <c r="L9" s="242" cm="1">
        <f t="array" aca="1" ref="L9" ca="1">IFERROR(
  INDEX(Sequence[Dep. ID],
  MATCH(1, (Sequence[Actor Type]="CylinderUnits") * (Sequence[Row Type]&lt;&gt;"Start Conditions") *  (Sequence[Actor/Unit]=Cylinders[[#This Row],[Unit Name]]) * (Sequence[Dep. ID]&gt;Cylinders[[#This Row],[1st Motion]]), 0)), "")</f>
        <v>75</v>
      </c>
      <c r="M9" s="242" t="str" cm="1">
        <f t="array" aca="1" ref="M9" ca="1">IFERROR(
  INDEX(Sequence[Dep. ID],
  MATCH(1, (Sequence[Actor Type]="CylinderUnits") * (Sequence[Row Type]&lt;&gt;"Start Conditions") *  (Sequence[Actor/Unit]=Cylinders[[#This Row],[Unit Name]]) * (Sequence[Dep. ID]&gt;Cylinders[[#This Row],[2nd Motion]]), 0)), "")</f>
        <v/>
      </c>
      <c r="N9" s="242" t="str" cm="1">
        <f t="array" aca="1" ref="N9" ca="1">IFERROR(
  INDEX(Sequence[Dep. ID],
  MATCH(1, (Sequence[Actor Type]="CylinderUnits") * (Sequence[Row Type]&lt;&gt;"Start Conditions") *  (Sequence[Actor/Unit]=Cylinders[[#This Row],[Unit Name]]) * (Sequence[Dep. ID]&gt;Cylinders[[#This Row],[3rd Motion]]), 0)), "")</f>
        <v/>
      </c>
      <c r="O9" s="242" t="str" cm="1">
        <f t="array" aca="1" ref="O9" ca="1">IFERROR(
  INDEX(Sequence[Dep. ID],
  MATCH(1, (Sequence[Actor Type]="CylinderUnits") * (Sequence[Row Type]&lt;&gt;"Start Conditions") *  (Sequence[Actor/Unit]=Cylinders[[#This Row],[Unit Name]]) * (Sequence[Dep. ID]&gt;Cylinders[[#This Row],[4th Motion]]), 0)), "")</f>
        <v/>
      </c>
      <c r="P9" s="242" t="str" cm="1">
        <f t="array" aca="1" ref="P9" ca="1">IFERROR(
  INDEX(Sequence[Dep. ID],
  MATCH(1, (Sequence[Actor Type]="CylinderUnits") * (Sequence[Row Type]&lt;&gt;"Start Conditions") *  (Sequence[Actor/Unit]=Cylinders[[#This Row],[Unit Name]]) * (Sequence[Dep. ID]&gt;Cylinders[[#This Row],[5th Motion]]), 0)), "")</f>
        <v/>
      </c>
      <c r="Q9" s="273" t="s">
        <v>566</v>
      </c>
      <c r="R9" s="274" t="s">
        <v>95</v>
      </c>
      <c r="S9" s="276"/>
      <c r="T9" s="276"/>
      <c r="U9" s="288" t="s">
        <v>501</v>
      </c>
      <c r="V9" s="289" t="s">
        <v>505</v>
      </c>
      <c r="W9" s="289" t="s">
        <v>509</v>
      </c>
      <c r="X9" s="289" t="s">
        <v>510</v>
      </c>
      <c r="Y9" s="289" t="s">
        <v>613</v>
      </c>
      <c r="Z9" s="273" t="s">
        <v>142</v>
      </c>
      <c r="AA9" s="273" t="s">
        <v>500</v>
      </c>
      <c r="AB9" s="274">
        <v>10</v>
      </c>
      <c r="AC9" s="246" t="str">
        <f>IF(AND(Cylinders[[#This Row],[Controls Manifold Name]]&lt;&gt;"",Cylinders[[#This Row],[Controls Valve Name]]&lt;&gt;"",Cylinders[[#This Row],[Unit Name]]&lt;&gt;""),_xlfn.CONCAT(U9,V9),"")</f>
        <v>=KJ1-QMB4</v>
      </c>
      <c r="AD9" s="245" t="str">
        <f>IF(AND(Cylinders[[#This Row],[Controls
Motion 
Group]]&lt;&gt;"",Cylinders[[#This Row],[Controls
Unit 
Name]]&lt;&gt;"",Cylinders[[#This Row],[Unit Name]]&lt;&gt;""),_xlfn.CONCAT(W9,X9),"")</f>
        <v>=MM4-MMB1</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row>
    <row r="10" spans="1:156" ht="18.600000000000001" customHeight="1">
      <c r="B10" s="65" t="s">
        <v>428</v>
      </c>
      <c r="C10" s="89" t="str">
        <f>IF(SystemDescription &lt;&gt; "", SystemDescription, "")</f>
        <v/>
      </c>
      <c r="D10" s="90"/>
      <c r="E10" s="272" t="s">
        <v>570</v>
      </c>
      <c r="F10" s="273" t="s">
        <v>94</v>
      </c>
      <c r="G10" s="274" t="s">
        <v>429</v>
      </c>
      <c r="H10" s="274">
        <v>63</v>
      </c>
      <c r="I10" s="274">
        <v>64.5</v>
      </c>
      <c r="J10" s="275">
        <v>1.5</v>
      </c>
      <c r="K10" s="242" cm="1">
        <f t="array" aca="1" ref="K10" ca="1">IFERROR(
INDEX(Sequence[Dep. ID],
MATCH(1, (Sequence[Actor Type]="CylinderUnits") * (Sequence[Row Type]&lt;&gt;"Start Conditions") * (Sequence[Actor/Unit]=Cylinders[[#This Row],[Unit Name]]), 0)), "")</f>
        <v>53</v>
      </c>
      <c r="L10" s="242" cm="1">
        <f t="array" aca="1" ref="L10" ca="1">IFERROR(
  INDEX(Sequence[Dep. ID],
  MATCH(1, (Sequence[Actor Type]="CylinderUnits") * (Sequence[Row Type]&lt;&gt;"Start Conditions") *  (Sequence[Actor/Unit]=Cylinders[[#This Row],[Unit Name]]) * (Sequence[Dep. ID]&gt;Cylinders[[#This Row],[1st Motion]]), 0)), "")</f>
        <v>81</v>
      </c>
      <c r="M10" s="242" t="str" cm="1">
        <f t="array" aca="1" ref="M10" ca="1">IFERROR(
  INDEX(Sequence[Dep. ID],
  MATCH(1, (Sequence[Actor Type]="CylinderUnits") * (Sequence[Row Type]&lt;&gt;"Start Conditions") *  (Sequence[Actor/Unit]=Cylinders[[#This Row],[Unit Name]]) * (Sequence[Dep. ID]&gt;Cylinders[[#This Row],[2nd Motion]]), 0)), "")</f>
        <v/>
      </c>
      <c r="N10" s="242" t="str" cm="1">
        <f t="array" aca="1" ref="N10" ca="1">IFERROR(
  INDEX(Sequence[Dep. ID],
  MATCH(1, (Sequence[Actor Type]="CylinderUnits") * (Sequence[Row Type]&lt;&gt;"Start Conditions") *  (Sequence[Actor/Unit]=Cylinders[[#This Row],[Unit Name]]) * (Sequence[Dep. ID]&gt;Cylinders[[#This Row],[3rd Motion]]), 0)), "")</f>
        <v/>
      </c>
      <c r="O10" s="242" t="str" cm="1">
        <f t="array" aca="1" ref="O10" ca="1">IFERROR(
  INDEX(Sequence[Dep. ID],
  MATCH(1, (Sequence[Actor Type]="CylinderUnits") * (Sequence[Row Type]&lt;&gt;"Start Conditions") *  (Sequence[Actor/Unit]=Cylinders[[#This Row],[Unit Name]]) * (Sequence[Dep. ID]&gt;Cylinders[[#This Row],[4th Motion]]), 0)), "")</f>
        <v/>
      </c>
      <c r="P10" s="242" t="str" cm="1">
        <f t="array" aca="1" ref="P10" ca="1">IFERROR(
  INDEX(Sequence[Dep. ID],
  MATCH(1, (Sequence[Actor Type]="CylinderUnits") * (Sequence[Row Type]&lt;&gt;"Start Conditions") *  (Sequence[Actor/Unit]=Cylinders[[#This Row],[Unit Name]]) * (Sequence[Dep. ID]&gt;Cylinders[[#This Row],[5th Motion]]), 0)), "")</f>
        <v/>
      </c>
      <c r="Q10" s="273" t="s">
        <v>568</v>
      </c>
      <c r="R10" s="274" t="s">
        <v>95</v>
      </c>
      <c r="S10" s="276"/>
      <c r="T10" s="276"/>
      <c r="U10" s="288" t="s">
        <v>501</v>
      </c>
      <c r="V10" s="289" t="s">
        <v>502</v>
      </c>
      <c r="W10" s="289" t="s">
        <v>506</v>
      </c>
      <c r="X10" s="289" t="s">
        <v>539</v>
      </c>
      <c r="Y10" s="289" t="s">
        <v>612</v>
      </c>
      <c r="Z10" s="273" t="s">
        <v>142</v>
      </c>
      <c r="AA10" s="273" t="s">
        <v>500</v>
      </c>
      <c r="AB10" s="274">
        <v>10</v>
      </c>
      <c r="AC10" s="246" t="str">
        <f>IF(AND(Cylinders[[#This Row],[Controls Manifold Name]]&lt;&gt;"",Cylinders[[#This Row],[Controls Valve Name]]&lt;&gt;"",Cylinders[[#This Row],[Unit Name]]&lt;&gt;""),_xlfn.CONCAT(U10,V10),"")</f>
        <v>=KJ1-QMB1</v>
      </c>
      <c r="AD10" s="245" t="str">
        <f>IF(AND(Cylinders[[#This Row],[Controls
Motion 
Group]]&lt;&gt;"",Cylinders[[#This Row],[Controls
Unit 
Name]]&lt;&gt;"",Cylinders[[#This Row],[Unit Name]]&lt;&gt;""),_xlfn.CONCAT(W10,X10),"")</f>
        <v>=MM1-MMB6</v>
      </c>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row>
    <row r="11" spans="1:156" ht="18.600000000000001" customHeight="1">
      <c r="B11" s="71" t="s">
        <v>13</v>
      </c>
      <c r="C11" s="87" t="str">
        <f>IF(Tool &lt;&gt; "", Tool, "")</f>
        <v>UA1</v>
      </c>
      <c r="D11" s="91"/>
      <c r="E11" s="272" t="s">
        <v>569</v>
      </c>
      <c r="F11" s="273" t="s">
        <v>94</v>
      </c>
      <c r="G11" s="276" t="s">
        <v>429</v>
      </c>
      <c r="H11" s="276">
        <v>63</v>
      </c>
      <c r="I11" s="276">
        <v>64.5</v>
      </c>
      <c r="J11" s="277">
        <v>1.5</v>
      </c>
      <c r="K11" s="242" cm="1">
        <f t="array" aca="1" ref="K11" ca="1">IFERROR(
INDEX(Sequence[Dep. ID],
MATCH(1, (Sequence[Actor Type]="CylinderUnits") * (Sequence[Row Type]&lt;&gt;"Start Conditions") * (Sequence[Actor/Unit]=Cylinders[[#This Row],[Unit Name]]), 0)), "")</f>
        <v>53</v>
      </c>
      <c r="L11" s="242" cm="1">
        <f t="array" aca="1" ref="L11" ca="1">IFERROR(
  INDEX(Sequence[Dep. ID],
  MATCH(1, (Sequence[Actor Type]="CylinderUnits") * (Sequence[Row Type]&lt;&gt;"Start Conditions") *  (Sequence[Actor/Unit]=Cylinders[[#This Row],[Unit Name]]) * (Sequence[Dep. ID]&gt;Cylinders[[#This Row],[1st Motion]]), 0)), "")</f>
        <v>81</v>
      </c>
      <c r="M11" s="242" t="str" cm="1">
        <f t="array" aca="1" ref="M11" ca="1">IFERROR(
  INDEX(Sequence[Dep. ID],
  MATCH(1, (Sequence[Actor Type]="CylinderUnits") * (Sequence[Row Type]&lt;&gt;"Start Conditions") *  (Sequence[Actor/Unit]=Cylinders[[#This Row],[Unit Name]]) * (Sequence[Dep. ID]&gt;Cylinders[[#This Row],[2nd Motion]]), 0)), "")</f>
        <v/>
      </c>
      <c r="N11" s="242" t="str" cm="1">
        <f t="array" aca="1" ref="N11" ca="1">IFERROR(
  INDEX(Sequence[Dep. ID],
  MATCH(1, (Sequence[Actor Type]="CylinderUnits") * (Sequence[Row Type]&lt;&gt;"Start Conditions") *  (Sequence[Actor/Unit]=Cylinders[[#This Row],[Unit Name]]) * (Sequence[Dep. ID]&gt;Cylinders[[#This Row],[3rd Motion]]), 0)), "")</f>
        <v/>
      </c>
      <c r="O11" s="242" t="str" cm="1">
        <f t="array" aca="1" ref="O11" ca="1">IFERROR(
  INDEX(Sequence[Dep. ID],
  MATCH(1, (Sequence[Actor Type]="CylinderUnits") * (Sequence[Row Type]&lt;&gt;"Start Conditions") *  (Sequence[Actor/Unit]=Cylinders[[#This Row],[Unit Name]]) * (Sequence[Dep. ID]&gt;Cylinders[[#This Row],[4th Motion]]), 0)), "")</f>
        <v/>
      </c>
      <c r="P11" s="242" t="str" cm="1">
        <f t="array" aca="1" ref="P11" ca="1">IFERROR(
  INDEX(Sequence[Dep. ID],
  MATCH(1, (Sequence[Actor Type]="CylinderUnits") * (Sequence[Row Type]&lt;&gt;"Start Conditions") *  (Sequence[Actor/Unit]=Cylinders[[#This Row],[Unit Name]]) * (Sequence[Dep. ID]&gt;Cylinders[[#This Row],[5th Motion]]), 0)), "")</f>
        <v/>
      </c>
      <c r="Q11" s="273" t="s">
        <v>568</v>
      </c>
      <c r="R11" s="274" t="s">
        <v>95</v>
      </c>
      <c r="S11" s="276"/>
      <c r="T11" s="276"/>
      <c r="U11" s="288" t="s">
        <v>501</v>
      </c>
      <c r="V11" s="289" t="s">
        <v>502</v>
      </c>
      <c r="W11" s="289" t="s">
        <v>506</v>
      </c>
      <c r="X11" s="289" t="s">
        <v>614</v>
      </c>
      <c r="Y11" s="289" t="s">
        <v>612</v>
      </c>
      <c r="Z11" s="273" t="s">
        <v>142</v>
      </c>
      <c r="AA11" s="273" t="s">
        <v>500</v>
      </c>
      <c r="AB11" s="274">
        <v>10</v>
      </c>
      <c r="AC11" s="246" t="str">
        <f>IF(AND(Cylinders[[#This Row],[Controls Manifold Name]]&lt;&gt;"",Cylinders[[#This Row],[Controls Valve Name]]&lt;&gt;"",Cylinders[[#This Row],[Unit Name]]&lt;&gt;""),_xlfn.CONCAT(U11,V11),"")</f>
        <v>=KJ1-QMB1</v>
      </c>
      <c r="AD11" s="245" t="str">
        <f>IF(AND(Cylinders[[#This Row],[Controls
Motion 
Group]]&lt;&gt;"",Cylinders[[#This Row],[Controls
Unit 
Name]]&lt;&gt;"",Cylinders[[#This Row],[Unit Name]]&lt;&gt;""),_xlfn.CONCAT(W11,X11),"")</f>
        <v>=MM1-MMB7</v>
      </c>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row>
    <row r="12" spans="1:156" ht="18.600000000000001" customHeight="1">
      <c r="B12" s="65" t="s">
        <v>16</v>
      </c>
      <c r="C12" s="87" t="str">
        <f>IF(ToolDescription &lt;&gt; "", ToolDescription, "")</f>
        <v>Fixture</v>
      </c>
      <c r="D12" s="88"/>
      <c r="E12" s="272" t="s">
        <v>571</v>
      </c>
      <c r="F12" s="273" t="s">
        <v>94</v>
      </c>
      <c r="G12" s="276" t="s">
        <v>429</v>
      </c>
      <c r="H12" s="276">
        <v>63</v>
      </c>
      <c r="I12" s="276">
        <v>64.5</v>
      </c>
      <c r="J12" s="277">
        <v>1.5</v>
      </c>
      <c r="K12" s="242" cm="1">
        <f t="array" aca="1" ref="K12" ca="1">IFERROR(
INDEX(Sequence[Dep. ID],
MATCH(1, (Sequence[Actor Type]="CylinderUnits") * (Sequence[Row Type]&lt;&gt;"Start Conditions") * (Sequence[Actor/Unit]=Cylinders[[#This Row],[Unit Name]]), 0)), "")</f>
        <v>53</v>
      </c>
      <c r="L12" s="242" cm="1">
        <f t="array" aca="1" ref="L12" ca="1">IFERROR(
  INDEX(Sequence[Dep. ID],
  MATCH(1, (Sequence[Actor Type]="CylinderUnits") * (Sequence[Row Type]&lt;&gt;"Start Conditions") *  (Sequence[Actor/Unit]=Cylinders[[#This Row],[Unit Name]]) * (Sequence[Dep. ID]&gt;Cylinders[[#This Row],[1st Motion]]), 0)), "")</f>
        <v>81</v>
      </c>
      <c r="M12" s="242" t="str" cm="1">
        <f t="array" aca="1" ref="M12" ca="1">IFERROR(
  INDEX(Sequence[Dep. ID],
  MATCH(1, (Sequence[Actor Type]="CylinderUnits") * (Sequence[Row Type]&lt;&gt;"Start Conditions") *  (Sequence[Actor/Unit]=Cylinders[[#This Row],[Unit Name]]) * (Sequence[Dep. ID]&gt;Cylinders[[#This Row],[2nd Motion]]), 0)), "")</f>
        <v/>
      </c>
      <c r="N12" s="242" t="str" cm="1">
        <f t="array" aca="1" ref="N12" ca="1">IFERROR(
  INDEX(Sequence[Dep. ID],
  MATCH(1, (Sequence[Actor Type]="CylinderUnits") * (Sequence[Row Type]&lt;&gt;"Start Conditions") *  (Sequence[Actor/Unit]=Cylinders[[#This Row],[Unit Name]]) * (Sequence[Dep. ID]&gt;Cylinders[[#This Row],[3rd Motion]]), 0)), "")</f>
        <v/>
      </c>
      <c r="O12" s="242" t="str" cm="1">
        <f t="array" aca="1" ref="O12" ca="1">IFERROR(
  INDEX(Sequence[Dep. ID],
  MATCH(1, (Sequence[Actor Type]="CylinderUnits") * (Sequence[Row Type]&lt;&gt;"Start Conditions") *  (Sequence[Actor/Unit]=Cylinders[[#This Row],[Unit Name]]) * (Sequence[Dep. ID]&gt;Cylinders[[#This Row],[4th Motion]]), 0)), "")</f>
        <v/>
      </c>
      <c r="P12" s="242" t="str" cm="1">
        <f t="array" aca="1" ref="P12" ca="1">IFERROR(
  INDEX(Sequence[Dep. ID],
  MATCH(1, (Sequence[Actor Type]="CylinderUnits") * (Sequence[Row Type]&lt;&gt;"Start Conditions") *  (Sequence[Actor/Unit]=Cylinders[[#This Row],[Unit Name]]) * (Sequence[Dep. ID]&gt;Cylinders[[#This Row],[5th Motion]]), 0)), "")</f>
        <v/>
      </c>
      <c r="Q12" s="273" t="s">
        <v>568</v>
      </c>
      <c r="R12" s="274" t="s">
        <v>95</v>
      </c>
      <c r="S12" s="276"/>
      <c r="T12" s="276"/>
      <c r="U12" s="288" t="s">
        <v>501</v>
      </c>
      <c r="V12" s="289" t="s">
        <v>502</v>
      </c>
      <c r="W12" s="289" t="s">
        <v>506</v>
      </c>
      <c r="X12" s="289" t="s">
        <v>615</v>
      </c>
      <c r="Y12" s="289" t="s">
        <v>612</v>
      </c>
      <c r="Z12" s="273" t="s">
        <v>142</v>
      </c>
      <c r="AA12" s="273" t="s">
        <v>500</v>
      </c>
      <c r="AB12" s="274">
        <v>10</v>
      </c>
      <c r="AC12" s="246" t="str">
        <f>IF(AND(Cylinders[[#This Row],[Controls Manifold Name]]&lt;&gt;"",Cylinders[[#This Row],[Controls Valve Name]]&lt;&gt;"",Cylinders[[#This Row],[Unit Name]]&lt;&gt;""),_xlfn.CONCAT(U12,V12),"")</f>
        <v>=KJ1-QMB1</v>
      </c>
      <c r="AD12" s="245" t="str">
        <f>IF(AND(Cylinders[[#This Row],[Controls
Motion 
Group]]&lt;&gt;"",Cylinders[[#This Row],[Controls
Unit 
Name]]&lt;&gt;"",Cylinders[[#This Row],[Unit Name]]&lt;&gt;""),_xlfn.CONCAT(W12,X12),"")</f>
        <v>=MM1-MMB8</v>
      </c>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row>
    <row r="13" spans="1:156" ht="18.600000000000001" customHeight="1">
      <c r="B13" s="65" t="s">
        <v>3</v>
      </c>
      <c r="C13" s="89" t="str">
        <f>IF(Integrator &lt;&gt; "", Integrator, "")</f>
        <v>Mino</v>
      </c>
      <c r="D13" s="88"/>
      <c r="E13" s="272" t="s">
        <v>574</v>
      </c>
      <c r="F13" s="273" t="s">
        <v>94</v>
      </c>
      <c r="G13" s="276" t="s">
        <v>429</v>
      </c>
      <c r="H13" s="276">
        <v>63</v>
      </c>
      <c r="I13" s="276">
        <v>64.5</v>
      </c>
      <c r="J13" s="277">
        <v>1.5</v>
      </c>
      <c r="K13" s="242" cm="1">
        <f t="array" aca="1" ref="K13" ca="1">IFERROR(
INDEX(Sequence[Dep. ID],
MATCH(1, (Sequence[Actor Type]="CylinderUnits") * (Sequence[Row Type]&lt;&gt;"Start Conditions") * (Sequence[Actor/Unit]=Cylinders[[#This Row],[Unit Name]]), 0)), "")</f>
        <v>53</v>
      </c>
      <c r="L13" s="242" cm="1">
        <f t="array" aca="1" ref="L13" ca="1">IFERROR(
  INDEX(Sequence[Dep. ID],
  MATCH(1, (Sequence[Actor Type]="CylinderUnits") * (Sequence[Row Type]&lt;&gt;"Start Conditions") *  (Sequence[Actor/Unit]=Cylinders[[#This Row],[Unit Name]]) * (Sequence[Dep. ID]&gt;Cylinders[[#This Row],[1st Motion]]), 0)), "")</f>
        <v>81</v>
      </c>
      <c r="M13" s="242" t="str" cm="1">
        <f t="array" aca="1" ref="M13" ca="1">IFERROR(
  INDEX(Sequence[Dep. ID],
  MATCH(1, (Sequence[Actor Type]="CylinderUnits") * (Sequence[Row Type]&lt;&gt;"Start Conditions") *  (Sequence[Actor/Unit]=Cylinders[[#This Row],[Unit Name]]) * (Sequence[Dep. ID]&gt;Cylinders[[#This Row],[2nd Motion]]), 0)), "")</f>
        <v/>
      </c>
      <c r="N13" s="242" t="str" cm="1">
        <f t="array" aca="1" ref="N13" ca="1">IFERROR(
  INDEX(Sequence[Dep. ID],
  MATCH(1, (Sequence[Actor Type]="CylinderUnits") * (Sequence[Row Type]&lt;&gt;"Start Conditions") *  (Sequence[Actor/Unit]=Cylinders[[#This Row],[Unit Name]]) * (Sequence[Dep. ID]&gt;Cylinders[[#This Row],[3rd Motion]]), 0)), "")</f>
        <v/>
      </c>
      <c r="O13" s="242" t="str" cm="1">
        <f t="array" aca="1" ref="O13" ca="1">IFERROR(
  INDEX(Sequence[Dep. ID],
  MATCH(1, (Sequence[Actor Type]="CylinderUnits") * (Sequence[Row Type]&lt;&gt;"Start Conditions") *  (Sequence[Actor/Unit]=Cylinders[[#This Row],[Unit Name]]) * (Sequence[Dep. ID]&gt;Cylinders[[#This Row],[4th Motion]]), 0)), "")</f>
        <v/>
      </c>
      <c r="P13" s="242" t="str" cm="1">
        <f t="array" aca="1" ref="P13" ca="1">IFERROR(
  INDEX(Sequence[Dep. ID],
  MATCH(1, (Sequence[Actor Type]="CylinderUnits") * (Sequence[Row Type]&lt;&gt;"Start Conditions") *  (Sequence[Actor/Unit]=Cylinders[[#This Row],[Unit Name]]) * (Sequence[Dep. ID]&gt;Cylinders[[#This Row],[5th Motion]]), 0)), "")</f>
        <v/>
      </c>
      <c r="Q13" s="273" t="s">
        <v>568</v>
      </c>
      <c r="R13" s="274" t="s">
        <v>95</v>
      </c>
      <c r="S13" s="276"/>
      <c r="T13" s="276"/>
      <c r="U13" s="288" t="s">
        <v>501</v>
      </c>
      <c r="V13" s="289" t="s">
        <v>503</v>
      </c>
      <c r="W13" s="289" t="s">
        <v>507</v>
      </c>
      <c r="X13" s="289" t="s">
        <v>510</v>
      </c>
      <c r="Y13" s="289" t="s">
        <v>616</v>
      </c>
      <c r="Z13" s="273" t="s">
        <v>142</v>
      </c>
      <c r="AA13" s="273" t="s">
        <v>500</v>
      </c>
      <c r="AB13" s="274">
        <v>10</v>
      </c>
      <c r="AC13" s="246" t="str">
        <f>IF(AND(Cylinders[[#This Row],[Controls Manifold Name]]&lt;&gt;"",Cylinders[[#This Row],[Controls Valve Name]]&lt;&gt;"",Cylinders[[#This Row],[Unit Name]]&lt;&gt;""),_xlfn.CONCAT(U13,V13),"")</f>
        <v>=KJ1-QMB2</v>
      </c>
      <c r="AD13" s="245" t="str">
        <f>IF(AND(Cylinders[[#This Row],[Controls
Motion 
Group]]&lt;&gt;"",Cylinders[[#This Row],[Controls
Unit 
Name]]&lt;&gt;"",Cylinders[[#This Row],[Unit Name]]&lt;&gt;""),_xlfn.CONCAT(W13,X13),"")</f>
        <v>=MM2-MMB1</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row>
    <row r="14" spans="1:156" ht="18.600000000000001" customHeight="1">
      <c r="B14" s="65" t="s">
        <v>7</v>
      </c>
      <c r="C14" s="94">
        <f>IF(DesignStatus &lt;&gt; "", DesignStatus, "")</f>
        <v>1</v>
      </c>
      <c r="E14" s="272" t="s">
        <v>575</v>
      </c>
      <c r="F14" s="273" t="s">
        <v>105</v>
      </c>
      <c r="G14" s="276" t="s">
        <v>429</v>
      </c>
      <c r="H14" s="276">
        <v>50</v>
      </c>
      <c r="I14" s="276">
        <v>50</v>
      </c>
      <c r="J14" s="277">
        <v>1.5</v>
      </c>
      <c r="K14" s="242" cm="1">
        <f t="array" aca="1" ref="K14" ca="1">IFERROR(
INDEX(Sequence[Dep. ID],
MATCH(1, (Sequence[Actor Type]="CylinderUnits") * (Sequence[Row Type]&lt;&gt;"Start Conditions") * (Sequence[Actor/Unit]=Cylinders[[#This Row],[Unit Name]]), 0)), "")</f>
        <v>34</v>
      </c>
      <c r="L14" s="242" cm="1">
        <f t="array" aca="1" ref="L14" ca="1">IFERROR(
  INDEX(Sequence[Dep. ID],
  MATCH(1, (Sequence[Actor Type]="CylinderUnits") * (Sequence[Row Type]&lt;&gt;"Start Conditions") *  (Sequence[Actor/Unit]=Cylinders[[#This Row],[Unit Name]]) * (Sequence[Dep. ID]&gt;Cylinders[[#This Row],[1st Motion]]), 0)), "")</f>
        <v>75</v>
      </c>
      <c r="M14" s="242" t="str" cm="1">
        <f t="array" aca="1" ref="M14" ca="1">IFERROR(
  INDEX(Sequence[Dep. ID],
  MATCH(1, (Sequence[Actor Type]="CylinderUnits") * (Sequence[Row Type]&lt;&gt;"Start Conditions") *  (Sequence[Actor/Unit]=Cylinders[[#This Row],[Unit Name]]) * (Sequence[Dep. ID]&gt;Cylinders[[#This Row],[2nd Motion]]), 0)), "")</f>
        <v/>
      </c>
      <c r="N14" s="242" t="str" cm="1">
        <f t="array" aca="1" ref="N14" ca="1">IFERROR(
  INDEX(Sequence[Dep. ID],
  MATCH(1, (Sequence[Actor Type]="CylinderUnits") * (Sequence[Row Type]&lt;&gt;"Start Conditions") *  (Sequence[Actor/Unit]=Cylinders[[#This Row],[Unit Name]]) * (Sequence[Dep. ID]&gt;Cylinders[[#This Row],[3rd Motion]]), 0)), "")</f>
        <v/>
      </c>
      <c r="O14" s="242" t="str" cm="1">
        <f t="array" aca="1" ref="O14" ca="1">IFERROR(
  INDEX(Sequence[Dep. ID],
  MATCH(1, (Sequence[Actor Type]="CylinderUnits") * (Sequence[Row Type]&lt;&gt;"Start Conditions") *  (Sequence[Actor/Unit]=Cylinders[[#This Row],[Unit Name]]) * (Sequence[Dep. ID]&gt;Cylinders[[#This Row],[4th Motion]]), 0)), "")</f>
        <v/>
      </c>
      <c r="P14" s="242" t="str" cm="1">
        <f t="array" aca="1" ref="P14" ca="1">IFERROR(
  INDEX(Sequence[Dep. ID],
  MATCH(1, (Sequence[Actor Type]="CylinderUnits") * (Sequence[Row Type]&lt;&gt;"Start Conditions") *  (Sequence[Actor/Unit]=Cylinders[[#This Row],[Unit Name]]) * (Sequence[Dep. ID]&gt;Cylinders[[#This Row],[5th Motion]]), 0)), "")</f>
        <v/>
      </c>
      <c r="Q14" s="273" t="s">
        <v>611</v>
      </c>
      <c r="R14" s="274" t="s">
        <v>95</v>
      </c>
      <c r="S14" s="276" t="s">
        <v>610</v>
      </c>
      <c r="T14" s="276" t="s">
        <v>610</v>
      </c>
      <c r="U14" s="288" t="s">
        <v>501</v>
      </c>
      <c r="V14" s="289" t="s">
        <v>505</v>
      </c>
      <c r="W14" s="289" t="s">
        <v>509</v>
      </c>
      <c r="X14" s="289" t="s">
        <v>511</v>
      </c>
      <c r="Y14" s="289" t="s">
        <v>613</v>
      </c>
      <c r="Z14" s="273" t="s">
        <v>142</v>
      </c>
      <c r="AA14" s="273" t="s">
        <v>500</v>
      </c>
      <c r="AB14" s="274">
        <v>10</v>
      </c>
      <c r="AC14" s="246" t="str">
        <f>IF(AND(Cylinders[[#This Row],[Controls Manifold Name]]&lt;&gt;"",Cylinders[[#This Row],[Controls Valve Name]]&lt;&gt;"",Cylinders[[#This Row],[Unit Name]]&lt;&gt;""),_xlfn.CONCAT(U14,V14),"")</f>
        <v>=KJ1-QMB4</v>
      </c>
      <c r="AD14" s="245" t="str">
        <f>IF(AND(Cylinders[[#This Row],[Controls
Motion 
Group]]&lt;&gt;"",Cylinders[[#This Row],[Controls
Unit 
Name]]&lt;&gt;"",Cylinders[[#This Row],[Unit Name]]&lt;&gt;""),_xlfn.CONCAT(W14,X14),"")</f>
        <v>=MM4-MMB2</v>
      </c>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row>
    <row r="15" spans="1:156" ht="18.600000000000001" customHeight="1">
      <c r="B15" s="65" t="s">
        <v>5</v>
      </c>
      <c r="C15" s="95" t="str">
        <f>IF(Date &lt;&gt; "", Date, "")</f>
        <v>1/15/2025</v>
      </c>
      <c r="E15" s="272" t="s">
        <v>576</v>
      </c>
      <c r="F15" s="273" t="s">
        <v>94</v>
      </c>
      <c r="G15" s="276" t="s">
        <v>429</v>
      </c>
      <c r="H15" s="276">
        <v>63</v>
      </c>
      <c r="I15" s="276">
        <v>64.5</v>
      </c>
      <c r="J15" s="277">
        <v>1.5</v>
      </c>
      <c r="K15" s="242" cm="1">
        <f t="array" aca="1" ref="K15" ca="1">IFERROR(
INDEX(Sequence[Dep. ID],
MATCH(1, (Sequence[Actor Type]="CylinderUnits") * (Sequence[Row Type]&lt;&gt;"Start Conditions") * (Sequence[Actor/Unit]=Cylinders[[#This Row],[Unit Name]]), 0)), "")</f>
        <v>53</v>
      </c>
      <c r="L15" s="242" cm="1">
        <f t="array" aca="1" ref="L15" ca="1">IFERROR(
  INDEX(Sequence[Dep. ID],
  MATCH(1, (Sequence[Actor Type]="CylinderUnits") * (Sequence[Row Type]&lt;&gt;"Start Conditions") *  (Sequence[Actor/Unit]=Cylinders[[#This Row],[Unit Name]]) * (Sequence[Dep. ID]&gt;Cylinders[[#This Row],[1st Motion]]), 0)), "")</f>
        <v>81</v>
      </c>
      <c r="M15" s="242" t="str" cm="1">
        <f t="array" aca="1" ref="M15" ca="1">IFERROR(
  INDEX(Sequence[Dep. ID],
  MATCH(1, (Sequence[Actor Type]="CylinderUnits") * (Sequence[Row Type]&lt;&gt;"Start Conditions") *  (Sequence[Actor/Unit]=Cylinders[[#This Row],[Unit Name]]) * (Sequence[Dep. ID]&gt;Cylinders[[#This Row],[2nd Motion]]), 0)), "")</f>
        <v/>
      </c>
      <c r="N15" s="242" t="str" cm="1">
        <f t="array" aca="1" ref="N15" ca="1">IFERROR(
  INDEX(Sequence[Dep. ID],
  MATCH(1, (Sequence[Actor Type]="CylinderUnits") * (Sequence[Row Type]&lt;&gt;"Start Conditions") *  (Sequence[Actor/Unit]=Cylinders[[#This Row],[Unit Name]]) * (Sequence[Dep. ID]&gt;Cylinders[[#This Row],[3rd Motion]]), 0)), "")</f>
        <v/>
      </c>
      <c r="O15" s="242" t="str" cm="1">
        <f t="array" aca="1" ref="O15" ca="1">IFERROR(
  INDEX(Sequence[Dep. ID],
  MATCH(1, (Sequence[Actor Type]="CylinderUnits") * (Sequence[Row Type]&lt;&gt;"Start Conditions") *  (Sequence[Actor/Unit]=Cylinders[[#This Row],[Unit Name]]) * (Sequence[Dep. ID]&gt;Cylinders[[#This Row],[4th Motion]]), 0)), "")</f>
        <v/>
      </c>
      <c r="P15" s="242" t="str" cm="1">
        <f t="array" aca="1" ref="P15" ca="1">IFERROR(
  INDEX(Sequence[Dep. ID],
  MATCH(1, (Sequence[Actor Type]="CylinderUnits") * (Sequence[Row Type]&lt;&gt;"Start Conditions") *  (Sequence[Actor/Unit]=Cylinders[[#This Row],[Unit Name]]) * (Sequence[Dep. ID]&gt;Cylinders[[#This Row],[5th Motion]]), 0)), "")</f>
        <v/>
      </c>
      <c r="Q15" s="273" t="s">
        <v>568</v>
      </c>
      <c r="R15" s="274" t="s">
        <v>95</v>
      </c>
      <c r="S15" s="276"/>
      <c r="T15" s="276"/>
      <c r="U15" s="288" t="s">
        <v>501</v>
      </c>
      <c r="V15" s="289" t="s">
        <v>503</v>
      </c>
      <c r="W15" s="289" t="s">
        <v>507</v>
      </c>
      <c r="X15" s="289" t="s">
        <v>511</v>
      </c>
      <c r="Y15" s="289" t="s">
        <v>616</v>
      </c>
      <c r="Z15" s="273" t="s">
        <v>142</v>
      </c>
      <c r="AA15" s="273" t="s">
        <v>500</v>
      </c>
      <c r="AB15" s="274">
        <v>10</v>
      </c>
      <c r="AC15" s="246" t="str">
        <f>IF(AND(Cylinders[[#This Row],[Controls Manifold Name]]&lt;&gt;"",Cylinders[[#This Row],[Controls Valve Name]]&lt;&gt;"",Cylinders[[#This Row],[Unit Name]]&lt;&gt;""),_xlfn.CONCAT(U15,V15),"")</f>
        <v>=KJ1-QMB2</v>
      </c>
      <c r="AD15" s="245" t="str">
        <f>IF(AND(Cylinders[[#This Row],[Controls
Motion 
Group]]&lt;&gt;"",Cylinders[[#This Row],[Controls
Unit 
Name]]&lt;&gt;"",Cylinders[[#This Row],[Unit Name]]&lt;&gt;""),_xlfn.CONCAT(W15,X15),"")</f>
        <v>=MM2-MMB2</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row>
    <row r="16" spans="1:156" ht="18.600000000000001" customHeight="1">
      <c r="B16" s="65" t="s">
        <v>9</v>
      </c>
      <c r="C16" s="89" t="str">
        <f>IF(IntegratorResponsibleEngineer &lt;&gt; "", IntegratorResponsibleEngineer, "")</f>
        <v>wei  jiang</v>
      </c>
      <c r="E16" s="272" t="s">
        <v>577</v>
      </c>
      <c r="F16" s="273" t="s">
        <v>105</v>
      </c>
      <c r="G16" s="276" t="s">
        <v>429</v>
      </c>
      <c r="H16" s="276">
        <v>50</v>
      </c>
      <c r="I16" s="276">
        <v>50</v>
      </c>
      <c r="J16" s="277">
        <v>1.5</v>
      </c>
      <c r="K16" s="242" cm="1">
        <f t="array" aca="1" ref="K16" ca="1">IFERROR(
INDEX(Sequence[Dep. ID],
MATCH(1, (Sequence[Actor Type]="CylinderUnits") * (Sequence[Row Type]&lt;&gt;"Start Conditions") * (Sequence[Actor/Unit]=Cylinders[[#This Row],[Unit Name]]), 0)), "")</f>
        <v>34</v>
      </c>
      <c r="L16" s="242" cm="1">
        <f t="array" aca="1" ref="L16" ca="1">IFERROR(
  INDEX(Sequence[Dep. ID],
  MATCH(1, (Sequence[Actor Type]="CylinderUnits") * (Sequence[Row Type]&lt;&gt;"Start Conditions") *  (Sequence[Actor/Unit]=Cylinders[[#This Row],[Unit Name]]) * (Sequence[Dep. ID]&gt;Cylinders[[#This Row],[1st Motion]]), 0)), "")</f>
        <v>75</v>
      </c>
      <c r="M16" s="242" t="str" cm="1">
        <f t="array" aca="1" ref="M16" ca="1">IFERROR(
  INDEX(Sequence[Dep. ID],
  MATCH(1, (Sequence[Actor Type]="CylinderUnits") * (Sequence[Row Type]&lt;&gt;"Start Conditions") *  (Sequence[Actor/Unit]=Cylinders[[#This Row],[Unit Name]]) * (Sequence[Dep. ID]&gt;Cylinders[[#This Row],[2nd Motion]]), 0)), "")</f>
        <v/>
      </c>
      <c r="N16" s="242" t="str" cm="1">
        <f t="array" aca="1" ref="N16" ca="1">IFERROR(
  INDEX(Sequence[Dep. ID],
  MATCH(1, (Sequence[Actor Type]="CylinderUnits") * (Sequence[Row Type]&lt;&gt;"Start Conditions") *  (Sequence[Actor/Unit]=Cylinders[[#This Row],[Unit Name]]) * (Sequence[Dep. ID]&gt;Cylinders[[#This Row],[3rd Motion]]), 0)), "")</f>
        <v/>
      </c>
      <c r="O16" s="242" t="str" cm="1">
        <f t="array" aca="1" ref="O16" ca="1">IFERROR(
  INDEX(Sequence[Dep. ID],
  MATCH(1, (Sequence[Actor Type]="CylinderUnits") * (Sequence[Row Type]&lt;&gt;"Start Conditions") *  (Sequence[Actor/Unit]=Cylinders[[#This Row],[Unit Name]]) * (Sequence[Dep. ID]&gt;Cylinders[[#This Row],[4th Motion]]), 0)), "")</f>
        <v/>
      </c>
      <c r="P16" s="242" t="str" cm="1">
        <f t="array" aca="1" ref="P16" ca="1">IFERROR(
  INDEX(Sequence[Dep. ID],
  MATCH(1, (Sequence[Actor Type]="CylinderUnits") * (Sequence[Row Type]&lt;&gt;"Start Conditions") *  (Sequence[Actor/Unit]=Cylinders[[#This Row],[Unit Name]]) * (Sequence[Dep. ID]&gt;Cylinders[[#This Row],[5th Motion]]), 0)), "")</f>
        <v/>
      </c>
      <c r="Q16" s="290" t="s">
        <v>611</v>
      </c>
      <c r="R16" s="274" t="s">
        <v>95</v>
      </c>
      <c r="S16" s="276" t="s">
        <v>610</v>
      </c>
      <c r="T16" s="276" t="s">
        <v>610</v>
      </c>
      <c r="U16" s="288" t="s">
        <v>501</v>
      </c>
      <c r="V16" s="289" t="s">
        <v>505</v>
      </c>
      <c r="W16" s="289" t="s">
        <v>509</v>
      </c>
      <c r="X16" s="289" t="s">
        <v>536</v>
      </c>
      <c r="Y16" s="289" t="s">
        <v>613</v>
      </c>
      <c r="Z16" s="273" t="s">
        <v>142</v>
      </c>
      <c r="AA16" s="273" t="s">
        <v>500</v>
      </c>
      <c r="AB16" s="274">
        <v>10</v>
      </c>
      <c r="AC16" s="246" t="str">
        <f>IF(AND(Cylinders[[#This Row],[Controls Manifold Name]]&lt;&gt;"",Cylinders[[#This Row],[Controls Valve Name]]&lt;&gt;"",Cylinders[[#This Row],[Unit Name]]&lt;&gt;""),_xlfn.CONCAT(U16,V16),"")</f>
        <v>=KJ1-QMB4</v>
      </c>
      <c r="AD16" s="245" t="str">
        <f>IF(AND(Cylinders[[#This Row],[Controls
Motion 
Group]]&lt;&gt;"",Cylinders[[#This Row],[Controls
Unit 
Name]]&lt;&gt;"",Cylinders[[#This Row],[Unit Name]]&lt;&gt;""),_xlfn.CONCAT(W16,X16),"")</f>
        <v>=MM4-MMB3</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row>
    <row r="17" spans="2:156" ht="18.600000000000001" customHeight="1">
      <c r="B17" s="65" t="s">
        <v>11</v>
      </c>
      <c r="C17" s="89" t="str">
        <f>IF(RivianResponsibleEngineer &lt;&gt; "", RivianResponsibleEngineer, "")</f>
        <v>Abraham Reyes</v>
      </c>
      <c r="E17" s="272" t="s">
        <v>573</v>
      </c>
      <c r="F17" s="273" t="s">
        <v>104</v>
      </c>
      <c r="G17" s="276" t="s">
        <v>429</v>
      </c>
      <c r="H17" s="276">
        <v>57</v>
      </c>
      <c r="I17" s="276">
        <v>50</v>
      </c>
      <c r="J17" s="277">
        <v>1.5</v>
      </c>
      <c r="K17" s="242" cm="1">
        <f t="array" aca="1" ref="K17" ca="1">IFERROR(
INDEX(Sequence[Dep. ID],
MATCH(1, (Sequence[Actor Type]="CylinderUnits") * (Sequence[Row Type]&lt;&gt;"Start Conditions") * (Sequence[Actor/Unit]=Cylinders[[#This Row],[Unit Name]]), 0)), "")</f>
        <v>34</v>
      </c>
      <c r="L17" s="242" cm="1">
        <f t="array" aca="1" ref="L17" ca="1">IFERROR(
  INDEX(Sequence[Dep. ID],
  MATCH(1, (Sequence[Actor Type]="CylinderUnits") * (Sequence[Row Type]&lt;&gt;"Start Conditions") *  (Sequence[Actor/Unit]=Cylinders[[#This Row],[Unit Name]]) * (Sequence[Dep. ID]&gt;Cylinders[[#This Row],[1st Motion]]), 0)), "")</f>
        <v>75</v>
      </c>
      <c r="M17" s="242" t="str" cm="1">
        <f t="array" aca="1" ref="M17" ca="1">IFERROR(
  INDEX(Sequence[Dep. ID],
  MATCH(1, (Sequence[Actor Type]="CylinderUnits") * (Sequence[Row Type]&lt;&gt;"Start Conditions") *  (Sequence[Actor/Unit]=Cylinders[[#This Row],[Unit Name]]) * (Sequence[Dep. ID]&gt;Cylinders[[#This Row],[2nd Motion]]), 0)), "")</f>
        <v/>
      </c>
      <c r="N17" s="242" t="str" cm="1">
        <f t="array" aca="1" ref="N17" ca="1">IFERROR(
  INDEX(Sequence[Dep. ID],
  MATCH(1, (Sequence[Actor Type]="CylinderUnits") * (Sequence[Row Type]&lt;&gt;"Start Conditions") *  (Sequence[Actor/Unit]=Cylinders[[#This Row],[Unit Name]]) * (Sequence[Dep. ID]&gt;Cylinders[[#This Row],[3rd Motion]]), 0)), "")</f>
        <v/>
      </c>
      <c r="O17" s="242" t="str" cm="1">
        <f t="array" aca="1" ref="O17" ca="1">IFERROR(
  INDEX(Sequence[Dep. ID],
  MATCH(1, (Sequence[Actor Type]="CylinderUnits") * (Sequence[Row Type]&lt;&gt;"Start Conditions") *  (Sequence[Actor/Unit]=Cylinders[[#This Row],[Unit Name]]) * (Sequence[Dep. ID]&gt;Cylinders[[#This Row],[4th Motion]]), 0)), "")</f>
        <v/>
      </c>
      <c r="P17" s="242" t="str" cm="1">
        <f t="array" aca="1" ref="P17" ca="1">IFERROR(
  INDEX(Sequence[Dep. ID],
  MATCH(1, (Sequence[Actor Type]="CylinderUnits") * (Sequence[Row Type]&lt;&gt;"Start Conditions") *  (Sequence[Actor/Unit]=Cylinders[[#This Row],[Unit Name]]) * (Sequence[Dep. ID]&gt;Cylinders[[#This Row],[5th Motion]]), 0)), "")</f>
        <v/>
      </c>
      <c r="Q17" s="273" t="s">
        <v>566</v>
      </c>
      <c r="R17" s="274" t="s">
        <v>95</v>
      </c>
      <c r="S17" s="276"/>
      <c r="T17" s="276"/>
      <c r="U17" s="288" t="s">
        <v>501</v>
      </c>
      <c r="V17" s="289" t="s">
        <v>505</v>
      </c>
      <c r="W17" s="289" t="s">
        <v>509</v>
      </c>
      <c r="X17" s="289" t="s">
        <v>537</v>
      </c>
      <c r="Y17" s="289" t="s">
        <v>613</v>
      </c>
      <c r="Z17" s="273" t="s">
        <v>142</v>
      </c>
      <c r="AA17" s="273" t="s">
        <v>500</v>
      </c>
      <c r="AB17" s="274">
        <v>10</v>
      </c>
      <c r="AC17" s="246" t="str">
        <f>IF(AND(Cylinders[[#This Row],[Controls Manifold Name]]&lt;&gt;"",Cylinders[[#This Row],[Controls Valve Name]]&lt;&gt;"",Cylinders[[#This Row],[Unit Name]]&lt;&gt;""),_xlfn.CONCAT(U17,V17),"")</f>
        <v>=KJ1-QMB4</v>
      </c>
      <c r="AD17" s="245" t="str">
        <f>IF(AND(Cylinders[[#This Row],[Controls
Motion 
Group]]&lt;&gt;"",Cylinders[[#This Row],[Controls
Unit 
Name]]&lt;&gt;"",Cylinders[[#This Row],[Unit Name]]&lt;&gt;""),_xlfn.CONCAT(W17,X17),"")</f>
        <v>=MM4-MMB4</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row>
    <row r="18" spans="2:156" ht="18.600000000000001" customHeight="1">
      <c r="B18" s="65" t="s">
        <v>14</v>
      </c>
      <c r="C18" s="89" t="str">
        <f>IF(ManifoldConnection &lt;&gt; "", ManifoldConnection, "")</f>
        <v>M12 5-Pin</v>
      </c>
      <c r="E18" s="272" t="s">
        <v>586</v>
      </c>
      <c r="F18" s="273" t="s">
        <v>94</v>
      </c>
      <c r="G18" s="276" t="s">
        <v>429</v>
      </c>
      <c r="H18" s="276">
        <v>63</v>
      </c>
      <c r="I18" s="276">
        <v>72.400000000000006</v>
      </c>
      <c r="J18" s="277">
        <v>1.5</v>
      </c>
      <c r="K18" s="242" cm="1">
        <f t="array" aca="1" ref="K18" ca="1">IFERROR(
INDEX(Sequence[Dep. ID],
MATCH(1, (Sequence[Actor Type]="CylinderUnits") * (Sequence[Row Type]&lt;&gt;"Start Conditions") * (Sequence[Actor/Unit]=Cylinders[[#This Row],[Unit Name]]), 0)), "")</f>
        <v>63</v>
      </c>
      <c r="L18" s="242" cm="1">
        <f t="array" aca="1" ref="L18" ca="1">IFERROR(
  INDEX(Sequence[Dep. ID],
  MATCH(1, (Sequence[Actor Type]="CylinderUnits") * (Sequence[Row Type]&lt;&gt;"Start Conditions") *  (Sequence[Actor/Unit]=Cylinders[[#This Row],[Unit Name]]) * (Sequence[Dep. ID]&gt;Cylinders[[#This Row],[1st Motion]]), 0)), "")</f>
        <v>81</v>
      </c>
      <c r="M18" s="242" t="str" cm="1">
        <f t="array" aca="1" ref="M18" ca="1">IFERROR(
  INDEX(Sequence[Dep. ID],
  MATCH(1, (Sequence[Actor Type]="CylinderUnits") * (Sequence[Row Type]&lt;&gt;"Start Conditions") *  (Sequence[Actor/Unit]=Cylinders[[#This Row],[Unit Name]]) * (Sequence[Dep. ID]&gt;Cylinders[[#This Row],[2nd Motion]]), 0)), "")</f>
        <v/>
      </c>
      <c r="N18" s="242" t="str" cm="1">
        <f t="array" aca="1" ref="N18" ca="1">IFERROR(
  INDEX(Sequence[Dep. ID],
  MATCH(1, (Sequence[Actor Type]="CylinderUnits") * (Sequence[Row Type]&lt;&gt;"Start Conditions") *  (Sequence[Actor/Unit]=Cylinders[[#This Row],[Unit Name]]) * (Sequence[Dep. ID]&gt;Cylinders[[#This Row],[3rd Motion]]), 0)), "")</f>
        <v/>
      </c>
      <c r="O18" s="242" t="str" cm="1">
        <f t="array" aca="1" ref="O18" ca="1">IFERROR(
  INDEX(Sequence[Dep. ID],
  MATCH(1, (Sequence[Actor Type]="CylinderUnits") * (Sequence[Row Type]&lt;&gt;"Start Conditions") *  (Sequence[Actor/Unit]=Cylinders[[#This Row],[Unit Name]]) * (Sequence[Dep. ID]&gt;Cylinders[[#This Row],[4th Motion]]), 0)), "")</f>
        <v/>
      </c>
      <c r="P18" s="242" t="str" cm="1">
        <f t="array" aca="1" ref="P18" ca="1">IFERROR(
  INDEX(Sequence[Dep. ID],
  MATCH(1, (Sequence[Actor Type]="CylinderUnits") * (Sequence[Row Type]&lt;&gt;"Start Conditions") *  (Sequence[Actor/Unit]=Cylinders[[#This Row],[Unit Name]]) * (Sequence[Dep. ID]&gt;Cylinders[[#This Row],[5th Motion]]), 0)), "")</f>
        <v/>
      </c>
      <c r="Q18" s="290" t="s">
        <v>558</v>
      </c>
      <c r="R18" s="274" t="s">
        <v>95</v>
      </c>
      <c r="S18" s="276"/>
      <c r="T18" s="276"/>
      <c r="U18" s="288" t="s">
        <v>501</v>
      </c>
      <c r="V18" s="289" t="s">
        <v>504</v>
      </c>
      <c r="W18" s="289" t="s">
        <v>508</v>
      </c>
      <c r="X18" s="289" t="s">
        <v>510</v>
      </c>
      <c r="Y18" s="289" t="s">
        <v>617</v>
      </c>
      <c r="Z18" s="273" t="s">
        <v>142</v>
      </c>
      <c r="AA18" s="273" t="s">
        <v>500</v>
      </c>
      <c r="AB18" s="274">
        <v>10</v>
      </c>
      <c r="AC18" s="246" t="str">
        <f>IF(AND(Cylinders[[#This Row],[Controls Manifold Name]]&lt;&gt;"",Cylinders[[#This Row],[Controls Valve Name]]&lt;&gt;"",Cylinders[[#This Row],[Unit Name]]&lt;&gt;""),_xlfn.CONCAT(U18,V18),"")</f>
        <v>=KJ1-QMB3</v>
      </c>
      <c r="AD18" s="245" t="str">
        <f>IF(AND(Cylinders[[#This Row],[Controls
Motion 
Group]]&lt;&gt;"",Cylinders[[#This Row],[Controls
Unit 
Name]]&lt;&gt;"",Cylinders[[#This Row],[Unit Name]]&lt;&gt;""),_xlfn.CONCAT(W18,X18),"")</f>
        <v>=MM3-MMB1</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row>
    <row r="19" spans="2:156" ht="18.600000000000001" customHeight="1">
      <c r="B19" s="65" t="s">
        <v>17</v>
      </c>
      <c r="C19" s="89" t="str">
        <f>IF(ToolType &lt;&gt; "", ToolType, "")</f>
        <v>Fixture</v>
      </c>
      <c r="E19" s="272" t="s">
        <v>587</v>
      </c>
      <c r="F19" s="273" t="s">
        <v>94</v>
      </c>
      <c r="G19" s="276" t="s">
        <v>429</v>
      </c>
      <c r="H19" s="276">
        <v>63</v>
      </c>
      <c r="I19" s="276">
        <v>72.400000000000006</v>
      </c>
      <c r="J19" s="277">
        <v>1.5</v>
      </c>
      <c r="K19" s="242" cm="1">
        <f t="array" aca="1" ref="K19" ca="1">IFERROR(
INDEX(Sequence[Dep. ID],
MATCH(1, (Sequence[Actor Type]="CylinderUnits") * (Sequence[Row Type]&lt;&gt;"Start Conditions") * (Sequence[Actor/Unit]=Cylinders[[#This Row],[Unit Name]]), 0)), "")</f>
        <v>63</v>
      </c>
      <c r="L19" s="242" cm="1">
        <f t="array" aca="1" ref="L19" ca="1">IFERROR(
  INDEX(Sequence[Dep. ID],
  MATCH(1, (Sequence[Actor Type]="CylinderUnits") * (Sequence[Row Type]&lt;&gt;"Start Conditions") *  (Sequence[Actor/Unit]=Cylinders[[#This Row],[Unit Name]]) * (Sequence[Dep. ID]&gt;Cylinders[[#This Row],[1st Motion]]), 0)), "")</f>
        <v>81</v>
      </c>
      <c r="M19" s="242" t="str" cm="1">
        <f t="array" aca="1" ref="M19" ca="1">IFERROR(
  INDEX(Sequence[Dep. ID],
  MATCH(1, (Sequence[Actor Type]="CylinderUnits") * (Sequence[Row Type]&lt;&gt;"Start Conditions") *  (Sequence[Actor/Unit]=Cylinders[[#This Row],[Unit Name]]) * (Sequence[Dep. ID]&gt;Cylinders[[#This Row],[2nd Motion]]), 0)), "")</f>
        <v/>
      </c>
      <c r="N19" s="242" t="str" cm="1">
        <f t="array" aca="1" ref="N19" ca="1">IFERROR(
  INDEX(Sequence[Dep. ID],
  MATCH(1, (Sequence[Actor Type]="CylinderUnits") * (Sequence[Row Type]&lt;&gt;"Start Conditions") *  (Sequence[Actor/Unit]=Cylinders[[#This Row],[Unit Name]]) * (Sequence[Dep. ID]&gt;Cylinders[[#This Row],[3rd Motion]]), 0)), "")</f>
        <v/>
      </c>
      <c r="O19" s="242" t="str" cm="1">
        <f t="array" aca="1" ref="O19" ca="1">IFERROR(
  INDEX(Sequence[Dep. ID],
  MATCH(1, (Sequence[Actor Type]="CylinderUnits") * (Sequence[Row Type]&lt;&gt;"Start Conditions") *  (Sequence[Actor/Unit]=Cylinders[[#This Row],[Unit Name]]) * (Sequence[Dep. ID]&gt;Cylinders[[#This Row],[4th Motion]]), 0)), "")</f>
        <v/>
      </c>
      <c r="P19" s="242" t="str" cm="1">
        <f t="array" aca="1" ref="P19" ca="1">IFERROR(
  INDEX(Sequence[Dep. ID],
  MATCH(1, (Sequence[Actor Type]="CylinderUnits") * (Sequence[Row Type]&lt;&gt;"Start Conditions") *  (Sequence[Actor/Unit]=Cylinders[[#This Row],[Unit Name]]) * (Sequence[Dep. ID]&gt;Cylinders[[#This Row],[5th Motion]]), 0)), "")</f>
        <v/>
      </c>
      <c r="Q19" s="273" t="s">
        <v>558</v>
      </c>
      <c r="R19" s="274" t="s">
        <v>95</v>
      </c>
      <c r="S19" s="276"/>
      <c r="T19" s="276"/>
      <c r="U19" s="288" t="s">
        <v>501</v>
      </c>
      <c r="V19" s="289" t="s">
        <v>504</v>
      </c>
      <c r="W19" s="289" t="s">
        <v>508</v>
      </c>
      <c r="X19" s="289" t="s">
        <v>511</v>
      </c>
      <c r="Y19" s="289" t="s">
        <v>617</v>
      </c>
      <c r="Z19" s="273" t="s">
        <v>142</v>
      </c>
      <c r="AA19" s="273" t="s">
        <v>500</v>
      </c>
      <c r="AB19" s="274">
        <v>10</v>
      </c>
      <c r="AC19" s="246" t="str">
        <f>IF(AND(Cylinders[[#This Row],[Controls Manifold Name]]&lt;&gt;"",Cylinders[[#This Row],[Controls Valve Name]]&lt;&gt;"",Cylinders[[#This Row],[Unit Name]]&lt;&gt;""),_xlfn.CONCAT(U19,V19),"")</f>
        <v>=KJ1-QMB3</v>
      </c>
      <c r="AD19" s="245" t="str">
        <f>IF(AND(Cylinders[[#This Row],[Controls
Motion 
Group]]&lt;&gt;"",Cylinders[[#This Row],[Controls
Unit 
Name]]&lt;&gt;"",Cylinders[[#This Row],[Unit Name]]&lt;&gt;""),_xlfn.CONCAT(W19,X19),"")</f>
        <v>=MM3-MMB2</v>
      </c>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row>
    <row r="20" spans="2:156" ht="18.600000000000001" customHeight="1">
      <c r="E20" s="272" t="s">
        <v>588</v>
      </c>
      <c r="F20" s="273" t="s">
        <v>94</v>
      </c>
      <c r="G20" s="276" t="s">
        <v>429</v>
      </c>
      <c r="H20" s="276">
        <v>63</v>
      </c>
      <c r="I20" s="276">
        <v>79.400000000000006</v>
      </c>
      <c r="J20" s="277">
        <v>1.5</v>
      </c>
      <c r="K20" s="242" cm="1">
        <f t="array" aca="1" ref="K20" ca="1">IFERROR(
INDEX(Sequence[Dep. ID],
MATCH(1, (Sequence[Actor Type]="CylinderUnits") * (Sequence[Row Type]&lt;&gt;"Start Conditions") * (Sequence[Actor/Unit]=Cylinders[[#This Row],[Unit Name]]), 0)), "")</f>
        <v>63</v>
      </c>
      <c r="L20" s="242" cm="1">
        <f t="array" aca="1" ref="L20" ca="1">IFERROR(
  INDEX(Sequence[Dep. ID],
  MATCH(1, (Sequence[Actor Type]="CylinderUnits") * (Sequence[Row Type]&lt;&gt;"Start Conditions") *  (Sequence[Actor/Unit]=Cylinders[[#This Row],[Unit Name]]) * (Sequence[Dep. ID]&gt;Cylinders[[#This Row],[1st Motion]]), 0)), "")</f>
        <v>81</v>
      </c>
      <c r="M20" s="242" t="str" cm="1">
        <f t="array" aca="1" ref="M20" ca="1">IFERROR(
  INDEX(Sequence[Dep. ID],
  MATCH(1, (Sequence[Actor Type]="CylinderUnits") * (Sequence[Row Type]&lt;&gt;"Start Conditions") *  (Sequence[Actor/Unit]=Cylinders[[#This Row],[Unit Name]]) * (Sequence[Dep. ID]&gt;Cylinders[[#This Row],[2nd Motion]]), 0)), "")</f>
        <v/>
      </c>
      <c r="N20" s="242" t="str" cm="1">
        <f t="array" aca="1" ref="N20" ca="1">IFERROR(
  INDEX(Sequence[Dep. ID],
  MATCH(1, (Sequence[Actor Type]="CylinderUnits") * (Sequence[Row Type]&lt;&gt;"Start Conditions") *  (Sequence[Actor/Unit]=Cylinders[[#This Row],[Unit Name]]) * (Sequence[Dep. ID]&gt;Cylinders[[#This Row],[3rd Motion]]), 0)), "")</f>
        <v/>
      </c>
      <c r="O20" s="242" t="str" cm="1">
        <f t="array" aca="1" ref="O20" ca="1">IFERROR(
  INDEX(Sequence[Dep. ID],
  MATCH(1, (Sequence[Actor Type]="CylinderUnits") * (Sequence[Row Type]&lt;&gt;"Start Conditions") *  (Sequence[Actor/Unit]=Cylinders[[#This Row],[Unit Name]]) * (Sequence[Dep. ID]&gt;Cylinders[[#This Row],[4th Motion]]), 0)), "")</f>
        <v/>
      </c>
      <c r="P20" s="242" t="str" cm="1">
        <f t="array" aca="1" ref="P20" ca="1">IFERROR(
  INDEX(Sequence[Dep. ID],
  MATCH(1, (Sequence[Actor Type]="CylinderUnits") * (Sequence[Row Type]&lt;&gt;"Start Conditions") *  (Sequence[Actor/Unit]=Cylinders[[#This Row],[Unit Name]]) * (Sequence[Dep. ID]&gt;Cylinders[[#This Row],[5th Motion]]), 0)), "")</f>
        <v/>
      </c>
      <c r="Q20" s="273" t="s">
        <v>560</v>
      </c>
      <c r="R20" s="274" t="s">
        <v>95</v>
      </c>
      <c r="S20" s="276"/>
      <c r="T20" s="276"/>
      <c r="U20" s="288" t="s">
        <v>501</v>
      </c>
      <c r="V20" s="289" t="s">
        <v>504</v>
      </c>
      <c r="W20" s="289" t="s">
        <v>508</v>
      </c>
      <c r="X20" s="289" t="s">
        <v>536</v>
      </c>
      <c r="Y20" s="289" t="s">
        <v>617</v>
      </c>
      <c r="Z20" s="273" t="s">
        <v>142</v>
      </c>
      <c r="AA20" s="273" t="s">
        <v>500</v>
      </c>
      <c r="AB20" s="274">
        <v>10</v>
      </c>
      <c r="AC20" s="246" t="str">
        <f>IF(AND(Cylinders[[#This Row],[Controls Manifold Name]]&lt;&gt;"",Cylinders[[#This Row],[Controls Valve Name]]&lt;&gt;"",Cylinders[[#This Row],[Unit Name]]&lt;&gt;""),_xlfn.CONCAT(U20,V20),"")</f>
        <v>=KJ1-QMB3</v>
      </c>
      <c r="AD20" s="245" t="str">
        <f>IF(AND(Cylinders[[#This Row],[Controls
Motion 
Group]]&lt;&gt;"",Cylinders[[#This Row],[Controls
Unit 
Name]]&lt;&gt;"",Cylinders[[#This Row],[Unit Name]]&lt;&gt;""),_xlfn.CONCAT(W20,X20),"")</f>
        <v>=MM3-MMB3</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row>
    <row r="21" spans="2:156" ht="18.600000000000001" customHeight="1">
      <c r="B21" s="79"/>
      <c r="E21" s="272" t="s">
        <v>589</v>
      </c>
      <c r="F21" s="273" t="s">
        <v>94</v>
      </c>
      <c r="G21" s="276" t="s">
        <v>429</v>
      </c>
      <c r="H21" s="276">
        <v>63</v>
      </c>
      <c r="I21" s="276">
        <v>79.400000000000006</v>
      </c>
      <c r="J21" s="277">
        <v>1.5</v>
      </c>
      <c r="K21" s="242" cm="1">
        <f t="array" aca="1" ref="K21" ca="1">IFERROR(
INDEX(Sequence[Dep. ID],
MATCH(1, (Sequence[Actor Type]="CylinderUnits") * (Sequence[Row Type]&lt;&gt;"Start Conditions") * (Sequence[Actor/Unit]=Cylinders[[#This Row],[Unit Name]]), 0)), "")</f>
        <v>63</v>
      </c>
      <c r="L21" s="242" cm="1">
        <f t="array" aca="1" ref="L21" ca="1">IFERROR(
  INDEX(Sequence[Dep. ID],
  MATCH(1, (Sequence[Actor Type]="CylinderUnits") * (Sequence[Row Type]&lt;&gt;"Start Conditions") *  (Sequence[Actor/Unit]=Cylinders[[#This Row],[Unit Name]]) * (Sequence[Dep. ID]&gt;Cylinders[[#This Row],[1st Motion]]), 0)), "")</f>
        <v>81</v>
      </c>
      <c r="M21" s="242" t="str" cm="1">
        <f t="array" aca="1" ref="M21" ca="1">IFERROR(
  INDEX(Sequence[Dep. ID],
  MATCH(1, (Sequence[Actor Type]="CylinderUnits") * (Sequence[Row Type]&lt;&gt;"Start Conditions") *  (Sequence[Actor/Unit]=Cylinders[[#This Row],[Unit Name]]) * (Sequence[Dep. ID]&gt;Cylinders[[#This Row],[2nd Motion]]), 0)), "")</f>
        <v/>
      </c>
      <c r="N21" s="242" t="str" cm="1">
        <f t="array" aca="1" ref="N21" ca="1">IFERROR(
  INDEX(Sequence[Dep. ID],
  MATCH(1, (Sequence[Actor Type]="CylinderUnits") * (Sequence[Row Type]&lt;&gt;"Start Conditions") *  (Sequence[Actor/Unit]=Cylinders[[#This Row],[Unit Name]]) * (Sequence[Dep. ID]&gt;Cylinders[[#This Row],[3rd Motion]]), 0)), "")</f>
        <v/>
      </c>
      <c r="O21" s="242" t="str" cm="1">
        <f t="array" aca="1" ref="O21" ca="1">IFERROR(
  INDEX(Sequence[Dep. ID],
  MATCH(1, (Sequence[Actor Type]="CylinderUnits") * (Sequence[Row Type]&lt;&gt;"Start Conditions") *  (Sequence[Actor/Unit]=Cylinders[[#This Row],[Unit Name]]) * (Sequence[Dep. ID]&gt;Cylinders[[#This Row],[4th Motion]]), 0)), "")</f>
        <v/>
      </c>
      <c r="P21" s="242" t="str" cm="1">
        <f t="array" aca="1" ref="P21" ca="1">IFERROR(
  INDEX(Sequence[Dep. ID],
  MATCH(1, (Sequence[Actor Type]="CylinderUnits") * (Sequence[Row Type]&lt;&gt;"Start Conditions") *  (Sequence[Actor/Unit]=Cylinders[[#This Row],[Unit Name]]) * (Sequence[Dep. ID]&gt;Cylinders[[#This Row],[5th Motion]]), 0)), "")</f>
        <v/>
      </c>
      <c r="Q21" s="290" t="s">
        <v>560</v>
      </c>
      <c r="R21" s="274" t="s">
        <v>95</v>
      </c>
      <c r="S21" s="276"/>
      <c r="T21" s="276"/>
      <c r="U21" s="288" t="s">
        <v>501</v>
      </c>
      <c r="V21" s="289" t="s">
        <v>504</v>
      </c>
      <c r="W21" s="289" t="s">
        <v>508</v>
      </c>
      <c r="X21" s="289" t="s">
        <v>537</v>
      </c>
      <c r="Y21" s="289" t="s">
        <v>617</v>
      </c>
      <c r="Z21" s="273" t="s">
        <v>142</v>
      </c>
      <c r="AA21" s="273" t="s">
        <v>500</v>
      </c>
      <c r="AB21" s="274">
        <v>10</v>
      </c>
      <c r="AC21" s="246" t="str">
        <f>IF(AND(Cylinders[[#This Row],[Controls Manifold Name]]&lt;&gt;"",Cylinders[[#This Row],[Controls Valve Name]]&lt;&gt;"",Cylinders[[#This Row],[Unit Name]]&lt;&gt;""),_xlfn.CONCAT(U21,V21),"")</f>
        <v>=KJ1-QMB3</v>
      </c>
      <c r="AD21" s="245" t="str">
        <f>IF(AND(Cylinders[[#This Row],[Controls
Motion 
Group]]&lt;&gt;"",Cylinders[[#This Row],[Controls
Unit 
Name]]&lt;&gt;"",Cylinders[[#This Row],[Unit Name]]&lt;&gt;""),_xlfn.CONCAT(W21,X21),"")</f>
        <v>=MM3-MMB4</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row>
    <row r="22" spans="2:156" ht="18.600000000000001" customHeight="1">
      <c r="E22" s="272" t="s">
        <v>590</v>
      </c>
      <c r="F22" s="273" t="s">
        <v>94</v>
      </c>
      <c r="G22" s="276" t="s">
        <v>429</v>
      </c>
      <c r="H22" s="276">
        <v>63</v>
      </c>
      <c r="I22" s="276">
        <v>72.400000000000006</v>
      </c>
      <c r="J22" s="277">
        <v>1</v>
      </c>
      <c r="K22" s="242" cm="1">
        <f t="array" aca="1" ref="K22" ca="1">IFERROR(
INDEX(Sequence[Dep. ID],
MATCH(1, (Sequence[Actor Type]="CylinderUnits") * (Sequence[Row Type]&lt;&gt;"Start Conditions") * (Sequence[Actor/Unit]=Cylinders[[#This Row],[Unit Name]]), 0)), "")</f>
        <v>63</v>
      </c>
      <c r="L22" s="242" cm="1">
        <f t="array" aca="1" ref="L22" ca="1">IFERROR(
  INDEX(Sequence[Dep. ID],
  MATCH(1, (Sequence[Actor Type]="CylinderUnits") * (Sequence[Row Type]&lt;&gt;"Start Conditions") *  (Sequence[Actor/Unit]=Cylinders[[#This Row],[Unit Name]]) * (Sequence[Dep. ID]&gt;Cylinders[[#This Row],[1st Motion]]), 0)), "")</f>
        <v>81</v>
      </c>
      <c r="M22" s="242" t="str" cm="1">
        <f t="array" aca="1" ref="M22" ca="1">IFERROR(
  INDEX(Sequence[Dep. ID],
  MATCH(1, (Sequence[Actor Type]="CylinderUnits") * (Sequence[Row Type]&lt;&gt;"Start Conditions") *  (Sequence[Actor/Unit]=Cylinders[[#This Row],[Unit Name]]) * (Sequence[Dep. ID]&gt;Cylinders[[#This Row],[2nd Motion]]), 0)), "")</f>
        <v/>
      </c>
      <c r="N22" s="242" t="str" cm="1">
        <f t="array" aca="1" ref="N22" ca="1">IFERROR(
  INDEX(Sequence[Dep. ID],
  MATCH(1, (Sequence[Actor Type]="CylinderUnits") * (Sequence[Row Type]&lt;&gt;"Start Conditions") *  (Sequence[Actor/Unit]=Cylinders[[#This Row],[Unit Name]]) * (Sequence[Dep. ID]&gt;Cylinders[[#This Row],[3rd Motion]]), 0)), "")</f>
        <v/>
      </c>
      <c r="O22" s="242" t="str" cm="1">
        <f t="array" aca="1" ref="O22" ca="1">IFERROR(
  INDEX(Sequence[Dep. ID],
  MATCH(1, (Sequence[Actor Type]="CylinderUnits") * (Sequence[Row Type]&lt;&gt;"Start Conditions") *  (Sequence[Actor/Unit]=Cylinders[[#This Row],[Unit Name]]) * (Sequence[Dep. ID]&gt;Cylinders[[#This Row],[4th Motion]]), 0)), "")</f>
        <v/>
      </c>
      <c r="P22" s="242" t="str" cm="1">
        <f t="array" aca="1" ref="P22" ca="1">IFERROR(
  INDEX(Sequence[Dep. ID],
  MATCH(1, (Sequence[Actor Type]="CylinderUnits") * (Sequence[Row Type]&lt;&gt;"Start Conditions") *  (Sequence[Actor/Unit]=Cylinders[[#This Row],[Unit Name]]) * (Sequence[Dep. ID]&gt;Cylinders[[#This Row],[5th Motion]]), 0)), "")</f>
        <v/>
      </c>
      <c r="Q22" s="273" t="s">
        <v>558</v>
      </c>
      <c r="R22" s="274" t="s">
        <v>95</v>
      </c>
      <c r="S22" s="276"/>
      <c r="T22" s="276"/>
      <c r="U22" s="288" t="s">
        <v>501</v>
      </c>
      <c r="V22" s="289" t="s">
        <v>504</v>
      </c>
      <c r="W22" s="289" t="s">
        <v>508</v>
      </c>
      <c r="X22" s="289" t="s">
        <v>538</v>
      </c>
      <c r="Y22" s="289" t="s">
        <v>617</v>
      </c>
      <c r="Z22" s="273" t="s">
        <v>142</v>
      </c>
      <c r="AA22" s="273" t="s">
        <v>500</v>
      </c>
      <c r="AB22" s="274">
        <v>10</v>
      </c>
      <c r="AC22" s="246" t="str">
        <f>IF(AND(Cylinders[[#This Row],[Controls Manifold Name]]&lt;&gt;"",Cylinders[[#This Row],[Controls Valve Name]]&lt;&gt;"",Cylinders[[#This Row],[Unit Name]]&lt;&gt;""),_xlfn.CONCAT(U22,V22),"")</f>
        <v>=KJ1-QMB3</v>
      </c>
      <c r="AD22" s="245" t="str">
        <f>IF(AND(Cylinders[[#This Row],[Controls
Motion 
Group]]&lt;&gt;"",Cylinders[[#This Row],[Controls
Unit 
Name]]&lt;&gt;"",Cylinders[[#This Row],[Unit Name]]&lt;&gt;""),_xlfn.CONCAT(W22,X22),"")</f>
        <v>=MM3-MMB5</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row>
    <row r="23" spans="2:156" ht="18.600000000000001" customHeight="1">
      <c r="E23" s="272" t="s">
        <v>591</v>
      </c>
      <c r="F23" s="273" t="s">
        <v>104</v>
      </c>
      <c r="G23" s="276" t="s">
        <v>429</v>
      </c>
      <c r="H23" s="276">
        <v>57</v>
      </c>
      <c r="I23" s="276">
        <v>50</v>
      </c>
      <c r="J23" s="277">
        <v>1</v>
      </c>
      <c r="K23" s="242" cm="1">
        <f t="array" aca="1" ref="K23" ca="1">IFERROR(
INDEX(Sequence[Dep. ID],
MATCH(1, (Sequence[Actor Type]="CylinderUnits") * (Sequence[Row Type]&lt;&gt;"Start Conditions") * (Sequence[Actor/Unit]=Cylinders[[#This Row],[Unit Name]]), 0)), "")</f>
        <v>34</v>
      </c>
      <c r="L23" s="242" cm="1">
        <f t="array" aca="1" ref="L23" ca="1">IFERROR(
  INDEX(Sequence[Dep. ID],
  MATCH(1, (Sequence[Actor Type]="CylinderUnits") * (Sequence[Row Type]&lt;&gt;"Start Conditions") *  (Sequence[Actor/Unit]=Cylinders[[#This Row],[Unit Name]]) * (Sequence[Dep. ID]&gt;Cylinders[[#This Row],[1st Motion]]), 0)), "")</f>
        <v>75</v>
      </c>
      <c r="M23" s="242" t="str" cm="1">
        <f t="array" aca="1" ref="M23" ca="1">IFERROR(
  INDEX(Sequence[Dep. ID],
  MATCH(1, (Sequence[Actor Type]="CylinderUnits") * (Sequence[Row Type]&lt;&gt;"Start Conditions") *  (Sequence[Actor/Unit]=Cylinders[[#This Row],[Unit Name]]) * (Sequence[Dep. ID]&gt;Cylinders[[#This Row],[2nd Motion]]), 0)), "")</f>
        <v/>
      </c>
      <c r="N23" s="242" t="str" cm="1">
        <f t="array" aca="1" ref="N23" ca="1">IFERROR(
  INDEX(Sequence[Dep. ID],
  MATCH(1, (Sequence[Actor Type]="CylinderUnits") * (Sequence[Row Type]&lt;&gt;"Start Conditions") *  (Sequence[Actor/Unit]=Cylinders[[#This Row],[Unit Name]]) * (Sequence[Dep. ID]&gt;Cylinders[[#This Row],[3rd Motion]]), 0)), "")</f>
        <v/>
      </c>
      <c r="O23" s="242" t="str" cm="1">
        <f t="array" aca="1" ref="O23" ca="1">IFERROR(
  INDEX(Sequence[Dep. ID],
  MATCH(1, (Sequence[Actor Type]="CylinderUnits") * (Sequence[Row Type]&lt;&gt;"Start Conditions") *  (Sequence[Actor/Unit]=Cylinders[[#This Row],[Unit Name]]) * (Sequence[Dep. ID]&gt;Cylinders[[#This Row],[4th Motion]]), 0)), "")</f>
        <v/>
      </c>
      <c r="P23" s="242" t="str" cm="1">
        <f t="array" aca="1" ref="P23" ca="1">IFERROR(
  INDEX(Sequence[Dep. ID],
  MATCH(1, (Sequence[Actor Type]="CylinderUnits") * (Sequence[Row Type]&lt;&gt;"Start Conditions") *  (Sequence[Actor/Unit]=Cylinders[[#This Row],[Unit Name]]) * (Sequence[Dep. ID]&gt;Cylinders[[#This Row],[5th Motion]]), 0)), "")</f>
        <v/>
      </c>
      <c r="Q23" s="290" t="s">
        <v>546</v>
      </c>
      <c r="R23" s="274" t="s">
        <v>95</v>
      </c>
      <c r="S23" s="276"/>
      <c r="T23" s="276"/>
      <c r="U23" s="288" t="s">
        <v>501</v>
      </c>
      <c r="V23" s="289" t="s">
        <v>505</v>
      </c>
      <c r="W23" s="289" t="s">
        <v>509</v>
      </c>
      <c r="X23" s="289" t="s">
        <v>538</v>
      </c>
      <c r="Y23" s="289" t="s">
        <v>613</v>
      </c>
      <c r="Z23" s="273" t="s">
        <v>142</v>
      </c>
      <c r="AA23" s="273" t="s">
        <v>500</v>
      </c>
      <c r="AB23" s="274">
        <v>10</v>
      </c>
      <c r="AC23" s="246" t="str">
        <f>IF(AND(Cylinders[[#This Row],[Controls Manifold Name]]&lt;&gt;"",Cylinders[[#This Row],[Controls Valve Name]]&lt;&gt;"",Cylinders[[#This Row],[Unit Name]]&lt;&gt;""),_xlfn.CONCAT(U23,V23),"")</f>
        <v>=KJ1-QMB4</v>
      </c>
      <c r="AD23" s="245" t="str">
        <f>IF(AND(Cylinders[[#This Row],[Controls
Motion 
Group]]&lt;&gt;"",Cylinders[[#This Row],[Controls
Unit 
Name]]&lt;&gt;"",Cylinders[[#This Row],[Unit Name]]&lt;&gt;""),_xlfn.CONCAT(W23,X23),"")</f>
        <v>=MM4-MMB5</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row>
    <row r="24" spans="2:156" ht="18.600000000000001" customHeight="1">
      <c r="E24" s="272" t="s">
        <v>592</v>
      </c>
      <c r="F24" s="273" t="s">
        <v>94</v>
      </c>
      <c r="G24" s="276" t="s">
        <v>429</v>
      </c>
      <c r="H24" s="276">
        <v>63</v>
      </c>
      <c r="I24" s="276">
        <v>64.5</v>
      </c>
      <c r="J24" s="277">
        <v>1</v>
      </c>
      <c r="K24" s="242" cm="1">
        <f t="array" aca="1" ref="K24" ca="1">IFERROR(
INDEX(Sequence[Dep. ID],
MATCH(1, (Sequence[Actor Type]="CylinderUnits") * (Sequence[Row Type]&lt;&gt;"Start Conditions") * (Sequence[Actor/Unit]=Cylinders[[#This Row],[Unit Name]]), 0)), "")</f>
        <v>63</v>
      </c>
      <c r="L24" s="242" cm="1">
        <f t="array" aca="1" ref="L24" ca="1">IFERROR(
  INDEX(Sequence[Dep. ID],
  MATCH(1, (Sequence[Actor Type]="CylinderUnits") * (Sequence[Row Type]&lt;&gt;"Start Conditions") *  (Sequence[Actor/Unit]=Cylinders[[#This Row],[Unit Name]]) * (Sequence[Dep. ID]&gt;Cylinders[[#This Row],[1st Motion]]), 0)), "")</f>
        <v>81</v>
      </c>
      <c r="M24" s="242" t="str" cm="1">
        <f t="array" aca="1" ref="M24" ca="1">IFERROR(
  INDEX(Sequence[Dep. ID],
  MATCH(1, (Sequence[Actor Type]="CylinderUnits") * (Sequence[Row Type]&lt;&gt;"Start Conditions") *  (Sequence[Actor/Unit]=Cylinders[[#This Row],[Unit Name]]) * (Sequence[Dep. ID]&gt;Cylinders[[#This Row],[2nd Motion]]), 0)), "")</f>
        <v/>
      </c>
      <c r="N24" s="242" t="str" cm="1">
        <f t="array" aca="1" ref="N24" ca="1">IFERROR(
  INDEX(Sequence[Dep. ID],
  MATCH(1, (Sequence[Actor Type]="CylinderUnits") * (Sequence[Row Type]&lt;&gt;"Start Conditions") *  (Sequence[Actor/Unit]=Cylinders[[#This Row],[Unit Name]]) * (Sequence[Dep. ID]&gt;Cylinders[[#This Row],[3rd Motion]]), 0)), "")</f>
        <v/>
      </c>
      <c r="O24" s="242" t="str" cm="1">
        <f t="array" aca="1" ref="O24" ca="1">IFERROR(
  INDEX(Sequence[Dep. ID],
  MATCH(1, (Sequence[Actor Type]="CylinderUnits") * (Sequence[Row Type]&lt;&gt;"Start Conditions") *  (Sequence[Actor/Unit]=Cylinders[[#This Row],[Unit Name]]) * (Sequence[Dep. ID]&gt;Cylinders[[#This Row],[4th Motion]]), 0)), "")</f>
        <v/>
      </c>
      <c r="P24" s="242" t="str" cm="1">
        <f t="array" aca="1" ref="P24" ca="1">IFERROR(
  INDEX(Sequence[Dep. ID],
  MATCH(1, (Sequence[Actor Type]="CylinderUnits") * (Sequence[Row Type]&lt;&gt;"Start Conditions") *  (Sequence[Actor/Unit]=Cylinders[[#This Row],[Unit Name]]) * (Sequence[Dep. ID]&gt;Cylinders[[#This Row],[5th Motion]]), 0)), "")</f>
        <v/>
      </c>
      <c r="Q24" s="273" t="s">
        <v>567</v>
      </c>
      <c r="R24" s="274" t="s">
        <v>95</v>
      </c>
      <c r="S24" s="276"/>
      <c r="T24" s="276"/>
      <c r="U24" s="288" t="s">
        <v>501</v>
      </c>
      <c r="V24" s="289" t="s">
        <v>504</v>
      </c>
      <c r="W24" s="289" t="s">
        <v>508</v>
      </c>
      <c r="X24" s="289" t="s">
        <v>539</v>
      </c>
      <c r="Y24" s="289" t="s">
        <v>617</v>
      </c>
      <c r="Z24" s="273" t="s">
        <v>142</v>
      </c>
      <c r="AA24" s="273" t="s">
        <v>500</v>
      </c>
      <c r="AB24" s="274">
        <v>10</v>
      </c>
      <c r="AC24" s="246" t="str">
        <f>IF(AND(Cylinders[[#This Row],[Controls Manifold Name]]&lt;&gt;"",Cylinders[[#This Row],[Controls Valve Name]]&lt;&gt;"",Cylinders[[#This Row],[Unit Name]]&lt;&gt;""),_xlfn.CONCAT(U24,V24),"")</f>
        <v>=KJ1-QMB3</v>
      </c>
      <c r="AD24" s="245" t="str">
        <f>IF(AND(Cylinders[[#This Row],[Controls
Motion 
Group]]&lt;&gt;"",Cylinders[[#This Row],[Controls
Unit 
Name]]&lt;&gt;"",Cylinders[[#This Row],[Unit Name]]&lt;&gt;""),_xlfn.CONCAT(W24,X24),"")</f>
        <v>=MM3-MMB6</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row>
    <row r="25" spans="2:156" ht="18.600000000000001" customHeight="1">
      <c r="E25" s="272" t="s">
        <v>593</v>
      </c>
      <c r="F25" s="273" t="s">
        <v>94</v>
      </c>
      <c r="G25" s="276" t="s">
        <v>429</v>
      </c>
      <c r="H25" s="276">
        <v>63</v>
      </c>
      <c r="I25" s="276">
        <v>64.5</v>
      </c>
      <c r="J25" s="277">
        <v>1</v>
      </c>
      <c r="K25" s="242" cm="1">
        <f t="array" aca="1" ref="K25" ca="1">IFERROR(
INDEX(Sequence[Dep. ID],
MATCH(1, (Sequence[Actor Type]="CylinderUnits") * (Sequence[Row Type]&lt;&gt;"Start Conditions") * (Sequence[Actor/Unit]=Cylinders[[#This Row],[Unit Name]]), 0)), "")</f>
        <v>63</v>
      </c>
      <c r="L25" s="242" cm="1">
        <f t="array" aca="1" ref="L25" ca="1">IFERROR(
  INDEX(Sequence[Dep. ID],
  MATCH(1, (Sequence[Actor Type]="CylinderUnits") * (Sequence[Row Type]&lt;&gt;"Start Conditions") *  (Sequence[Actor/Unit]=Cylinders[[#This Row],[Unit Name]]) * (Sequence[Dep. ID]&gt;Cylinders[[#This Row],[1st Motion]]), 0)), "")</f>
        <v>81</v>
      </c>
      <c r="M25" s="242" t="str" cm="1">
        <f t="array" aca="1" ref="M25" ca="1">IFERROR(
  INDEX(Sequence[Dep. ID],
  MATCH(1, (Sequence[Actor Type]="CylinderUnits") * (Sequence[Row Type]&lt;&gt;"Start Conditions") *  (Sequence[Actor/Unit]=Cylinders[[#This Row],[Unit Name]]) * (Sequence[Dep. ID]&gt;Cylinders[[#This Row],[2nd Motion]]), 0)), "")</f>
        <v/>
      </c>
      <c r="N25" s="242" t="str" cm="1">
        <f t="array" aca="1" ref="N25" ca="1">IFERROR(
  INDEX(Sequence[Dep. ID],
  MATCH(1, (Sequence[Actor Type]="CylinderUnits") * (Sequence[Row Type]&lt;&gt;"Start Conditions") *  (Sequence[Actor/Unit]=Cylinders[[#This Row],[Unit Name]]) * (Sequence[Dep. ID]&gt;Cylinders[[#This Row],[3rd Motion]]), 0)), "")</f>
        <v/>
      </c>
      <c r="O25" s="242" t="str" cm="1">
        <f t="array" aca="1" ref="O25" ca="1">IFERROR(
  INDEX(Sequence[Dep. ID],
  MATCH(1, (Sequence[Actor Type]="CylinderUnits") * (Sequence[Row Type]&lt;&gt;"Start Conditions") *  (Sequence[Actor/Unit]=Cylinders[[#This Row],[Unit Name]]) * (Sequence[Dep. ID]&gt;Cylinders[[#This Row],[4th Motion]]), 0)), "")</f>
        <v/>
      </c>
      <c r="P25" s="242" t="str" cm="1">
        <f t="array" aca="1" ref="P25" ca="1">IFERROR(
  INDEX(Sequence[Dep. ID],
  MATCH(1, (Sequence[Actor Type]="CylinderUnits") * (Sequence[Row Type]&lt;&gt;"Start Conditions") *  (Sequence[Actor/Unit]=Cylinders[[#This Row],[Unit Name]]) * (Sequence[Dep. ID]&gt;Cylinders[[#This Row],[5th Motion]]), 0)), "")</f>
        <v/>
      </c>
      <c r="Q25" s="273" t="s">
        <v>567</v>
      </c>
      <c r="R25" s="274" t="s">
        <v>95</v>
      </c>
      <c r="S25" s="276"/>
      <c r="T25" s="276"/>
      <c r="U25" s="288" t="s">
        <v>501</v>
      </c>
      <c r="V25" s="289" t="s">
        <v>504</v>
      </c>
      <c r="W25" s="289" t="s">
        <v>508</v>
      </c>
      <c r="X25" s="289" t="s">
        <v>614</v>
      </c>
      <c r="Y25" s="289" t="s">
        <v>617</v>
      </c>
      <c r="Z25" s="273" t="s">
        <v>142</v>
      </c>
      <c r="AA25" s="273" t="s">
        <v>500</v>
      </c>
      <c r="AB25" s="274">
        <v>10</v>
      </c>
      <c r="AC25" s="246" t="str">
        <f>IF(AND(Cylinders[[#This Row],[Controls Manifold Name]]&lt;&gt;"",Cylinders[[#This Row],[Controls Valve Name]]&lt;&gt;"",Cylinders[[#This Row],[Unit Name]]&lt;&gt;""),_xlfn.CONCAT(U25,V25),"")</f>
        <v>=KJ1-QMB3</v>
      </c>
      <c r="AD25" s="245" t="str">
        <f>IF(AND(Cylinders[[#This Row],[Controls
Motion 
Group]]&lt;&gt;"",Cylinders[[#This Row],[Controls
Unit 
Name]]&lt;&gt;"",Cylinders[[#This Row],[Unit Name]]&lt;&gt;""),_xlfn.CONCAT(W25,X25),"")</f>
        <v>=MM3-MMB7</v>
      </c>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row>
    <row r="26" spans="2:156" ht="18.600000000000001" customHeight="1">
      <c r="E26" s="272" t="s">
        <v>594</v>
      </c>
      <c r="F26" s="273" t="s">
        <v>94</v>
      </c>
      <c r="G26" s="276" t="s">
        <v>429</v>
      </c>
      <c r="H26" s="276">
        <v>63</v>
      </c>
      <c r="I26" s="276">
        <v>64.5</v>
      </c>
      <c r="J26" s="277">
        <v>1</v>
      </c>
      <c r="K26" s="242" cm="1">
        <f t="array" aca="1" ref="K26" ca="1">IFERROR(
INDEX(Sequence[Dep. ID],
MATCH(1, (Sequence[Actor Type]="CylinderUnits") * (Sequence[Row Type]&lt;&gt;"Start Conditions") * (Sequence[Actor/Unit]=Cylinders[[#This Row],[Unit Name]]), 0)), "")</f>
        <v>63</v>
      </c>
      <c r="L26" s="242" cm="1">
        <f t="array" aca="1" ref="L26" ca="1">IFERROR(
  INDEX(Sequence[Dep. ID],
  MATCH(1, (Sequence[Actor Type]="CylinderUnits") * (Sequence[Row Type]&lt;&gt;"Start Conditions") *  (Sequence[Actor/Unit]=Cylinders[[#This Row],[Unit Name]]) * (Sequence[Dep. ID]&gt;Cylinders[[#This Row],[1st Motion]]), 0)), "")</f>
        <v>81</v>
      </c>
      <c r="M26" s="242" t="str" cm="1">
        <f t="array" aca="1" ref="M26" ca="1">IFERROR(
  INDEX(Sequence[Dep. ID],
  MATCH(1, (Sequence[Actor Type]="CylinderUnits") * (Sequence[Row Type]&lt;&gt;"Start Conditions") *  (Sequence[Actor/Unit]=Cylinders[[#This Row],[Unit Name]]) * (Sequence[Dep. ID]&gt;Cylinders[[#This Row],[2nd Motion]]), 0)), "")</f>
        <v/>
      </c>
      <c r="N26" s="242" t="str" cm="1">
        <f t="array" aca="1" ref="N26" ca="1">IFERROR(
  INDEX(Sequence[Dep. ID],
  MATCH(1, (Sequence[Actor Type]="CylinderUnits") * (Sequence[Row Type]&lt;&gt;"Start Conditions") *  (Sequence[Actor/Unit]=Cylinders[[#This Row],[Unit Name]]) * (Sequence[Dep. ID]&gt;Cylinders[[#This Row],[3rd Motion]]), 0)), "")</f>
        <v/>
      </c>
      <c r="O26" s="242" t="str" cm="1">
        <f t="array" aca="1" ref="O26" ca="1">IFERROR(
  INDEX(Sequence[Dep. ID],
  MATCH(1, (Sequence[Actor Type]="CylinderUnits") * (Sequence[Row Type]&lt;&gt;"Start Conditions") *  (Sequence[Actor/Unit]=Cylinders[[#This Row],[Unit Name]]) * (Sequence[Dep. ID]&gt;Cylinders[[#This Row],[4th Motion]]), 0)), "")</f>
        <v/>
      </c>
      <c r="P26" s="242" t="str" cm="1">
        <f t="array" aca="1" ref="P26" ca="1">IFERROR(
  INDEX(Sequence[Dep. ID],
  MATCH(1, (Sequence[Actor Type]="CylinderUnits") * (Sequence[Row Type]&lt;&gt;"Start Conditions") *  (Sequence[Actor/Unit]=Cylinders[[#This Row],[Unit Name]]) * (Sequence[Dep. ID]&gt;Cylinders[[#This Row],[5th Motion]]), 0)), "")</f>
        <v/>
      </c>
      <c r="Q26" s="273" t="s">
        <v>567</v>
      </c>
      <c r="R26" s="274" t="s">
        <v>95</v>
      </c>
      <c r="S26" s="276"/>
      <c r="T26" s="276"/>
      <c r="U26" s="288" t="s">
        <v>501</v>
      </c>
      <c r="V26" s="289" t="s">
        <v>504</v>
      </c>
      <c r="W26" s="289" t="s">
        <v>508</v>
      </c>
      <c r="X26" s="289" t="s">
        <v>615</v>
      </c>
      <c r="Y26" s="289" t="s">
        <v>617</v>
      </c>
      <c r="Z26" s="273" t="s">
        <v>142</v>
      </c>
      <c r="AA26" s="273" t="s">
        <v>500</v>
      </c>
      <c r="AB26" s="274">
        <v>10</v>
      </c>
      <c r="AC26" s="246" t="str">
        <f>IF(AND(Cylinders[[#This Row],[Controls Manifold Name]]&lt;&gt;"",Cylinders[[#This Row],[Controls Valve Name]]&lt;&gt;"",Cylinders[[#This Row],[Unit Name]]&lt;&gt;""),_xlfn.CONCAT(U26,V26),"")</f>
        <v>=KJ1-QMB3</v>
      </c>
      <c r="AD26" s="245" t="str">
        <f>IF(AND(Cylinders[[#This Row],[Controls
Motion 
Group]]&lt;&gt;"",Cylinders[[#This Row],[Controls
Unit 
Name]]&lt;&gt;"",Cylinders[[#This Row],[Unit Name]]&lt;&gt;""),_xlfn.CONCAT(W26,X26),"")</f>
        <v>=MM3-MMB8</v>
      </c>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row>
    <row r="27" spans="2:156" ht="18.600000000000001" customHeight="1">
      <c r="E27" s="272" t="s">
        <v>596</v>
      </c>
      <c r="F27" s="273" t="s">
        <v>104</v>
      </c>
      <c r="G27" s="276" t="s">
        <v>429</v>
      </c>
      <c r="H27" s="276">
        <v>57</v>
      </c>
      <c r="I27" s="276">
        <v>50</v>
      </c>
      <c r="J27" s="277">
        <v>1</v>
      </c>
      <c r="K27" s="242" cm="1">
        <f t="array" aca="1" ref="K27" ca="1">IFERROR(
INDEX(Sequence[Dep. ID],
MATCH(1, (Sequence[Actor Type]="CylinderUnits") * (Sequence[Row Type]&lt;&gt;"Start Conditions") * (Sequence[Actor/Unit]=Cylinders[[#This Row],[Unit Name]]), 0)), "")</f>
        <v>34</v>
      </c>
      <c r="L27" s="242" cm="1">
        <f t="array" aca="1" ref="L27" ca="1">IFERROR(
  INDEX(Sequence[Dep. ID],
  MATCH(1, (Sequence[Actor Type]="CylinderUnits") * (Sequence[Row Type]&lt;&gt;"Start Conditions") *  (Sequence[Actor/Unit]=Cylinders[[#This Row],[Unit Name]]) * (Sequence[Dep. ID]&gt;Cylinders[[#This Row],[1st Motion]]), 0)), "")</f>
        <v>75</v>
      </c>
      <c r="M27" s="242" t="str" cm="1">
        <f t="array" aca="1" ref="M27" ca="1">IFERROR(
  INDEX(Sequence[Dep. ID],
  MATCH(1, (Sequence[Actor Type]="CylinderUnits") * (Sequence[Row Type]&lt;&gt;"Start Conditions") *  (Sequence[Actor/Unit]=Cylinders[[#This Row],[Unit Name]]) * (Sequence[Dep. ID]&gt;Cylinders[[#This Row],[2nd Motion]]), 0)), "")</f>
        <v/>
      </c>
      <c r="N27" s="242" t="str" cm="1">
        <f t="array" aca="1" ref="N27" ca="1">IFERROR(
  INDEX(Sequence[Dep. ID],
  MATCH(1, (Sequence[Actor Type]="CylinderUnits") * (Sequence[Row Type]&lt;&gt;"Start Conditions") *  (Sequence[Actor/Unit]=Cylinders[[#This Row],[Unit Name]]) * (Sequence[Dep. ID]&gt;Cylinders[[#This Row],[3rd Motion]]), 0)), "")</f>
        <v/>
      </c>
      <c r="O27" s="242" t="str" cm="1">
        <f t="array" aca="1" ref="O27" ca="1">IFERROR(
  INDEX(Sequence[Dep. ID],
  MATCH(1, (Sequence[Actor Type]="CylinderUnits") * (Sequence[Row Type]&lt;&gt;"Start Conditions") *  (Sequence[Actor/Unit]=Cylinders[[#This Row],[Unit Name]]) * (Sequence[Dep. ID]&gt;Cylinders[[#This Row],[4th Motion]]), 0)), "")</f>
        <v/>
      </c>
      <c r="P27" s="242" t="str" cm="1">
        <f t="array" aca="1" ref="P27" ca="1">IFERROR(
  INDEX(Sequence[Dep. ID],
  MATCH(1, (Sequence[Actor Type]="CylinderUnits") * (Sequence[Row Type]&lt;&gt;"Start Conditions") *  (Sequence[Actor/Unit]=Cylinders[[#This Row],[Unit Name]]) * (Sequence[Dep. ID]&gt;Cylinders[[#This Row],[5th Motion]]), 0)), "")</f>
        <v/>
      </c>
      <c r="Q27" s="273" t="s">
        <v>566</v>
      </c>
      <c r="R27" s="274" t="s">
        <v>95</v>
      </c>
      <c r="S27" s="276"/>
      <c r="T27" s="276"/>
      <c r="U27" s="288" t="s">
        <v>501</v>
      </c>
      <c r="V27" s="289" t="s">
        <v>505</v>
      </c>
      <c r="W27" s="289" t="s">
        <v>509</v>
      </c>
      <c r="X27" s="289" t="s">
        <v>539</v>
      </c>
      <c r="Y27" s="289" t="s">
        <v>613</v>
      </c>
      <c r="Z27" s="273" t="s">
        <v>142</v>
      </c>
      <c r="AA27" s="273" t="s">
        <v>500</v>
      </c>
      <c r="AB27" s="274">
        <v>10</v>
      </c>
      <c r="AC27" s="246" t="str">
        <f>IF(AND(Cylinders[[#This Row],[Controls Manifold Name]]&lt;&gt;"",Cylinders[[#This Row],[Controls Valve Name]]&lt;&gt;"",Cylinders[[#This Row],[Unit Name]]&lt;&gt;""),_xlfn.CONCAT(U27,V27),"")</f>
        <v>=KJ1-QMB4</v>
      </c>
      <c r="AD27" s="245" t="str">
        <f>IF(AND(Cylinders[[#This Row],[Controls
Motion 
Group]]&lt;&gt;"",Cylinders[[#This Row],[Controls
Unit 
Name]]&lt;&gt;"",Cylinders[[#This Row],[Unit Name]]&lt;&gt;""),_xlfn.CONCAT(W27,X27),"")</f>
        <v>=MM4-MMB6</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row>
    <row r="28" spans="2:156" ht="18.600000000000001" customHeight="1">
      <c r="E28" s="272"/>
      <c r="F28" s="273"/>
      <c r="G28" s="276"/>
      <c r="H28" s="276"/>
      <c r="I28" s="276"/>
      <c r="J28" s="277"/>
      <c r="K28" s="242" t="str" cm="1">
        <f t="array" ref="K28">IFERROR(
INDEX(Sequence[Dep. ID],
MATCH(1, (Sequence[Actor Type]="CylinderUnits") * (Sequence[Row Type]&lt;&gt;"Start Conditions") * (Sequence[Actor/Unit]=Cylinders[[#This Row],[Unit Name]]), 0)), "")</f>
        <v/>
      </c>
      <c r="L28" s="242" t="str" cm="1">
        <f t="array" aca="1" ref="L28" ca="1">IFERROR(
  INDEX(Sequence[Dep. ID],
  MATCH(1, (Sequence[Actor Type]="CylinderUnits") * (Sequence[Row Type]&lt;&gt;"Start Conditions") *  (Sequence[Actor/Unit]=Cylinders[[#This Row],[Unit Name]]) * (Sequence[Dep. ID]&gt;Cylinders[[#This Row],[1st Motion]]), 0)), "")</f>
        <v/>
      </c>
      <c r="M28" s="242" t="str" cm="1">
        <f t="array" aca="1" ref="M28" ca="1">IFERROR(
  INDEX(Sequence[Dep. ID],
  MATCH(1, (Sequence[Actor Type]="CylinderUnits") * (Sequence[Row Type]&lt;&gt;"Start Conditions") *  (Sequence[Actor/Unit]=Cylinders[[#This Row],[Unit Name]]) * (Sequence[Dep. ID]&gt;Cylinders[[#This Row],[2nd Motion]]), 0)), "")</f>
        <v/>
      </c>
      <c r="N28" s="242" t="str" cm="1">
        <f t="array" aca="1" ref="N28" ca="1">IFERROR(
  INDEX(Sequence[Dep. ID],
  MATCH(1, (Sequence[Actor Type]="CylinderUnits") * (Sequence[Row Type]&lt;&gt;"Start Conditions") *  (Sequence[Actor/Unit]=Cylinders[[#This Row],[Unit Name]]) * (Sequence[Dep. ID]&gt;Cylinders[[#This Row],[3rd Motion]]), 0)), "")</f>
        <v/>
      </c>
      <c r="O28" s="242" t="str" cm="1">
        <f t="array" aca="1" ref="O28" ca="1">IFERROR(
  INDEX(Sequence[Dep. ID],
  MATCH(1, (Sequence[Actor Type]="CylinderUnits") * (Sequence[Row Type]&lt;&gt;"Start Conditions") *  (Sequence[Actor/Unit]=Cylinders[[#This Row],[Unit Name]]) * (Sequence[Dep. ID]&gt;Cylinders[[#This Row],[4th Motion]]), 0)), "")</f>
        <v/>
      </c>
      <c r="P28" s="242" t="str" cm="1">
        <f t="array" aca="1" ref="P28" ca="1">IFERROR(
  INDEX(Sequence[Dep. ID],
  MATCH(1, (Sequence[Actor Type]="CylinderUnits") * (Sequence[Row Type]&lt;&gt;"Start Conditions") *  (Sequence[Actor/Unit]=Cylinders[[#This Row],[Unit Name]]) * (Sequence[Dep. ID]&gt;Cylinders[[#This Row],[5th Motion]]), 0)), "")</f>
        <v/>
      </c>
      <c r="Q28" s="273"/>
      <c r="R28" s="274"/>
      <c r="S28" s="276"/>
      <c r="T28" s="276"/>
      <c r="U28" s="288"/>
      <c r="V28" s="289"/>
      <c r="W28" s="289"/>
      <c r="X28" s="289"/>
      <c r="Y28" s="289"/>
      <c r="Z28" s="273"/>
      <c r="AA28" s="273"/>
      <c r="AB28" s="274"/>
      <c r="AC28" s="246" t="str">
        <f>IF(AND(Cylinders[[#This Row],[Controls Manifold Name]]&lt;&gt;"",Cylinders[[#This Row],[Controls Valve Name]]&lt;&gt;"",Cylinders[[#This Row],[Unit Name]]&lt;&gt;""),_xlfn.CONCAT(U28,V28),"")</f>
        <v/>
      </c>
      <c r="AD28" s="245" t="str">
        <f>IF(AND(Cylinders[[#This Row],[Controls
Motion 
Group]]&lt;&gt;"",Cylinders[[#This Row],[Controls
Unit 
Name]]&lt;&gt;"",Cylinders[[#This Row],[Unit Name]]&lt;&gt;""),_xlfn.CONCAT(W28,X28),"")</f>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row>
    <row r="29" spans="2:156" ht="18.600000000000001" customHeight="1">
      <c r="E29" s="272"/>
      <c r="F29" s="273"/>
      <c r="G29" s="276"/>
      <c r="H29" s="276"/>
      <c r="I29" s="276"/>
      <c r="J29" s="277"/>
      <c r="K29" s="242" t="str" cm="1">
        <f t="array" ref="K29">IFERROR(
INDEX(Sequence[Dep. ID],
MATCH(1, (Sequence[Actor Type]="CylinderUnits") * (Sequence[Row Type]&lt;&gt;"Start Conditions") * (Sequence[Actor/Unit]=Cylinders[[#This Row],[Unit Name]]), 0)), "")</f>
        <v/>
      </c>
      <c r="L29" s="242" t="str" cm="1">
        <f t="array" aca="1" ref="L29" ca="1">IFERROR(
  INDEX(Sequence[Dep. ID],
  MATCH(1, (Sequence[Actor Type]="CylinderUnits") * (Sequence[Row Type]&lt;&gt;"Start Conditions") *  (Sequence[Actor/Unit]=Cylinders[[#This Row],[Unit Name]]) * (Sequence[Dep. ID]&gt;Cylinders[[#This Row],[1st Motion]]), 0)), "")</f>
        <v/>
      </c>
      <c r="M29" s="242" t="str" cm="1">
        <f t="array" aca="1" ref="M29" ca="1">IFERROR(
  INDEX(Sequence[Dep. ID],
  MATCH(1, (Sequence[Actor Type]="CylinderUnits") * (Sequence[Row Type]&lt;&gt;"Start Conditions") *  (Sequence[Actor/Unit]=Cylinders[[#This Row],[Unit Name]]) * (Sequence[Dep. ID]&gt;Cylinders[[#This Row],[2nd Motion]]), 0)), "")</f>
        <v/>
      </c>
      <c r="N29" s="242" t="str" cm="1">
        <f t="array" aca="1" ref="N29" ca="1">IFERROR(
  INDEX(Sequence[Dep. ID],
  MATCH(1, (Sequence[Actor Type]="CylinderUnits") * (Sequence[Row Type]&lt;&gt;"Start Conditions") *  (Sequence[Actor/Unit]=Cylinders[[#This Row],[Unit Name]]) * (Sequence[Dep. ID]&gt;Cylinders[[#This Row],[3rd Motion]]), 0)), "")</f>
        <v/>
      </c>
      <c r="O29" s="242" t="str" cm="1">
        <f t="array" aca="1" ref="O29" ca="1">IFERROR(
  INDEX(Sequence[Dep. ID],
  MATCH(1, (Sequence[Actor Type]="CylinderUnits") * (Sequence[Row Type]&lt;&gt;"Start Conditions") *  (Sequence[Actor/Unit]=Cylinders[[#This Row],[Unit Name]]) * (Sequence[Dep. ID]&gt;Cylinders[[#This Row],[4th Motion]]), 0)), "")</f>
        <v/>
      </c>
      <c r="P29" s="242" t="str" cm="1">
        <f t="array" aca="1" ref="P29" ca="1">IFERROR(
  INDEX(Sequence[Dep. ID],
  MATCH(1, (Sequence[Actor Type]="CylinderUnits") * (Sequence[Row Type]&lt;&gt;"Start Conditions") *  (Sequence[Actor/Unit]=Cylinders[[#This Row],[Unit Name]]) * (Sequence[Dep. ID]&gt;Cylinders[[#This Row],[5th Motion]]), 0)), "")</f>
        <v/>
      </c>
      <c r="Q29" s="273"/>
      <c r="R29" s="274"/>
      <c r="S29" s="276"/>
      <c r="T29" s="276"/>
      <c r="U29" s="288"/>
      <c r="V29" s="289"/>
      <c r="W29" s="289"/>
      <c r="X29" s="289"/>
      <c r="Y29" s="289"/>
      <c r="Z29" s="273"/>
      <c r="AA29" s="273"/>
      <c r="AB29" s="274"/>
      <c r="AC29" s="246" t="str">
        <f>IF(AND(Cylinders[[#This Row],[Controls Manifold Name]]&lt;&gt;"",Cylinders[[#This Row],[Controls Valve Name]]&lt;&gt;"",Cylinders[[#This Row],[Unit Name]]&lt;&gt;""),_xlfn.CONCAT(U29,V29),"")</f>
        <v/>
      </c>
      <c r="AD29" s="245" t="str">
        <f>IF(AND(Cylinders[[#This Row],[Controls
Motion 
Group]]&lt;&gt;"",Cylinders[[#This Row],[Controls
Unit 
Name]]&lt;&gt;"",Cylinders[[#This Row],[Unit Name]]&lt;&gt;""),_xlfn.CONCAT(W29,X29),"")</f>
        <v/>
      </c>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row>
    <row r="30" spans="2:156" ht="18.600000000000001" customHeight="1">
      <c r="E30" s="272"/>
      <c r="F30" s="273"/>
      <c r="G30" s="276"/>
      <c r="H30" s="276"/>
      <c r="I30" s="276"/>
      <c r="J30" s="277"/>
      <c r="K30" s="242" t="str" cm="1">
        <f t="array" ref="K30">IFERROR(
INDEX(Sequence[Dep. ID],
MATCH(1, (Sequence[Actor Type]="CylinderUnits") * (Sequence[Row Type]&lt;&gt;"Start Conditions") * (Sequence[Actor/Unit]=Cylinders[[#This Row],[Unit Name]]), 0)), "")</f>
        <v/>
      </c>
      <c r="L30" s="242" t="str" cm="1">
        <f t="array" aca="1" ref="L30" ca="1">IFERROR(
  INDEX(Sequence[Dep. ID],
  MATCH(1, (Sequence[Actor Type]="CylinderUnits") * (Sequence[Row Type]&lt;&gt;"Start Conditions") *  (Sequence[Actor/Unit]=Cylinders[[#This Row],[Unit Name]]) * (Sequence[Dep. ID]&gt;Cylinders[[#This Row],[1st Motion]]), 0)), "")</f>
        <v/>
      </c>
      <c r="M30" s="242" t="str" cm="1">
        <f t="array" aca="1" ref="M30" ca="1">IFERROR(
  INDEX(Sequence[Dep. ID],
  MATCH(1, (Sequence[Actor Type]="CylinderUnits") * (Sequence[Row Type]&lt;&gt;"Start Conditions") *  (Sequence[Actor/Unit]=Cylinders[[#This Row],[Unit Name]]) * (Sequence[Dep. ID]&gt;Cylinders[[#This Row],[2nd Motion]]), 0)), "")</f>
        <v/>
      </c>
      <c r="N30" s="242" t="str" cm="1">
        <f t="array" aca="1" ref="N30" ca="1">IFERROR(
  INDEX(Sequence[Dep. ID],
  MATCH(1, (Sequence[Actor Type]="CylinderUnits") * (Sequence[Row Type]&lt;&gt;"Start Conditions") *  (Sequence[Actor/Unit]=Cylinders[[#This Row],[Unit Name]]) * (Sequence[Dep. ID]&gt;Cylinders[[#This Row],[3rd Motion]]), 0)), "")</f>
        <v/>
      </c>
      <c r="O30" s="242" t="str" cm="1">
        <f t="array" aca="1" ref="O30" ca="1">IFERROR(
  INDEX(Sequence[Dep. ID],
  MATCH(1, (Sequence[Actor Type]="CylinderUnits") * (Sequence[Row Type]&lt;&gt;"Start Conditions") *  (Sequence[Actor/Unit]=Cylinders[[#This Row],[Unit Name]]) * (Sequence[Dep. ID]&gt;Cylinders[[#This Row],[4th Motion]]), 0)), "")</f>
        <v/>
      </c>
      <c r="P30" s="242" t="str" cm="1">
        <f t="array" aca="1" ref="P30" ca="1">IFERROR(
  INDEX(Sequence[Dep. ID],
  MATCH(1, (Sequence[Actor Type]="CylinderUnits") * (Sequence[Row Type]&lt;&gt;"Start Conditions") *  (Sequence[Actor/Unit]=Cylinders[[#This Row],[Unit Name]]) * (Sequence[Dep. ID]&gt;Cylinders[[#This Row],[5th Motion]]), 0)), "")</f>
        <v/>
      </c>
      <c r="Q30" s="273"/>
      <c r="R30" s="274"/>
      <c r="S30" s="276"/>
      <c r="T30" s="276"/>
      <c r="U30" s="288"/>
      <c r="V30" s="289"/>
      <c r="W30" s="289"/>
      <c r="X30" s="289"/>
      <c r="Y30" s="289"/>
      <c r="Z30" s="273"/>
      <c r="AA30" s="273"/>
      <c r="AB30" s="274"/>
      <c r="AC30" s="246" t="str">
        <f>IF(AND(Cylinders[[#This Row],[Controls Manifold Name]]&lt;&gt;"",Cylinders[[#This Row],[Controls Valve Name]]&lt;&gt;"",Cylinders[[#This Row],[Unit Name]]&lt;&gt;""),_xlfn.CONCAT(U30,V30),"")</f>
        <v/>
      </c>
      <c r="AD30" s="245" t="str">
        <f>IF(AND(Cylinders[[#This Row],[Controls
Motion 
Group]]&lt;&gt;"",Cylinders[[#This Row],[Controls
Unit 
Name]]&lt;&gt;"",Cylinders[[#This Row],[Unit Name]]&lt;&gt;""),_xlfn.CONCAT(W30,X30),"")</f>
        <v/>
      </c>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row>
    <row r="31" spans="2:156" ht="18.600000000000001" customHeight="1">
      <c r="E31" s="272"/>
      <c r="F31" s="273"/>
      <c r="G31" s="276"/>
      <c r="H31" s="276"/>
      <c r="I31" s="276"/>
      <c r="J31" s="277"/>
      <c r="K31" s="242" t="str" cm="1">
        <f t="array" ref="K31">IFERROR(
INDEX(Sequence[Dep. ID],
MATCH(1, (Sequence[Actor Type]="CylinderUnits") * (Sequence[Row Type]&lt;&gt;"Start Conditions") * (Sequence[Actor/Unit]=Cylinders[[#This Row],[Unit Name]]), 0)), "")</f>
        <v/>
      </c>
      <c r="L31" s="242" t="str" cm="1">
        <f t="array" aca="1" ref="L31" ca="1">IFERROR(
  INDEX(Sequence[Dep. ID],
  MATCH(1, (Sequence[Actor Type]="CylinderUnits") * (Sequence[Row Type]&lt;&gt;"Start Conditions") *  (Sequence[Actor/Unit]=Cylinders[[#This Row],[Unit Name]]) * (Sequence[Dep. ID]&gt;Cylinders[[#This Row],[1st Motion]]), 0)), "")</f>
        <v/>
      </c>
      <c r="M31" s="242" t="str" cm="1">
        <f t="array" aca="1" ref="M31" ca="1">IFERROR(
  INDEX(Sequence[Dep. ID],
  MATCH(1, (Sequence[Actor Type]="CylinderUnits") * (Sequence[Row Type]&lt;&gt;"Start Conditions") *  (Sequence[Actor/Unit]=Cylinders[[#This Row],[Unit Name]]) * (Sequence[Dep. ID]&gt;Cylinders[[#This Row],[2nd Motion]]), 0)), "")</f>
        <v/>
      </c>
      <c r="N31" s="242" t="str" cm="1">
        <f t="array" aca="1" ref="N31" ca="1">IFERROR(
  INDEX(Sequence[Dep. ID],
  MATCH(1, (Sequence[Actor Type]="CylinderUnits") * (Sequence[Row Type]&lt;&gt;"Start Conditions") *  (Sequence[Actor/Unit]=Cylinders[[#This Row],[Unit Name]]) * (Sequence[Dep. ID]&gt;Cylinders[[#This Row],[3rd Motion]]), 0)), "")</f>
        <v/>
      </c>
      <c r="O31" s="242" t="str" cm="1">
        <f t="array" aca="1" ref="O31" ca="1">IFERROR(
  INDEX(Sequence[Dep. ID],
  MATCH(1, (Sequence[Actor Type]="CylinderUnits") * (Sequence[Row Type]&lt;&gt;"Start Conditions") *  (Sequence[Actor/Unit]=Cylinders[[#This Row],[Unit Name]]) * (Sequence[Dep. ID]&gt;Cylinders[[#This Row],[4th Motion]]), 0)), "")</f>
        <v/>
      </c>
      <c r="P31" s="242" t="str" cm="1">
        <f t="array" aca="1" ref="P31" ca="1">IFERROR(
  INDEX(Sequence[Dep. ID],
  MATCH(1, (Sequence[Actor Type]="CylinderUnits") * (Sequence[Row Type]&lt;&gt;"Start Conditions") *  (Sequence[Actor/Unit]=Cylinders[[#This Row],[Unit Name]]) * (Sequence[Dep. ID]&gt;Cylinders[[#This Row],[5th Motion]]), 0)), "")</f>
        <v/>
      </c>
      <c r="Q31" s="273"/>
      <c r="R31" s="274"/>
      <c r="S31" s="276"/>
      <c r="T31" s="276"/>
      <c r="U31" s="288"/>
      <c r="V31" s="289"/>
      <c r="W31" s="289"/>
      <c r="X31" s="289"/>
      <c r="Y31" s="289"/>
      <c r="Z31" s="273"/>
      <c r="AA31" s="273"/>
      <c r="AB31" s="274"/>
      <c r="AC31" s="246" t="str">
        <f>IF(AND(Cylinders[[#This Row],[Controls Manifold Name]]&lt;&gt;"",Cylinders[[#This Row],[Controls Valve Name]]&lt;&gt;"",Cylinders[[#This Row],[Unit Name]]&lt;&gt;""),_xlfn.CONCAT(U31,V31),"")</f>
        <v/>
      </c>
      <c r="AD31" s="245" t="str">
        <f>IF(AND(Cylinders[[#This Row],[Controls
Motion 
Group]]&lt;&gt;"",Cylinders[[#This Row],[Controls
Unit 
Name]]&lt;&gt;"",Cylinders[[#This Row],[Unit Name]]&lt;&gt;""),_xlfn.CONCAT(W31,X31),"")</f>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row>
    <row r="32" spans="2:156" ht="18.600000000000001" customHeight="1">
      <c r="E32" s="272"/>
      <c r="F32" s="273"/>
      <c r="G32" s="276"/>
      <c r="H32" s="276"/>
      <c r="I32" s="276"/>
      <c r="J32" s="277"/>
      <c r="K32" s="242" t="str" cm="1">
        <f t="array" ref="K32">IFERROR(
INDEX(Sequence[Dep. ID],
MATCH(1, (Sequence[Actor Type]="CylinderUnits") * (Sequence[Row Type]&lt;&gt;"Start Conditions") * (Sequence[Actor/Unit]=Cylinders[[#This Row],[Unit Name]]), 0)), "")</f>
        <v/>
      </c>
      <c r="L32" s="242" t="str" cm="1">
        <f t="array" aca="1" ref="L32" ca="1">IFERROR(
  INDEX(Sequence[Dep. ID],
  MATCH(1, (Sequence[Actor Type]="CylinderUnits") * (Sequence[Row Type]&lt;&gt;"Start Conditions") *  (Sequence[Actor/Unit]=Cylinders[[#This Row],[Unit Name]]) * (Sequence[Dep. ID]&gt;Cylinders[[#This Row],[1st Motion]]), 0)), "")</f>
        <v/>
      </c>
      <c r="M32" s="242" t="str" cm="1">
        <f t="array" aca="1" ref="M32" ca="1">IFERROR(
  INDEX(Sequence[Dep. ID],
  MATCH(1, (Sequence[Actor Type]="CylinderUnits") * (Sequence[Row Type]&lt;&gt;"Start Conditions") *  (Sequence[Actor/Unit]=Cylinders[[#This Row],[Unit Name]]) * (Sequence[Dep. ID]&gt;Cylinders[[#This Row],[2nd Motion]]), 0)), "")</f>
        <v/>
      </c>
      <c r="N32" s="242" t="str" cm="1">
        <f t="array" aca="1" ref="N32" ca="1">IFERROR(
  INDEX(Sequence[Dep. ID],
  MATCH(1, (Sequence[Actor Type]="CylinderUnits") * (Sequence[Row Type]&lt;&gt;"Start Conditions") *  (Sequence[Actor/Unit]=Cylinders[[#This Row],[Unit Name]]) * (Sequence[Dep. ID]&gt;Cylinders[[#This Row],[3rd Motion]]), 0)), "")</f>
        <v/>
      </c>
      <c r="O32" s="242" t="str" cm="1">
        <f t="array" aca="1" ref="O32" ca="1">IFERROR(
  INDEX(Sequence[Dep. ID],
  MATCH(1, (Sequence[Actor Type]="CylinderUnits") * (Sequence[Row Type]&lt;&gt;"Start Conditions") *  (Sequence[Actor/Unit]=Cylinders[[#This Row],[Unit Name]]) * (Sequence[Dep. ID]&gt;Cylinders[[#This Row],[4th Motion]]), 0)), "")</f>
        <v/>
      </c>
      <c r="P32" s="242" t="str" cm="1">
        <f t="array" aca="1" ref="P32" ca="1">IFERROR(
  INDEX(Sequence[Dep. ID],
  MATCH(1, (Sequence[Actor Type]="CylinderUnits") * (Sequence[Row Type]&lt;&gt;"Start Conditions") *  (Sequence[Actor/Unit]=Cylinders[[#This Row],[Unit Name]]) * (Sequence[Dep. ID]&gt;Cylinders[[#This Row],[5th Motion]]), 0)), "")</f>
        <v/>
      </c>
      <c r="Q32" s="273"/>
      <c r="R32" s="274"/>
      <c r="S32" s="276"/>
      <c r="T32" s="276"/>
      <c r="U32" s="288"/>
      <c r="V32" s="289"/>
      <c r="W32" s="289"/>
      <c r="X32" s="289"/>
      <c r="Y32" s="289"/>
      <c r="Z32" s="273"/>
      <c r="AA32" s="273"/>
      <c r="AB32" s="274"/>
      <c r="AC32" s="246" t="str">
        <f>IF(AND(Cylinders[[#This Row],[Controls Manifold Name]]&lt;&gt;"",Cylinders[[#This Row],[Controls Valve Name]]&lt;&gt;"",Cylinders[[#This Row],[Unit Name]]&lt;&gt;""),_xlfn.CONCAT(U32,V32),"")</f>
        <v/>
      </c>
      <c r="AD32" s="245" t="str">
        <f>IF(AND(Cylinders[[#This Row],[Controls
Motion 
Group]]&lt;&gt;"",Cylinders[[#This Row],[Controls
Unit 
Name]]&lt;&gt;"",Cylinders[[#This Row],[Unit Name]]&lt;&gt;""),_xlfn.CONCAT(W32,X32),"")</f>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row>
    <row r="33" spans="5:156" ht="18.600000000000001" customHeight="1">
      <c r="E33" s="272"/>
      <c r="F33" s="273"/>
      <c r="G33" s="276"/>
      <c r="H33" s="276"/>
      <c r="I33" s="276"/>
      <c r="J33" s="277"/>
      <c r="K33" s="242" t="str" cm="1">
        <f t="array" ref="K33">IFERROR(
INDEX(Sequence[Dep. ID],
MATCH(1, (Sequence[Actor Type]="CylinderUnits") * (Sequence[Row Type]&lt;&gt;"Start Conditions") * (Sequence[Actor/Unit]=Cylinders[[#This Row],[Unit Name]]), 0)), "")</f>
        <v/>
      </c>
      <c r="L33" s="242" t="str" cm="1">
        <f t="array" aca="1" ref="L33" ca="1">IFERROR(
  INDEX(Sequence[Dep. ID],
  MATCH(1, (Sequence[Actor Type]="CylinderUnits") * (Sequence[Row Type]&lt;&gt;"Start Conditions") *  (Sequence[Actor/Unit]=Cylinders[[#This Row],[Unit Name]]) * (Sequence[Dep. ID]&gt;Cylinders[[#This Row],[1st Motion]]), 0)), "")</f>
        <v/>
      </c>
      <c r="M33" s="242" t="str" cm="1">
        <f t="array" aca="1" ref="M33" ca="1">IFERROR(
  INDEX(Sequence[Dep. ID],
  MATCH(1, (Sequence[Actor Type]="CylinderUnits") * (Sequence[Row Type]&lt;&gt;"Start Conditions") *  (Sequence[Actor/Unit]=Cylinders[[#This Row],[Unit Name]]) * (Sequence[Dep. ID]&gt;Cylinders[[#This Row],[2nd Motion]]), 0)), "")</f>
        <v/>
      </c>
      <c r="N33" s="242" t="str" cm="1">
        <f t="array" aca="1" ref="N33" ca="1">IFERROR(
  INDEX(Sequence[Dep. ID],
  MATCH(1, (Sequence[Actor Type]="CylinderUnits") * (Sequence[Row Type]&lt;&gt;"Start Conditions") *  (Sequence[Actor/Unit]=Cylinders[[#This Row],[Unit Name]]) * (Sequence[Dep. ID]&gt;Cylinders[[#This Row],[3rd Motion]]), 0)), "")</f>
        <v/>
      </c>
      <c r="O33" s="242" t="str" cm="1">
        <f t="array" aca="1" ref="O33" ca="1">IFERROR(
  INDEX(Sequence[Dep. ID],
  MATCH(1, (Sequence[Actor Type]="CylinderUnits") * (Sequence[Row Type]&lt;&gt;"Start Conditions") *  (Sequence[Actor/Unit]=Cylinders[[#This Row],[Unit Name]]) * (Sequence[Dep. ID]&gt;Cylinders[[#This Row],[4th Motion]]), 0)), "")</f>
        <v/>
      </c>
      <c r="P33" s="242" t="str" cm="1">
        <f t="array" aca="1" ref="P33" ca="1">IFERROR(
  INDEX(Sequence[Dep. ID],
  MATCH(1, (Sequence[Actor Type]="CylinderUnits") * (Sequence[Row Type]&lt;&gt;"Start Conditions") *  (Sequence[Actor/Unit]=Cylinders[[#This Row],[Unit Name]]) * (Sequence[Dep. ID]&gt;Cylinders[[#This Row],[5th Motion]]), 0)), "")</f>
        <v/>
      </c>
      <c r="Q33" s="273"/>
      <c r="R33" s="274"/>
      <c r="S33" s="276"/>
      <c r="T33" s="276"/>
      <c r="U33" s="288"/>
      <c r="V33" s="289"/>
      <c r="W33" s="289"/>
      <c r="X33" s="289"/>
      <c r="Y33" s="289"/>
      <c r="Z33" s="273"/>
      <c r="AA33" s="273"/>
      <c r="AB33" s="274"/>
      <c r="AC33" s="246" t="str">
        <f>IF(AND(Cylinders[[#This Row],[Controls Manifold Name]]&lt;&gt;"",Cylinders[[#This Row],[Controls Valve Name]]&lt;&gt;"",Cylinders[[#This Row],[Unit Name]]&lt;&gt;""),_xlfn.CONCAT(U33,V33),"")</f>
        <v/>
      </c>
      <c r="AD33" s="245" t="str">
        <f>IF(AND(Cylinders[[#This Row],[Controls
Motion 
Group]]&lt;&gt;"",Cylinders[[#This Row],[Controls
Unit 
Name]]&lt;&gt;"",Cylinders[[#This Row],[Unit Name]]&lt;&gt;""),_xlfn.CONCAT(W33,X33),"")</f>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row>
    <row r="34" spans="5:156" ht="18.600000000000001" customHeight="1">
      <c r="E34" s="272"/>
      <c r="F34" s="278"/>
      <c r="G34" s="279"/>
      <c r="H34" s="280"/>
      <c r="I34" s="280"/>
      <c r="J34" s="281"/>
      <c r="K34" s="243" t="str" cm="1">
        <f t="array" ref="K34">IFERROR(
INDEX(Sequence[Dep. ID],
MATCH(1, (Sequence[Actor Type]="CylinderUnits") * (Sequence[Row Type]&lt;&gt;"Start Conditions") * (Sequence[Actor/Unit]=Cylinders[[#This Row],[Unit Name]]), 0)), "")</f>
        <v/>
      </c>
      <c r="L34" s="243" t="str" cm="1">
        <f t="array" aca="1" ref="L34" ca="1">IFERROR(
  INDEX(Sequence[Dep. ID],
  MATCH(1, (Sequence[Actor Type]="CylinderUnits") * (Sequence[Row Type]&lt;&gt;"Start Conditions") *  (Sequence[Actor/Unit]=Cylinders[[#This Row],[Unit Name]]) * (Sequence[Dep. ID]&gt;Cylinders[[#This Row],[1st Motion]]), 0)), "")</f>
        <v/>
      </c>
      <c r="M34" s="243" t="str" cm="1">
        <f t="array" aca="1" ref="M34" ca="1">IFERROR(
  INDEX(Sequence[Dep. ID],
  MATCH(1, (Sequence[Actor Type]="CylinderUnits") * (Sequence[Row Type]&lt;&gt;"Start Conditions") *  (Sequence[Actor/Unit]=Cylinders[[#This Row],[Unit Name]]) * (Sequence[Dep. ID]&gt;Cylinders[[#This Row],[2nd Motion]]), 0)), "")</f>
        <v/>
      </c>
      <c r="N34" s="243" t="str" cm="1">
        <f t="array" aca="1" ref="N34" ca="1">IFERROR(
  INDEX(Sequence[Dep. ID],
  MATCH(1, (Sequence[Actor Type]="CylinderUnits") * (Sequence[Row Type]&lt;&gt;"Start Conditions") *  (Sequence[Actor/Unit]=Cylinders[[#This Row],[Unit Name]]) * (Sequence[Dep. ID]&gt;Cylinders[[#This Row],[3rd Motion]]), 0)), "")</f>
        <v/>
      </c>
      <c r="O34" s="243" t="str" cm="1">
        <f t="array" aca="1" ref="O34" ca="1">IFERROR(
  INDEX(Sequence[Dep. ID],
  MATCH(1, (Sequence[Actor Type]="CylinderUnits") * (Sequence[Row Type]&lt;&gt;"Start Conditions") *  (Sequence[Actor/Unit]=Cylinders[[#This Row],[Unit Name]]) * (Sequence[Dep. ID]&gt;Cylinders[[#This Row],[4th Motion]]), 0)), "")</f>
        <v/>
      </c>
      <c r="P34" s="243" t="str" cm="1">
        <f t="array" aca="1" ref="P34" ca="1">IFERROR(
  INDEX(Sequence[Dep. ID],
  MATCH(1, (Sequence[Actor Type]="CylinderUnits") * (Sequence[Row Type]&lt;&gt;"Start Conditions") *  (Sequence[Actor/Unit]=Cylinders[[#This Row],[Unit Name]]) * (Sequence[Dep. ID]&gt;Cylinders[[#This Row],[5th Motion]]), 0)), "")</f>
        <v/>
      </c>
      <c r="Q34" s="278"/>
      <c r="R34" s="282"/>
      <c r="S34" s="280"/>
      <c r="T34" s="280"/>
      <c r="U34" s="291"/>
      <c r="V34" s="280"/>
      <c r="W34" s="280"/>
      <c r="X34" s="280"/>
      <c r="Y34" s="289"/>
      <c r="Z34" s="278"/>
      <c r="AA34" s="278"/>
      <c r="AB34" s="274"/>
      <c r="AC34" s="247" t="str">
        <f>IF(AND(Cylinders[[#This Row],[Controls Manifold Name]]&lt;&gt;"",Cylinders[[#This Row],[Controls Valve Name]]&lt;&gt;"",Cylinders[[#This Row],[Unit Name]]&lt;&gt;""),_xlfn.CONCAT(U34,V34),"")</f>
        <v/>
      </c>
      <c r="AD34" s="245" t="str">
        <f>IF(AND(Cylinders[[#This Row],[Controls
Motion 
Group]]&lt;&gt;"",Cylinders[[#This Row],[Controls
Unit 
Name]]&lt;&gt;"",Cylinders[[#This Row],[Unit Name]]&lt;&gt;""),_xlfn.CONCAT(W34,X34),"")</f>
        <v/>
      </c>
    </row>
    <row r="35" spans="5:156" ht="18.600000000000001" customHeight="1">
      <c r="E35" s="272"/>
      <c r="F35" s="278"/>
      <c r="G35" s="279"/>
      <c r="H35" s="280"/>
      <c r="I35" s="280"/>
      <c r="J35" s="281"/>
      <c r="K35" s="243" t="str" cm="1">
        <f t="array" ref="K35">IFERROR(
INDEX(Sequence[Dep. ID],
MATCH(1, (Sequence[Actor Type]="CylinderUnits") * (Sequence[Row Type]&lt;&gt;"Start Conditions") * (Sequence[Actor/Unit]=Cylinders[[#This Row],[Unit Name]]), 0)), "")</f>
        <v/>
      </c>
      <c r="L35" s="243" t="str" cm="1">
        <f t="array" aca="1" ref="L35" ca="1">IFERROR(
  INDEX(Sequence[Dep. ID],
  MATCH(1, (Sequence[Actor Type]="CylinderUnits") * (Sequence[Row Type]&lt;&gt;"Start Conditions") *  (Sequence[Actor/Unit]=Cylinders[[#This Row],[Unit Name]]) * (Sequence[Dep. ID]&gt;Cylinders[[#This Row],[1st Motion]]), 0)), "")</f>
        <v/>
      </c>
      <c r="M35" s="243" t="str" cm="1">
        <f t="array" aca="1" ref="M35" ca="1">IFERROR(
  INDEX(Sequence[Dep. ID],
  MATCH(1, (Sequence[Actor Type]="CylinderUnits") * (Sequence[Row Type]&lt;&gt;"Start Conditions") *  (Sequence[Actor/Unit]=Cylinders[[#This Row],[Unit Name]]) * (Sequence[Dep. ID]&gt;Cylinders[[#This Row],[2nd Motion]]), 0)), "")</f>
        <v/>
      </c>
      <c r="N35" s="243" t="str" cm="1">
        <f t="array" aca="1" ref="N35" ca="1">IFERROR(
  INDEX(Sequence[Dep. ID],
  MATCH(1, (Sequence[Actor Type]="CylinderUnits") * (Sequence[Row Type]&lt;&gt;"Start Conditions") *  (Sequence[Actor/Unit]=Cylinders[[#This Row],[Unit Name]]) * (Sequence[Dep. ID]&gt;Cylinders[[#This Row],[3rd Motion]]), 0)), "")</f>
        <v/>
      </c>
      <c r="O35" s="243" t="str" cm="1">
        <f t="array" aca="1" ref="O35" ca="1">IFERROR(
  INDEX(Sequence[Dep. ID],
  MATCH(1, (Sequence[Actor Type]="CylinderUnits") * (Sequence[Row Type]&lt;&gt;"Start Conditions") *  (Sequence[Actor/Unit]=Cylinders[[#This Row],[Unit Name]]) * (Sequence[Dep. ID]&gt;Cylinders[[#This Row],[4th Motion]]), 0)), "")</f>
        <v/>
      </c>
      <c r="P35" s="243" t="str" cm="1">
        <f t="array" aca="1" ref="P35" ca="1">IFERROR(
  INDEX(Sequence[Dep. ID],
  MATCH(1, (Sequence[Actor Type]="CylinderUnits") * (Sequence[Row Type]&lt;&gt;"Start Conditions") *  (Sequence[Actor/Unit]=Cylinders[[#This Row],[Unit Name]]) * (Sequence[Dep. ID]&gt;Cylinders[[#This Row],[5th Motion]]), 0)), "")</f>
        <v/>
      </c>
      <c r="Q35" s="278"/>
      <c r="R35" s="282"/>
      <c r="S35" s="280"/>
      <c r="T35" s="280"/>
      <c r="U35" s="291"/>
      <c r="V35" s="280"/>
      <c r="W35" s="280"/>
      <c r="X35" s="280"/>
      <c r="Y35" s="289"/>
      <c r="Z35" s="278"/>
      <c r="AA35" s="278"/>
      <c r="AB35" s="274"/>
      <c r="AC35" s="247" t="str">
        <f>IF(AND(Cylinders[[#This Row],[Controls Manifold Name]]&lt;&gt;"",Cylinders[[#This Row],[Controls Valve Name]]&lt;&gt;"",Cylinders[[#This Row],[Unit Name]]&lt;&gt;""),_xlfn.CONCAT(U35,V35),"")</f>
        <v/>
      </c>
      <c r="AD35" s="245" t="str">
        <f>IF(AND(Cylinders[[#This Row],[Controls
Motion 
Group]]&lt;&gt;"",Cylinders[[#This Row],[Controls
Unit 
Name]]&lt;&gt;"",Cylinders[[#This Row],[Unit Name]]&lt;&gt;""),_xlfn.CONCAT(W35,X35),"")</f>
        <v/>
      </c>
    </row>
    <row r="36" spans="5:156" ht="18.600000000000001" customHeight="1">
      <c r="E36" s="272"/>
      <c r="F36" s="278"/>
      <c r="G36" s="279"/>
      <c r="H36" s="280"/>
      <c r="I36" s="280"/>
      <c r="J36" s="281"/>
      <c r="K36" s="243" t="str" cm="1">
        <f t="array" ref="K36">IFERROR(
INDEX(Sequence[Dep. ID],
MATCH(1, (Sequence[Actor Type]="CylinderUnits") * (Sequence[Row Type]&lt;&gt;"Start Conditions") * (Sequence[Actor/Unit]=Cylinders[[#This Row],[Unit Name]]), 0)), "")</f>
        <v/>
      </c>
      <c r="L36" s="243" t="str" cm="1">
        <f t="array" aca="1" ref="L36" ca="1">IFERROR(
  INDEX(Sequence[Dep. ID],
  MATCH(1, (Sequence[Actor Type]="CylinderUnits") * (Sequence[Row Type]&lt;&gt;"Start Conditions") *  (Sequence[Actor/Unit]=Cylinders[[#This Row],[Unit Name]]) * (Sequence[Dep. ID]&gt;Cylinders[[#This Row],[1st Motion]]), 0)), "")</f>
        <v/>
      </c>
      <c r="M36" s="243" t="str" cm="1">
        <f t="array" aca="1" ref="M36" ca="1">IFERROR(
  INDEX(Sequence[Dep. ID],
  MATCH(1, (Sequence[Actor Type]="CylinderUnits") * (Sequence[Row Type]&lt;&gt;"Start Conditions") *  (Sequence[Actor/Unit]=Cylinders[[#This Row],[Unit Name]]) * (Sequence[Dep. ID]&gt;Cylinders[[#This Row],[2nd Motion]]), 0)), "")</f>
        <v/>
      </c>
      <c r="N36" s="243" t="str" cm="1">
        <f t="array" aca="1" ref="N36" ca="1">IFERROR(
  INDEX(Sequence[Dep. ID],
  MATCH(1, (Sequence[Actor Type]="CylinderUnits") * (Sequence[Row Type]&lt;&gt;"Start Conditions") *  (Sequence[Actor/Unit]=Cylinders[[#This Row],[Unit Name]]) * (Sequence[Dep. ID]&gt;Cylinders[[#This Row],[3rd Motion]]), 0)), "")</f>
        <v/>
      </c>
      <c r="O36" s="243" t="str" cm="1">
        <f t="array" aca="1" ref="O36" ca="1">IFERROR(
  INDEX(Sequence[Dep. ID],
  MATCH(1, (Sequence[Actor Type]="CylinderUnits") * (Sequence[Row Type]&lt;&gt;"Start Conditions") *  (Sequence[Actor/Unit]=Cylinders[[#This Row],[Unit Name]]) * (Sequence[Dep. ID]&gt;Cylinders[[#This Row],[4th Motion]]), 0)), "")</f>
        <v/>
      </c>
      <c r="P36" s="243" t="str" cm="1">
        <f t="array" aca="1" ref="P36" ca="1">IFERROR(
  INDEX(Sequence[Dep. ID],
  MATCH(1, (Sequence[Actor Type]="CylinderUnits") * (Sequence[Row Type]&lt;&gt;"Start Conditions") *  (Sequence[Actor/Unit]=Cylinders[[#This Row],[Unit Name]]) * (Sequence[Dep. ID]&gt;Cylinders[[#This Row],[5th Motion]]), 0)), "")</f>
        <v/>
      </c>
      <c r="Q36" s="278"/>
      <c r="R36" s="282"/>
      <c r="S36" s="280"/>
      <c r="T36" s="280"/>
      <c r="U36" s="291"/>
      <c r="V36" s="280"/>
      <c r="W36" s="280"/>
      <c r="X36" s="280"/>
      <c r="Y36" s="289"/>
      <c r="Z36" s="278"/>
      <c r="AA36" s="278"/>
      <c r="AB36" s="274"/>
      <c r="AC36" s="247" t="str">
        <f>IF(AND(Cylinders[[#This Row],[Controls Manifold Name]]&lt;&gt;"",Cylinders[[#This Row],[Controls Valve Name]]&lt;&gt;"",Cylinders[[#This Row],[Unit Name]]&lt;&gt;""),_xlfn.CONCAT(U36,V36),"")</f>
        <v/>
      </c>
      <c r="AD36" s="245" t="str">
        <f>IF(AND(Cylinders[[#This Row],[Controls
Motion 
Group]]&lt;&gt;"",Cylinders[[#This Row],[Controls
Unit 
Name]]&lt;&gt;"",Cylinders[[#This Row],[Unit Name]]&lt;&gt;""),_xlfn.CONCAT(W36,X36),"")</f>
        <v/>
      </c>
    </row>
    <row r="37" spans="5:156" ht="18.600000000000001" customHeight="1">
      <c r="E37" s="272"/>
      <c r="F37" s="278"/>
      <c r="G37" s="279"/>
      <c r="H37" s="280"/>
      <c r="I37" s="280"/>
      <c r="J37" s="281"/>
      <c r="K37" s="243" t="str" cm="1">
        <f t="array" ref="K37">IFERROR(
INDEX(Sequence[Dep. ID],
MATCH(1, (Sequence[Actor Type]="CylinderUnits") * (Sequence[Row Type]&lt;&gt;"Start Conditions") * (Sequence[Actor/Unit]=Cylinders[[#This Row],[Unit Name]]), 0)), "")</f>
        <v/>
      </c>
      <c r="L37" s="243" t="str" cm="1">
        <f t="array" aca="1" ref="L37" ca="1">IFERROR(
  INDEX(Sequence[Dep. ID],
  MATCH(1, (Sequence[Actor Type]="CylinderUnits") * (Sequence[Row Type]&lt;&gt;"Start Conditions") *  (Sequence[Actor/Unit]=Cylinders[[#This Row],[Unit Name]]) * (Sequence[Dep. ID]&gt;Cylinders[[#This Row],[1st Motion]]), 0)), "")</f>
        <v/>
      </c>
      <c r="M37" s="243" t="str" cm="1">
        <f t="array" aca="1" ref="M37" ca="1">IFERROR(
  INDEX(Sequence[Dep. ID],
  MATCH(1, (Sequence[Actor Type]="CylinderUnits") * (Sequence[Row Type]&lt;&gt;"Start Conditions") *  (Sequence[Actor/Unit]=Cylinders[[#This Row],[Unit Name]]) * (Sequence[Dep. ID]&gt;Cylinders[[#This Row],[2nd Motion]]), 0)), "")</f>
        <v/>
      </c>
      <c r="N37" s="243" t="str" cm="1">
        <f t="array" aca="1" ref="N37" ca="1">IFERROR(
  INDEX(Sequence[Dep. ID],
  MATCH(1, (Sequence[Actor Type]="CylinderUnits") * (Sequence[Row Type]&lt;&gt;"Start Conditions") *  (Sequence[Actor/Unit]=Cylinders[[#This Row],[Unit Name]]) * (Sequence[Dep. ID]&gt;Cylinders[[#This Row],[3rd Motion]]), 0)), "")</f>
        <v/>
      </c>
      <c r="O37" s="243" t="str" cm="1">
        <f t="array" aca="1" ref="O37" ca="1">IFERROR(
  INDEX(Sequence[Dep. ID],
  MATCH(1, (Sequence[Actor Type]="CylinderUnits") * (Sequence[Row Type]&lt;&gt;"Start Conditions") *  (Sequence[Actor/Unit]=Cylinders[[#This Row],[Unit Name]]) * (Sequence[Dep. ID]&gt;Cylinders[[#This Row],[4th Motion]]), 0)), "")</f>
        <v/>
      </c>
      <c r="P37" s="243" t="str" cm="1">
        <f t="array" aca="1" ref="P37" ca="1">IFERROR(
  INDEX(Sequence[Dep. ID],
  MATCH(1, (Sequence[Actor Type]="CylinderUnits") * (Sequence[Row Type]&lt;&gt;"Start Conditions") *  (Sequence[Actor/Unit]=Cylinders[[#This Row],[Unit Name]]) * (Sequence[Dep. ID]&gt;Cylinders[[#This Row],[5th Motion]]), 0)), "")</f>
        <v/>
      </c>
      <c r="Q37" s="278"/>
      <c r="R37" s="282"/>
      <c r="S37" s="280"/>
      <c r="T37" s="280"/>
      <c r="U37" s="291"/>
      <c r="V37" s="280"/>
      <c r="W37" s="280"/>
      <c r="X37" s="280"/>
      <c r="Y37" s="289"/>
      <c r="Z37" s="278"/>
      <c r="AA37" s="278"/>
      <c r="AB37" s="274"/>
      <c r="AC37" s="247" t="str">
        <f>IF(AND(Cylinders[[#This Row],[Controls Manifold Name]]&lt;&gt;"",Cylinders[[#This Row],[Controls Valve Name]]&lt;&gt;"",Cylinders[[#This Row],[Unit Name]]&lt;&gt;""),_xlfn.CONCAT(U37,V37),"")</f>
        <v/>
      </c>
      <c r="AD37" s="245" t="str">
        <f>IF(AND(Cylinders[[#This Row],[Controls
Motion 
Group]]&lt;&gt;"",Cylinders[[#This Row],[Controls
Unit 
Name]]&lt;&gt;"",Cylinders[[#This Row],[Unit Name]]&lt;&gt;""),_xlfn.CONCAT(W37,X37),"")</f>
        <v/>
      </c>
    </row>
    <row r="38" spans="5:156" ht="18.600000000000001" customHeight="1">
      <c r="E38" s="272"/>
      <c r="F38" s="278"/>
      <c r="G38" s="279"/>
      <c r="H38" s="280"/>
      <c r="I38" s="280"/>
      <c r="J38" s="281"/>
      <c r="K38" s="243" t="str" cm="1">
        <f t="array" ref="K38">IFERROR(
INDEX(Sequence[Dep. ID],
MATCH(1, (Sequence[Actor Type]="CylinderUnits") * (Sequence[Row Type]&lt;&gt;"Start Conditions") * (Sequence[Actor/Unit]=Cylinders[[#This Row],[Unit Name]]), 0)), "")</f>
        <v/>
      </c>
      <c r="L38" s="243" t="str" cm="1">
        <f t="array" aca="1" ref="L38" ca="1">IFERROR(
  INDEX(Sequence[Dep. ID],
  MATCH(1, (Sequence[Actor Type]="CylinderUnits") * (Sequence[Row Type]&lt;&gt;"Start Conditions") *  (Sequence[Actor/Unit]=Cylinders[[#This Row],[Unit Name]]) * (Sequence[Dep. ID]&gt;Cylinders[[#This Row],[1st Motion]]), 0)), "")</f>
        <v/>
      </c>
      <c r="M38" s="243" t="str" cm="1">
        <f t="array" aca="1" ref="M38" ca="1">IFERROR(
  INDEX(Sequence[Dep. ID],
  MATCH(1, (Sequence[Actor Type]="CylinderUnits") * (Sequence[Row Type]&lt;&gt;"Start Conditions") *  (Sequence[Actor/Unit]=Cylinders[[#This Row],[Unit Name]]) * (Sequence[Dep. ID]&gt;Cylinders[[#This Row],[2nd Motion]]), 0)), "")</f>
        <v/>
      </c>
      <c r="N38" s="243" t="str" cm="1">
        <f t="array" aca="1" ref="N38" ca="1">IFERROR(
  INDEX(Sequence[Dep. ID],
  MATCH(1, (Sequence[Actor Type]="CylinderUnits") * (Sequence[Row Type]&lt;&gt;"Start Conditions") *  (Sequence[Actor/Unit]=Cylinders[[#This Row],[Unit Name]]) * (Sequence[Dep. ID]&gt;Cylinders[[#This Row],[3rd Motion]]), 0)), "")</f>
        <v/>
      </c>
      <c r="O38" s="243" t="str" cm="1">
        <f t="array" aca="1" ref="O38" ca="1">IFERROR(
  INDEX(Sequence[Dep. ID],
  MATCH(1, (Sequence[Actor Type]="CylinderUnits") * (Sequence[Row Type]&lt;&gt;"Start Conditions") *  (Sequence[Actor/Unit]=Cylinders[[#This Row],[Unit Name]]) * (Sequence[Dep. ID]&gt;Cylinders[[#This Row],[4th Motion]]), 0)), "")</f>
        <v/>
      </c>
      <c r="P38" s="243" t="str" cm="1">
        <f t="array" aca="1" ref="P38" ca="1">IFERROR(
  INDEX(Sequence[Dep. ID],
  MATCH(1, (Sequence[Actor Type]="CylinderUnits") * (Sequence[Row Type]&lt;&gt;"Start Conditions") *  (Sequence[Actor/Unit]=Cylinders[[#This Row],[Unit Name]]) * (Sequence[Dep. ID]&gt;Cylinders[[#This Row],[5th Motion]]), 0)), "")</f>
        <v/>
      </c>
      <c r="Q38" s="278"/>
      <c r="R38" s="282"/>
      <c r="S38" s="280"/>
      <c r="T38" s="280"/>
      <c r="U38" s="291"/>
      <c r="V38" s="280"/>
      <c r="W38" s="280"/>
      <c r="X38" s="280"/>
      <c r="Y38" s="289"/>
      <c r="Z38" s="278"/>
      <c r="AA38" s="278"/>
      <c r="AB38" s="274"/>
      <c r="AC38" s="247" t="str">
        <f>IF(AND(Cylinders[[#This Row],[Controls Manifold Name]]&lt;&gt;"",Cylinders[[#This Row],[Controls Valve Name]]&lt;&gt;"",Cylinders[[#This Row],[Unit Name]]&lt;&gt;""),_xlfn.CONCAT(U38,V38),"")</f>
        <v/>
      </c>
      <c r="AD38" s="245" t="str">
        <f>IF(AND(Cylinders[[#This Row],[Controls
Motion 
Group]]&lt;&gt;"",Cylinders[[#This Row],[Controls
Unit 
Name]]&lt;&gt;"",Cylinders[[#This Row],[Unit Name]]&lt;&gt;""),_xlfn.CONCAT(W38,X38),"")</f>
        <v/>
      </c>
    </row>
    <row r="39" spans="5:156" ht="18.600000000000001" customHeight="1">
      <c r="E39" s="272"/>
      <c r="F39" s="278"/>
      <c r="G39" s="279"/>
      <c r="H39" s="280"/>
      <c r="I39" s="280"/>
      <c r="J39" s="281"/>
      <c r="K39" s="243" t="str" cm="1">
        <f t="array" ref="K39">IFERROR(
INDEX(Sequence[Dep. ID],
MATCH(1, (Sequence[Actor Type]="CylinderUnits") * (Sequence[Row Type]&lt;&gt;"Start Conditions") * (Sequence[Actor/Unit]=Cylinders[[#This Row],[Unit Name]]), 0)), "")</f>
        <v/>
      </c>
      <c r="L39" s="243" t="str" cm="1">
        <f t="array" aca="1" ref="L39" ca="1">IFERROR(
  INDEX(Sequence[Dep. ID],
  MATCH(1, (Sequence[Actor Type]="CylinderUnits") * (Sequence[Row Type]&lt;&gt;"Start Conditions") *  (Sequence[Actor/Unit]=Cylinders[[#This Row],[Unit Name]]) * (Sequence[Dep. ID]&gt;Cylinders[[#This Row],[1st Motion]]), 0)), "")</f>
        <v/>
      </c>
      <c r="M39" s="243" t="str" cm="1">
        <f t="array" aca="1" ref="M39" ca="1">IFERROR(
  INDEX(Sequence[Dep. ID],
  MATCH(1, (Sequence[Actor Type]="CylinderUnits") * (Sequence[Row Type]&lt;&gt;"Start Conditions") *  (Sequence[Actor/Unit]=Cylinders[[#This Row],[Unit Name]]) * (Sequence[Dep. ID]&gt;Cylinders[[#This Row],[2nd Motion]]), 0)), "")</f>
        <v/>
      </c>
      <c r="N39" s="243" t="str" cm="1">
        <f t="array" aca="1" ref="N39" ca="1">IFERROR(
  INDEX(Sequence[Dep. ID],
  MATCH(1, (Sequence[Actor Type]="CylinderUnits") * (Sequence[Row Type]&lt;&gt;"Start Conditions") *  (Sequence[Actor/Unit]=Cylinders[[#This Row],[Unit Name]]) * (Sequence[Dep. ID]&gt;Cylinders[[#This Row],[3rd Motion]]), 0)), "")</f>
        <v/>
      </c>
      <c r="O39" s="243" t="str" cm="1">
        <f t="array" aca="1" ref="O39" ca="1">IFERROR(
  INDEX(Sequence[Dep. ID],
  MATCH(1, (Sequence[Actor Type]="CylinderUnits") * (Sequence[Row Type]&lt;&gt;"Start Conditions") *  (Sequence[Actor/Unit]=Cylinders[[#This Row],[Unit Name]]) * (Sequence[Dep. ID]&gt;Cylinders[[#This Row],[4th Motion]]), 0)), "")</f>
        <v/>
      </c>
      <c r="P39" s="243" t="str" cm="1">
        <f t="array" aca="1" ref="P39" ca="1">IFERROR(
  INDEX(Sequence[Dep. ID],
  MATCH(1, (Sequence[Actor Type]="CylinderUnits") * (Sequence[Row Type]&lt;&gt;"Start Conditions") *  (Sequence[Actor/Unit]=Cylinders[[#This Row],[Unit Name]]) * (Sequence[Dep. ID]&gt;Cylinders[[#This Row],[5th Motion]]), 0)), "")</f>
        <v/>
      </c>
      <c r="Q39" s="278"/>
      <c r="R39" s="282"/>
      <c r="S39" s="280"/>
      <c r="T39" s="280"/>
      <c r="U39" s="291"/>
      <c r="V39" s="280"/>
      <c r="W39" s="280"/>
      <c r="X39" s="280"/>
      <c r="Y39" s="289"/>
      <c r="Z39" s="278"/>
      <c r="AA39" s="278"/>
      <c r="AB39" s="274"/>
      <c r="AC39" s="247" t="str">
        <f>IF(AND(Cylinders[[#This Row],[Controls Manifold Name]]&lt;&gt;"",Cylinders[[#This Row],[Controls Valve Name]]&lt;&gt;"",Cylinders[[#This Row],[Unit Name]]&lt;&gt;""),_xlfn.CONCAT(U39,V39),"")</f>
        <v/>
      </c>
      <c r="AD39" s="245" t="str">
        <f>IF(AND(Cylinders[[#This Row],[Controls
Motion 
Group]]&lt;&gt;"",Cylinders[[#This Row],[Controls
Unit 
Name]]&lt;&gt;"",Cylinders[[#This Row],[Unit Name]]&lt;&gt;""),_xlfn.CONCAT(W39,X39),"")</f>
        <v/>
      </c>
    </row>
    <row r="40" spans="5:156" ht="18.600000000000001" customHeight="1">
      <c r="E40" s="272"/>
      <c r="F40" s="278"/>
      <c r="G40" s="279"/>
      <c r="H40" s="280"/>
      <c r="I40" s="280"/>
      <c r="J40" s="281"/>
      <c r="K40" s="243" t="str" cm="1">
        <f t="array" ref="K40">IFERROR(
INDEX(Sequence[Dep. ID],
MATCH(1, (Sequence[Actor Type]="CylinderUnits") * (Sequence[Row Type]&lt;&gt;"Start Conditions") * (Sequence[Actor/Unit]=Cylinders[[#This Row],[Unit Name]]), 0)), "")</f>
        <v/>
      </c>
      <c r="L40" s="243" t="str" cm="1">
        <f t="array" aca="1" ref="L40" ca="1">IFERROR(
  INDEX(Sequence[Dep. ID],
  MATCH(1, (Sequence[Actor Type]="CylinderUnits") * (Sequence[Row Type]&lt;&gt;"Start Conditions") *  (Sequence[Actor/Unit]=Cylinders[[#This Row],[Unit Name]]) * (Sequence[Dep. ID]&gt;Cylinders[[#This Row],[1st Motion]]), 0)), "")</f>
        <v/>
      </c>
      <c r="M40" s="243" t="str" cm="1">
        <f t="array" aca="1" ref="M40" ca="1">IFERROR(
  INDEX(Sequence[Dep. ID],
  MATCH(1, (Sequence[Actor Type]="CylinderUnits") * (Sequence[Row Type]&lt;&gt;"Start Conditions") *  (Sequence[Actor/Unit]=Cylinders[[#This Row],[Unit Name]]) * (Sequence[Dep. ID]&gt;Cylinders[[#This Row],[2nd Motion]]), 0)), "")</f>
        <v/>
      </c>
      <c r="N40" s="243" t="str" cm="1">
        <f t="array" aca="1" ref="N40" ca="1">IFERROR(
  INDEX(Sequence[Dep. ID],
  MATCH(1, (Sequence[Actor Type]="CylinderUnits") * (Sequence[Row Type]&lt;&gt;"Start Conditions") *  (Sequence[Actor/Unit]=Cylinders[[#This Row],[Unit Name]]) * (Sequence[Dep. ID]&gt;Cylinders[[#This Row],[3rd Motion]]), 0)), "")</f>
        <v/>
      </c>
      <c r="O40" s="243" t="str" cm="1">
        <f t="array" aca="1" ref="O40" ca="1">IFERROR(
  INDEX(Sequence[Dep. ID],
  MATCH(1, (Sequence[Actor Type]="CylinderUnits") * (Sequence[Row Type]&lt;&gt;"Start Conditions") *  (Sequence[Actor/Unit]=Cylinders[[#This Row],[Unit Name]]) * (Sequence[Dep. ID]&gt;Cylinders[[#This Row],[4th Motion]]), 0)), "")</f>
        <v/>
      </c>
      <c r="P40" s="243" t="str" cm="1">
        <f t="array" aca="1" ref="P40" ca="1">IFERROR(
  INDEX(Sequence[Dep. ID],
  MATCH(1, (Sequence[Actor Type]="CylinderUnits") * (Sequence[Row Type]&lt;&gt;"Start Conditions") *  (Sequence[Actor/Unit]=Cylinders[[#This Row],[Unit Name]]) * (Sequence[Dep. ID]&gt;Cylinders[[#This Row],[5th Motion]]), 0)), "")</f>
        <v/>
      </c>
      <c r="Q40" s="278"/>
      <c r="R40" s="282"/>
      <c r="S40" s="280"/>
      <c r="T40" s="280"/>
      <c r="U40" s="291"/>
      <c r="V40" s="280"/>
      <c r="W40" s="280"/>
      <c r="X40" s="280"/>
      <c r="Y40" s="289"/>
      <c r="Z40" s="278"/>
      <c r="AA40" s="278"/>
      <c r="AB40" s="274"/>
      <c r="AC40" s="247" t="str">
        <f>IF(AND(Cylinders[[#This Row],[Controls Manifold Name]]&lt;&gt;"",Cylinders[[#This Row],[Controls Valve Name]]&lt;&gt;"",Cylinders[[#This Row],[Unit Name]]&lt;&gt;""),_xlfn.CONCAT(U40,V40),"")</f>
        <v/>
      </c>
      <c r="AD40" s="245" t="str">
        <f>IF(AND(Cylinders[[#This Row],[Controls
Motion 
Group]]&lt;&gt;"",Cylinders[[#This Row],[Controls
Unit 
Name]]&lt;&gt;"",Cylinders[[#This Row],[Unit Name]]&lt;&gt;""),_xlfn.CONCAT(W40,X40),"")</f>
        <v/>
      </c>
    </row>
    <row r="41" spans="5:156" ht="18.600000000000001" customHeight="1">
      <c r="E41" s="272"/>
      <c r="F41" s="278"/>
      <c r="G41" s="279"/>
      <c r="H41" s="280"/>
      <c r="I41" s="280"/>
      <c r="J41" s="281"/>
      <c r="K41" s="243" t="str" cm="1">
        <f t="array" ref="K41">IFERROR(
INDEX(Sequence[Dep. ID],
MATCH(1, (Sequence[Actor Type]="CylinderUnits") * (Sequence[Row Type]&lt;&gt;"Start Conditions") * (Sequence[Actor/Unit]=Cylinders[[#This Row],[Unit Name]]), 0)), "")</f>
        <v/>
      </c>
      <c r="L41" s="243" t="str" cm="1">
        <f t="array" aca="1" ref="L41" ca="1">IFERROR(
  INDEX(Sequence[Dep. ID],
  MATCH(1, (Sequence[Actor Type]="CylinderUnits") * (Sequence[Row Type]&lt;&gt;"Start Conditions") *  (Sequence[Actor/Unit]=Cylinders[[#This Row],[Unit Name]]) * (Sequence[Dep. ID]&gt;Cylinders[[#This Row],[1st Motion]]), 0)), "")</f>
        <v/>
      </c>
      <c r="M41" s="243" t="str" cm="1">
        <f t="array" aca="1" ref="M41" ca="1">IFERROR(
  INDEX(Sequence[Dep. ID],
  MATCH(1, (Sequence[Actor Type]="CylinderUnits") * (Sequence[Row Type]&lt;&gt;"Start Conditions") *  (Sequence[Actor/Unit]=Cylinders[[#This Row],[Unit Name]]) * (Sequence[Dep. ID]&gt;Cylinders[[#This Row],[2nd Motion]]), 0)), "")</f>
        <v/>
      </c>
      <c r="N41" s="243" t="str" cm="1">
        <f t="array" aca="1" ref="N41" ca="1">IFERROR(
  INDEX(Sequence[Dep. ID],
  MATCH(1, (Sequence[Actor Type]="CylinderUnits") * (Sequence[Row Type]&lt;&gt;"Start Conditions") *  (Sequence[Actor/Unit]=Cylinders[[#This Row],[Unit Name]]) * (Sequence[Dep. ID]&gt;Cylinders[[#This Row],[3rd Motion]]), 0)), "")</f>
        <v/>
      </c>
      <c r="O41" s="243" t="str" cm="1">
        <f t="array" aca="1" ref="O41" ca="1">IFERROR(
  INDEX(Sequence[Dep. ID],
  MATCH(1, (Sequence[Actor Type]="CylinderUnits") * (Sequence[Row Type]&lt;&gt;"Start Conditions") *  (Sequence[Actor/Unit]=Cylinders[[#This Row],[Unit Name]]) * (Sequence[Dep. ID]&gt;Cylinders[[#This Row],[4th Motion]]), 0)), "")</f>
        <v/>
      </c>
      <c r="P41" s="243" t="str" cm="1">
        <f t="array" aca="1" ref="P41" ca="1">IFERROR(
  INDEX(Sequence[Dep. ID],
  MATCH(1, (Sequence[Actor Type]="CylinderUnits") * (Sequence[Row Type]&lt;&gt;"Start Conditions") *  (Sequence[Actor/Unit]=Cylinders[[#This Row],[Unit Name]]) * (Sequence[Dep. ID]&gt;Cylinders[[#This Row],[5th Motion]]), 0)), "")</f>
        <v/>
      </c>
      <c r="Q41" s="278"/>
      <c r="R41" s="282"/>
      <c r="S41" s="280"/>
      <c r="T41" s="280"/>
      <c r="U41" s="291"/>
      <c r="V41" s="280"/>
      <c r="W41" s="280"/>
      <c r="X41" s="280"/>
      <c r="Y41" s="289"/>
      <c r="Z41" s="278"/>
      <c r="AA41" s="278"/>
      <c r="AB41" s="274"/>
      <c r="AC41" s="247" t="str">
        <f>IF(AND(Cylinders[[#This Row],[Controls Manifold Name]]&lt;&gt;"",Cylinders[[#This Row],[Controls Valve Name]]&lt;&gt;"",Cylinders[[#This Row],[Unit Name]]&lt;&gt;""),_xlfn.CONCAT(U41,V41),"")</f>
        <v/>
      </c>
      <c r="AD41" s="245" t="str">
        <f>IF(AND(Cylinders[[#This Row],[Controls
Motion 
Group]]&lt;&gt;"",Cylinders[[#This Row],[Controls
Unit 
Name]]&lt;&gt;"",Cylinders[[#This Row],[Unit Name]]&lt;&gt;""),_xlfn.CONCAT(W41,X41),"")</f>
        <v/>
      </c>
    </row>
    <row r="42" spans="5:156" ht="18.600000000000001" customHeight="1">
      <c r="E42" s="272"/>
      <c r="F42" s="278"/>
      <c r="G42" s="279"/>
      <c r="H42" s="280"/>
      <c r="I42" s="280"/>
      <c r="J42" s="281"/>
      <c r="K42" s="243" t="str" cm="1">
        <f t="array" ref="K42">IFERROR(
INDEX(Sequence[Dep. ID],
MATCH(1, (Sequence[Actor Type]="CylinderUnits") * (Sequence[Row Type]&lt;&gt;"Start Conditions") * (Sequence[Actor/Unit]=Cylinders[[#This Row],[Unit Name]]), 0)), "")</f>
        <v/>
      </c>
      <c r="L42" s="243" t="str" cm="1">
        <f t="array" aca="1" ref="L42" ca="1">IFERROR(
  INDEX(Sequence[Dep. ID],
  MATCH(1, (Sequence[Actor Type]="CylinderUnits") * (Sequence[Row Type]&lt;&gt;"Start Conditions") *  (Sequence[Actor/Unit]=Cylinders[[#This Row],[Unit Name]]) * (Sequence[Dep. ID]&gt;Cylinders[[#This Row],[1st Motion]]), 0)), "")</f>
        <v/>
      </c>
      <c r="M42" s="243" t="str" cm="1">
        <f t="array" aca="1" ref="M42" ca="1">IFERROR(
  INDEX(Sequence[Dep. ID],
  MATCH(1, (Sequence[Actor Type]="CylinderUnits") * (Sequence[Row Type]&lt;&gt;"Start Conditions") *  (Sequence[Actor/Unit]=Cylinders[[#This Row],[Unit Name]]) * (Sequence[Dep. ID]&gt;Cylinders[[#This Row],[2nd Motion]]), 0)), "")</f>
        <v/>
      </c>
      <c r="N42" s="243" t="str" cm="1">
        <f t="array" aca="1" ref="N42" ca="1">IFERROR(
  INDEX(Sequence[Dep. ID],
  MATCH(1, (Sequence[Actor Type]="CylinderUnits") * (Sequence[Row Type]&lt;&gt;"Start Conditions") *  (Sequence[Actor/Unit]=Cylinders[[#This Row],[Unit Name]]) * (Sequence[Dep. ID]&gt;Cylinders[[#This Row],[3rd Motion]]), 0)), "")</f>
        <v/>
      </c>
      <c r="O42" s="243" t="str" cm="1">
        <f t="array" aca="1" ref="O42" ca="1">IFERROR(
  INDEX(Sequence[Dep. ID],
  MATCH(1, (Sequence[Actor Type]="CylinderUnits") * (Sequence[Row Type]&lt;&gt;"Start Conditions") *  (Sequence[Actor/Unit]=Cylinders[[#This Row],[Unit Name]]) * (Sequence[Dep. ID]&gt;Cylinders[[#This Row],[4th Motion]]), 0)), "")</f>
        <v/>
      </c>
      <c r="P42" s="243" t="str" cm="1">
        <f t="array" aca="1" ref="P42" ca="1">IFERROR(
  INDEX(Sequence[Dep. ID],
  MATCH(1, (Sequence[Actor Type]="CylinderUnits") * (Sequence[Row Type]&lt;&gt;"Start Conditions") *  (Sequence[Actor/Unit]=Cylinders[[#This Row],[Unit Name]]) * (Sequence[Dep. ID]&gt;Cylinders[[#This Row],[5th Motion]]), 0)), "")</f>
        <v/>
      </c>
      <c r="Q42" s="278"/>
      <c r="R42" s="282"/>
      <c r="S42" s="280"/>
      <c r="T42" s="280"/>
      <c r="U42" s="291"/>
      <c r="V42" s="280"/>
      <c r="W42" s="280"/>
      <c r="X42" s="280"/>
      <c r="Y42" s="289"/>
      <c r="Z42" s="278"/>
      <c r="AA42" s="278"/>
      <c r="AB42" s="274"/>
      <c r="AC42" s="247" t="str">
        <f>IF(AND(Cylinders[[#This Row],[Controls Manifold Name]]&lt;&gt;"",Cylinders[[#This Row],[Controls Valve Name]]&lt;&gt;"",Cylinders[[#This Row],[Unit Name]]&lt;&gt;""),_xlfn.CONCAT(U42,V42),"")</f>
        <v/>
      </c>
      <c r="AD42" s="245" t="str">
        <f>IF(AND(Cylinders[[#This Row],[Controls
Motion 
Group]]&lt;&gt;"",Cylinders[[#This Row],[Controls
Unit 
Name]]&lt;&gt;"",Cylinders[[#This Row],[Unit Name]]&lt;&gt;""),_xlfn.CONCAT(W42,X42),"")</f>
        <v/>
      </c>
    </row>
    <row r="43" spans="5:156" ht="18.600000000000001" customHeight="1">
      <c r="E43" s="272"/>
      <c r="F43" s="278"/>
      <c r="G43" s="279"/>
      <c r="H43" s="280"/>
      <c r="I43" s="280"/>
      <c r="J43" s="281"/>
      <c r="K43" s="243" t="str" cm="1">
        <f t="array" ref="K43">IFERROR(
INDEX(Sequence[Dep. ID],
MATCH(1, (Sequence[Actor Type]="CylinderUnits") * (Sequence[Row Type]&lt;&gt;"Start Conditions") * (Sequence[Actor/Unit]=Cylinders[[#This Row],[Unit Name]]), 0)), "")</f>
        <v/>
      </c>
      <c r="L43" s="243" t="str" cm="1">
        <f t="array" aca="1" ref="L43" ca="1">IFERROR(
  INDEX(Sequence[Dep. ID],
  MATCH(1, (Sequence[Actor Type]="CylinderUnits") * (Sequence[Row Type]&lt;&gt;"Start Conditions") *  (Sequence[Actor/Unit]=Cylinders[[#This Row],[Unit Name]]) * (Sequence[Dep. ID]&gt;Cylinders[[#This Row],[1st Motion]]), 0)), "")</f>
        <v/>
      </c>
      <c r="M43" s="243" t="str" cm="1">
        <f t="array" aca="1" ref="M43" ca="1">IFERROR(
  INDEX(Sequence[Dep. ID],
  MATCH(1, (Sequence[Actor Type]="CylinderUnits") * (Sequence[Row Type]&lt;&gt;"Start Conditions") *  (Sequence[Actor/Unit]=Cylinders[[#This Row],[Unit Name]]) * (Sequence[Dep. ID]&gt;Cylinders[[#This Row],[2nd Motion]]), 0)), "")</f>
        <v/>
      </c>
      <c r="N43" s="243" t="str" cm="1">
        <f t="array" aca="1" ref="N43" ca="1">IFERROR(
  INDEX(Sequence[Dep. ID],
  MATCH(1, (Sequence[Actor Type]="CylinderUnits") * (Sequence[Row Type]&lt;&gt;"Start Conditions") *  (Sequence[Actor/Unit]=Cylinders[[#This Row],[Unit Name]]) * (Sequence[Dep. ID]&gt;Cylinders[[#This Row],[3rd Motion]]), 0)), "")</f>
        <v/>
      </c>
      <c r="O43" s="243" t="str" cm="1">
        <f t="array" aca="1" ref="O43" ca="1">IFERROR(
  INDEX(Sequence[Dep. ID],
  MATCH(1, (Sequence[Actor Type]="CylinderUnits") * (Sequence[Row Type]&lt;&gt;"Start Conditions") *  (Sequence[Actor/Unit]=Cylinders[[#This Row],[Unit Name]]) * (Sequence[Dep. ID]&gt;Cylinders[[#This Row],[4th Motion]]), 0)), "")</f>
        <v/>
      </c>
      <c r="P43" s="243" t="str" cm="1">
        <f t="array" aca="1" ref="P43" ca="1">IFERROR(
  INDEX(Sequence[Dep. ID],
  MATCH(1, (Sequence[Actor Type]="CylinderUnits") * (Sequence[Row Type]&lt;&gt;"Start Conditions") *  (Sequence[Actor/Unit]=Cylinders[[#This Row],[Unit Name]]) * (Sequence[Dep. ID]&gt;Cylinders[[#This Row],[5th Motion]]), 0)), "")</f>
        <v/>
      </c>
      <c r="Q43" s="278"/>
      <c r="R43" s="282"/>
      <c r="S43" s="280"/>
      <c r="T43" s="280"/>
      <c r="U43" s="291"/>
      <c r="V43" s="280"/>
      <c r="W43" s="280"/>
      <c r="X43" s="280"/>
      <c r="Y43" s="289"/>
      <c r="Z43" s="278"/>
      <c r="AA43" s="278"/>
      <c r="AB43" s="274"/>
      <c r="AC43" s="247" t="str">
        <f>IF(AND(Cylinders[[#This Row],[Controls Manifold Name]]&lt;&gt;"",Cylinders[[#This Row],[Controls Valve Name]]&lt;&gt;"",Cylinders[[#This Row],[Unit Name]]&lt;&gt;""),_xlfn.CONCAT(U43,V43),"")</f>
        <v/>
      </c>
      <c r="AD43" s="245" t="str">
        <f>IF(AND(Cylinders[[#This Row],[Controls
Motion 
Group]]&lt;&gt;"",Cylinders[[#This Row],[Controls
Unit 
Name]]&lt;&gt;"",Cylinders[[#This Row],[Unit Name]]&lt;&gt;""),_xlfn.CONCAT(W43,X43),"")</f>
        <v/>
      </c>
    </row>
    <row r="44" spans="5:156" ht="18.600000000000001" customHeight="1">
      <c r="E44" s="272"/>
      <c r="F44" s="278"/>
      <c r="G44" s="279"/>
      <c r="H44" s="280"/>
      <c r="I44" s="280"/>
      <c r="J44" s="281"/>
      <c r="K44" s="243" t="str" cm="1">
        <f t="array" ref="K44">IFERROR(
INDEX(Sequence[Dep. ID],
MATCH(1, (Sequence[Actor Type]="CylinderUnits") * (Sequence[Row Type]&lt;&gt;"Start Conditions") * (Sequence[Actor/Unit]=Cylinders[[#This Row],[Unit Name]]), 0)), "")</f>
        <v/>
      </c>
      <c r="L44" s="243" t="str" cm="1">
        <f t="array" aca="1" ref="L44" ca="1">IFERROR(
  INDEX(Sequence[Dep. ID],
  MATCH(1, (Sequence[Actor Type]="CylinderUnits") * (Sequence[Row Type]&lt;&gt;"Start Conditions") *  (Sequence[Actor/Unit]=Cylinders[[#This Row],[Unit Name]]) * (Sequence[Dep. ID]&gt;Cylinders[[#This Row],[1st Motion]]), 0)), "")</f>
        <v/>
      </c>
      <c r="M44" s="243" t="str" cm="1">
        <f t="array" aca="1" ref="M44" ca="1">IFERROR(
  INDEX(Sequence[Dep. ID],
  MATCH(1, (Sequence[Actor Type]="CylinderUnits") * (Sequence[Row Type]&lt;&gt;"Start Conditions") *  (Sequence[Actor/Unit]=Cylinders[[#This Row],[Unit Name]]) * (Sequence[Dep. ID]&gt;Cylinders[[#This Row],[2nd Motion]]), 0)), "")</f>
        <v/>
      </c>
      <c r="N44" s="243" t="str" cm="1">
        <f t="array" aca="1" ref="N44" ca="1">IFERROR(
  INDEX(Sequence[Dep. ID],
  MATCH(1, (Sequence[Actor Type]="CylinderUnits") * (Sequence[Row Type]&lt;&gt;"Start Conditions") *  (Sequence[Actor/Unit]=Cylinders[[#This Row],[Unit Name]]) * (Sequence[Dep. ID]&gt;Cylinders[[#This Row],[3rd Motion]]), 0)), "")</f>
        <v/>
      </c>
      <c r="O44" s="243" t="str" cm="1">
        <f t="array" aca="1" ref="O44" ca="1">IFERROR(
  INDEX(Sequence[Dep. ID],
  MATCH(1, (Sequence[Actor Type]="CylinderUnits") * (Sequence[Row Type]&lt;&gt;"Start Conditions") *  (Sequence[Actor/Unit]=Cylinders[[#This Row],[Unit Name]]) * (Sequence[Dep. ID]&gt;Cylinders[[#This Row],[4th Motion]]), 0)), "")</f>
        <v/>
      </c>
      <c r="P44" s="243" t="str" cm="1">
        <f t="array" aca="1" ref="P44" ca="1">IFERROR(
  INDEX(Sequence[Dep. ID],
  MATCH(1, (Sequence[Actor Type]="CylinderUnits") * (Sequence[Row Type]&lt;&gt;"Start Conditions") *  (Sequence[Actor/Unit]=Cylinders[[#This Row],[Unit Name]]) * (Sequence[Dep. ID]&gt;Cylinders[[#This Row],[5th Motion]]), 0)), "")</f>
        <v/>
      </c>
      <c r="Q44" s="278"/>
      <c r="R44" s="282"/>
      <c r="S44" s="280"/>
      <c r="T44" s="280"/>
      <c r="U44" s="291"/>
      <c r="V44" s="280"/>
      <c r="W44" s="280"/>
      <c r="X44" s="280"/>
      <c r="Y44" s="289"/>
      <c r="Z44" s="278"/>
      <c r="AA44" s="278"/>
      <c r="AB44" s="274"/>
      <c r="AC44" s="247" t="str">
        <f>IF(AND(Cylinders[[#This Row],[Controls Manifold Name]]&lt;&gt;"",Cylinders[[#This Row],[Controls Valve Name]]&lt;&gt;"",Cylinders[[#This Row],[Unit Name]]&lt;&gt;""),_xlfn.CONCAT(U44,V44),"")</f>
        <v/>
      </c>
      <c r="AD44" s="245" t="str">
        <f>IF(AND(Cylinders[[#This Row],[Controls
Motion 
Group]]&lt;&gt;"",Cylinders[[#This Row],[Controls
Unit 
Name]]&lt;&gt;"",Cylinders[[#This Row],[Unit Name]]&lt;&gt;""),_xlfn.CONCAT(W44,X44),"")</f>
        <v/>
      </c>
    </row>
    <row r="45" spans="5:156" ht="18.600000000000001" customHeight="1">
      <c r="E45" s="272"/>
      <c r="F45" s="278"/>
      <c r="G45" s="279"/>
      <c r="H45" s="280"/>
      <c r="I45" s="276"/>
      <c r="J45" s="281"/>
      <c r="K45" s="243" t="str" cm="1">
        <f t="array" ref="K45">IFERROR(
INDEX(Sequence[Dep. ID],
MATCH(1, (Sequence[Actor Type]="CylinderUnits") * (Sequence[Row Type]&lt;&gt;"Start Conditions") * (Sequence[Actor/Unit]=Cylinders[[#This Row],[Unit Name]]), 0)), "")</f>
        <v/>
      </c>
      <c r="L45" s="243" t="str" cm="1">
        <f t="array" aca="1" ref="L45" ca="1">IFERROR(
  INDEX(Sequence[Dep. ID],
  MATCH(1, (Sequence[Actor Type]="CylinderUnits") * (Sequence[Row Type]&lt;&gt;"Start Conditions") *  (Sequence[Actor/Unit]=Cylinders[[#This Row],[Unit Name]]) * (Sequence[Dep. ID]&gt;Cylinders[[#This Row],[1st Motion]]), 0)), "")</f>
        <v/>
      </c>
      <c r="M45" s="243" t="str" cm="1">
        <f t="array" aca="1" ref="M45" ca="1">IFERROR(
  INDEX(Sequence[Dep. ID],
  MATCH(1, (Sequence[Actor Type]="CylinderUnits") * (Sequence[Row Type]&lt;&gt;"Start Conditions") *  (Sequence[Actor/Unit]=Cylinders[[#This Row],[Unit Name]]) * (Sequence[Dep. ID]&gt;Cylinders[[#This Row],[2nd Motion]]), 0)), "")</f>
        <v/>
      </c>
      <c r="N45" s="243" t="str" cm="1">
        <f t="array" aca="1" ref="N45" ca="1">IFERROR(
  INDEX(Sequence[Dep. ID],
  MATCH(1, (Sequence[Actor Type]="CylinderUnits") * (Sequence[Row Type]&lt;&gt;"Start Conditions") *  (Sequence[Actor/Unit]=Cylinders[[#This Row],[Unit Name]]) * (Sequence[Dep. ID]&gt;Cylinders[[#This Row],[3rd Motion]]), 0)), "")</f>
        <v/>
      </c>
      <c r="O45" s="243" t="str" cm="1">
        <f t="array" aca="1" ref="O45" ca="1">IFERROR(
  INDEX(Sequence[Dep. ID],
  MATCH(1, (Sequence[Actor Type]="CylinderUnits") * (Sequence[Row Type]&lt;&gt;"Start Conditions") *  (Sequence[Actor/Unit]=Cylinders[[#This Row],[Unit Name]]) * (Sequence[Dep. ID]&gt;Cylinders[[#This Row],[4th Motion]]), 0)), "")</f>
        <v/>
      </c>
      <c r="P45" s="243" t="str" cm="1">
        <f t="array" aca="1" ref="P45" ca="1">IFERROR(
  INDEX(Sequence[Dep. ID],
  MATCH(1, (Sequence[Actor Type]="CylinderUnits") * (Sequence[Row Type]&lt;&gt;"Start Conditions") *  (Sequence[Actor/Unit]=Cylinders[[#This Row],[Unit Name]]) * (Sequence[Dep. ID]&gt;Cylinders[[#This Row],[5th Motion]]), 0)), "")</f>
        <v/>
      </c>
      <c r="Q45" s="278"/>
      <c r="R45" s="282"/>
      <c r="S45" s="280"/>
      <c r="T45" s="280"/>
      <c r="U45" s="291"/>
      <c r="V45" s="280"/>
      <c r="W45" s="280"/>
      <c r="X45" s="280"/>
      <c r="Y45" s="289"/>
      <c r="Z45" s="278"/>
      <c r="AA45" s="278"/>
      <c r="AB45" s="274"/>
      <c r="AC45" s="247" t="str">
        <f>IF(AND(Cylinders[[#This Row],[Controls Manifold Name]]&lt;&gt;"",Cylinders[[#This Row],[Controls Valve Name]]&lt;&gt;"",Cylinders[[#This Row],[Unit Name]]&lt;&gt;""),_xlfn.CONCAT(U45,V45),"")</f>
        <v/>
      </c>
      <c r="AD45" s="245" t="str">
        <f>IF(AND(Cylinders[[#This Row],[Controls
Motion 
Group]]&lt;&gt;"",Cylinders[[#This Row],[Controls
Unit 
Name]]&lt;&gt;"",Cylinders[[#This Row],[Unit Name]]&lt;&gt;""),_xlfn.CONCAT(W45,X45),"")</f>
        <v/>
      </c>
    </row>
    <row r="46" spans="5:156" ht="18.600000000000001" customHeight="1">
      <c r="E46" s="272"/>
      <c r="F46" s="278"/>
      <c r="G46" s="279"/>
      <c r="H46" s="280"/>
      <c r="I46" s="280"/>
      <c r="J46" s="281"/>
      <c r="K46" s="243" t="str" cm="1">
        <f t="array" ref="K46">IFERROR(
INDEX(Sequence[Dep. ID],
MATCH(1, (Sequence[Actor Type]="CylinderUnits") * (Sequence[Row Type]&lt;&gt;"Start Conditions") * (Sequence[Actor/Unit]=Cylinders[[#This Row],[Unit Name]]), 0)), "")</f>
        <v/>
      </c>
      <c r="L46" s="243" t="str" cm="1">
        <f t="array" aca="1" ref="L46" ca="1">IFERROR(
  INDEX(Sequence[Dep. ID],
  MATCH(1, (Sequence[Actor Type]="CylinderUnits") * (Sequence[Row Type]&lt;&gt;"Start Conditions") *  (Sequence[Actor/Unit]=Cylinders[[#This Row],[Unit Name]]) * (Sequence[Dep. ID]&gt;Cylinders[[#This Row],[1st Motion]]), 0)), "")</f>
        <v/>
      </c>
      <c r="M46" s="243" t="str" cm="1">
        <f t="array" aca="1" ref="M46" ca="1">IFERROR(
  INDEX(Sequence[Dep. ID],
  MATCH(1, (Sequence[Actor Type]="CylinderUnits") * (Sequence[Row Type]&lt;&gt;"Start Conditions") *  (Sequence[Actor/Unit]=Cylinders[[#This Row],[Unit Name]]) * (Sequence[Dep. ID]&gt;Cylinders[[#This Row],[2nd Motion]]), 0)), "")</f>
        <v/>
      </c>
      <c r="N46" s="243" t="str" cm="1">
        <f t="array" aca="1" ref="N46" ca="1">IFERROR(
  INDEX(Sequence[Dep. ID],
  MATCH(1, (Sequence[Actor Type]="CylinderUnits") * (Sequence[Row Type]&lt;&gt;"Start Conditions") *  (Sequence[Actor/Unit]=Cylinders[[#This Row],[Unit Name]]) * (Sequence[Dep. ID]&gt;Cylinders[[#This Row],[3rd Motion]]), 0)), "")</f>
        <v/>
      </c>
      <c r="O46" s="243" t="str" cm="1">
        <f t="array" aca="1" ref="O46" ca="1">IFERROR(
  INDEX(Sequence[Dep. ID],
  MATCH(1, (Sequence[Actor Type]="CylinderUnits") * (Sequence[Row Type]&lt;&gt;"Start Conditions") *  (Sequence[Actor/Unit]=Cylinders[[#This Row],[Unit Name]]) * (Sequence[Dep. ID]&gt;Cylinders[[#This Row],[4th Motion]]), 0)), "")</f>
        <v/>
      </c>
      <c r="P46" s="243" t="str" cm="1">
        <f t="array" aca="1" ref="P46" ca="1">IFERROR(
  INDEX(Sequence[Dep. ID],
  MATCH(1, (Sequence[Actor Type]="CylinderUnits") * (Sequence[Row Type]&lt;&gt;"Start Conditions") *  (Sequence[Actor/Unit]=Cylinders[[#This Row],[Unit Name]]) * (Sequence[Dep. ID]&gt;Cylinders[[#This Row],[5th Motion]]), 0)), "")</f>
        <v/>
      </c>
      <c r="Q46" s="278"/>
      <c r="R46" s="282"/>
      <c r="S46" s="280"/>
      <c r="T46" s="280"/>
      <c r="U46" s="291"/>
      <c r="V46" s="280"/>
      <c r="W46" s="280"/>
      <c r="X46" s="280"/>
      <c r="Y46" s="289"/>
      <c r="Z46" s="278"/>
      <c r="AA46" s="278"/>
      <c r="AB46" s="274"/>
      <c r="AC46" s="247" t="str">
        <f>IF(AND(Cylinders[[#This Row],[Controls Manifold Name]]&lt;&gt;"",Cylinders[[#This Row],[Controls Valve Name]]&lt;&gt;"",Cylinders[[#This Row],[Unit Name]]&lt;&gt;""),_xlfn.CONCAT(U46,V46),"")</f>
        <v/>
      </c>
      <c r="AD46" s="245" t="str">
        <f>IF(AND(Cylinders[[#This Row],[Controls
Motion 
Group]]&lt;&gt;"",Cylinders[[#This Row],[Controls
Unit 
Name]]&lt;&gt;"",Cylinders[[#This Row],[Unit Name]]&lt;&gt;""),_xlfn.CONCAT(W46,X46),"")</f>
        <v/>
      </c>
    </row>
    <row r="47" spans="5:156" ht="18.600000000000001" customHeight="1">
      <c r="E47" s="272"/>
      <c r="F47" s="278"/>
      <c r="G47" s="279"/>
      <c r="H47" s="280"/>
      <c r="I47" s="280"/>
      <c r="J47" s="281"/>
      <c r="K47" s="243" t="str" cm="1">
        <f t="array" ref="K47">IFERROR(
INDEX(Sequence[Dep. ID],
MATCH(1, (Sequence[Actor Type]="CylinderUnits") * (Sequence[Row Type]&lt;&gt;"Start Conditions") * (Sequence[Actor/Unit]=Cylinders[[#This Row],[Unit Name]]), 0)), "")</f>
        <v/>
      </c>
      <c r="L47" s="243" t="str" cm="1">
        <f t="array" aca="1" ref="L47" ca="1">IFERROR(
  INDEX(Sequence[Dep. ID],
  MATCH(1, (Sequence[Actor Type]="CylinderUnits") * (Sequence[Row Type]&lt;&gt;"Start Conditions") *  (Sequence[Actor/Unit]=Cylinders[[#This Row],[Unit Name]]) * (Sequence[Dep. ID]&gt;Cylinders[[#This Row],[1st Motion]]), 0)), "")</f>
        <v/>
      </c>
      <c r="M47" s="243" t="str" cm="1">
        <f t="array" aca="1" ref="M47" ca="1">IFERROR(
  INDEX(Sequence[Dep. ID],
  MATCH(1, (Sequence[Actor Type]="CylinderUnits") * (Sequence[Row Type]&lt;&gt;"Start Conditions") *  (Sequence[Actor/Unit]=Cylinders[[#This Row],[Unit Name]]) * (Sequence[Dep. ID]&gt;Cylinders[[#This Row],[2nd Motion]]), 0)), "")</f>
        <v/>
      </c>
      <c r="N47" s="243" t="str" cm="1">
        <f t="array" aca="1" ref="N47" ca="1">IFERROR(
  INDEX(Sequence[Dep. ID],
  MATCH(1, (Sequence[Actor Type]="CylinderUnits") * (Sequence[Row Type]&lt;&gt;"Start Conditions") *  (Sequence[Actor/Unit]=Cylinders[[#This Row],[Unit Name]]) * (Sequence[Dep. ID]&gt;Cylinders[[#This Row],[3rd Motion]]), 0)), "")</f>
        <v/>
      </c>
      <c r="O47" s="243" t="str" cm="1">
        <f t="array" aca="1" ref="O47" ca="1">IFERROR(
  INDEX(Sequence[Dep. ID],
  MATCH(1, (Sequence[Actor Type]="CylinderUnits") * (Sequence[Row Type]&lt;&gt;"Start Conditions") *  (Sequence[Actor/Unit]=Cylinders[[#This Row],[Unit Name]]) * (Sequence[Dep. ID]&gt;Cylinders[[#This Row],[4th Motion]]), 0)), "")</f>
        <v/>
      </c>
      <c r="P47" s="243" t="str" cm="1">
        <f t="array" aca="1" ref="P47" ca="1">IFERROR(
  INDEX(Sequence[Dep. ID],
  MATCH(1, (Sequence[Actor Type]="CylinderUnits") * (Sequence[Row Type]&lt;&gt;"Start Conditions") *  (Sequence[Actor/Unit]=Cylinders[[#This Row],[Unit Name]]) * (Sequence[Dep. ID]&gt;Cylinders[[#This Row],[5th Motion]]), 0)), "")</f>
        <v/>
      </c>
      <c r="Q47" s="278"/>
      <c r="R47" s="282"/>
      <c r="S47" s="280"/>
      <c r="T47" s="280"/>
      <c r="U47" s="291"/>
      <c r="V47" s="280"/>
      <c r="W47" s="280"/>
      <c r="X47" s="280"/>
      <c r="Y47" s="289"/>
      <c r="Z47" s="278"/>
      <c r="AA47" s="278"/>
      <c r="AB47" s="274"/>
      <c r="AC47" s="247" t="str">
        <f>IF(AND(Cylinders[[#This Row],[Controls Manifold Name]]&lt;&gt;"",Cylinders[[#This Row],[Controls Valve Name]]&lt;&gt;"",Cylinders[[#This Row],[Unit Name]]&lt;&gt;""),_xlfn.CONCAT(U47,V47),"")</f>
        <v/>
      </c>
      <c r="AD47" s="245" t="str">
        <f>IF(AND(Cylinders[[#This Row],[Controls
Motion 
Group]]&lt;&gt;"",Cylinders[[#This Row],[Controls
Unit 
Name]]&lt;&gt;"",Cylinders[[#This Row],[Unit Name]]&lt;&gt;""),_xlfn.CONCAT(W47,X47),"")</f>
        <v/>
      </c>
    </row>
    <row r="48" spans="5:156" ht="18.600000000000001" customHeight="1">
      <c r="E48" s="272"/>
      <c r="F48" s="278"/>
      <c r="G48" s="279"/>
      <c r="H48" s="280"/>
      <c r="I48" s="280"/>
      <c r="J48" s="281"/>
      <c r="K48" s="243" t="str" cm="1">
        <f t="array" ref="K48">IFERROR(
INDEX(Sequence[Dep. ID],
MATCH(1, (Sequence[Actor Type]="CylinderUnits") * (Sequence[Row Type]&lt;&gt;"Start Conditions") * (Sequence[Actor/Unit]=Cylinders[[#This Row],[Unit Name]]), 0)), "")</f>
        <v/>
      </c>
      <c r="L48" s="243" t="str" cm="1">
        <f t="array" aca="1" ref="L48" ca="1">IFERROR(
  INDEX(Sequence[Dep. ID],
  MATCH(1, (Sequence[Actor Type]="CylinderUnits") * (Sequence[Row Type]&lt;&gt;"Start Conditions") *  (Sequence[Actor/Unit]=Cylinders[[#This Row],[Unit Name]]) * (Sequence[Dep. ID]&gt;Cylinders[[#This Row],[1st Motion]]), 0)), "")</f>
        <v/>
      </c>
      <c r="M48" s="243" t="str" cm="1">
        <f t="array" aca="1" ref="M48" ca="1">IFERROR(
  INDEX(Sequence[Dep. ID],
  MATCH(1, (Sequence[Actor Type]="CylinderUnits") * (Sequence[Row Type]&lt;&gt;"Start Conditions") *  (Sequence[Actor/Unit]=Cylinders[[#This Row],[Unit Name]]) * (Sequence[Dep. ID]&gt;Cylinders[[#This Row],[2nd Motion]]), 0)), "")</f>
        <v/>
      </c>
      <c r="N48" s="243" t="str" cm="1">
        <f t="array" aca="1" ref="N48" ca="1">IFERROR(
  INDEX(Sequence[Dep. ID],
  MATCH(1, (Sequence[Actor Type]="CylinderUnits") * (Sequence[Row Type]&lt;&gt;"Start Conditions") *  (Sequence[Actor/Unit]=Cylinders[[#This Row],[Unit Name]]) * (Sequence[Dep. ID]&gt;Cylinders[[#This Row],[3rd Motion]]), 0)), "")</f>
        <v/>
      </c>
      <c r="O48" s="243" t="str" cm="1">
        <f t="array" aca="1" ref="O48" ca="1">IFERROR(
  INDEX(Sequence[Dep. ID],
  MATCH(1, (Sequence[Actor Type]="CylinderUnits") * (Sequence[Row Type]&lt;&gt;"Start Conditions") *  (Sequence[Actor/Unit]=Cylinders[[#This Row],[Unit Name]]) * (Sequence[Dep. ID]&gt;Cylinders[[#This Row],[4th Motion]]), 0)), "")</f>
        <v/>
      </c>
      <c r="P48" s="243" t="str" cm="1">
        <f t="array" aca="1" ref="P48" ca="1">IFERROR(
  INDEX(Sequence[Dep. ID],
  MATCH(1, (Sequence[Actor Type]="CylinderUnits") * (Sequence[Row Type]&lt;&gt;"Start Conditions") *  (Sequence[Actor/Unit]=Cylinders[[#This Row],[Unit Name]]) * (Sequence[Dep. ID]&gt;Cylinders[[#This Row],[5th Motion]]), 0)), "")</f>
        <v/>
      </c>
      <c r="Q48" s="278"/>
      <c r="R48" s="282"/>
      <c r="S48" s="280"/>
      <c r="T48" s="280"/>
      <c r="U48" s="291"/>
      <c r="V48" s="280"/>
      <c r="W48" s="280"/>
      <c r="X48" s="280"/>
      <c r="Y48" s="289"/>
      <c r="Z48" s="278"/>
      <c r="AA48" s="278"/>
      <c r="AB48" s="274"/>
      <c r="AC48" s="247" t="str">
        <f>IF(AND(Cylinders[[#This Row],[Controls Manifold Name]]&lt;&gt;"",Cylinders[[#This Row],[Controls Valve Name]]&lt;&gt;"",Cylinders[[#This Row],[Unit Name]]&lt;&gt;""),_xlfn.CONCAT(U48,V48),"")</f>
        <v/>
      </c>
      <c r="AD48" s="245" t="str">
        <f>IF(AND(Cylinders[[#This Row],[Controls
Motion 
Group]]&lt;&gt;"",Cylinders[[#This Row],[Controls
Unit 
Name]]&lt;&gt;"",Cylinders[[#This Row],[Unit Name]]&lt;&gt;""),_xlfn.CONCAT(W48,X48),"")</f>
        <v/>
      </c>
    </row>
    <row r="49" spans="5:30" ht="18.600000000000001" customHeight="1">
      <c r="E49" s="272"/>
      <c r="F49" s="278"/>
      <c r="G49" s="279"/>
      <c r="H49" s="280"/>
      <c r="I49" s="280"/>
      <c r="J49" s="281"/>
      <c r="K49" s="243" t="str" cm="1">
        <f t="array" ref="K49">IFERROR(
INDEX(Sequence[Dep. ID],
MATCH(1, (Sequence[Actor Type]="CylinderUnits") * (Sequence[Row Type]&lt;&gt;"Start Conditions") * (Sequence[Actor/Unit]=Cylinders[[#This Row],[Unit Name]]), 0)), "")</f>
        <v/>
      </c>
      <c r="L49" s="243" t="str" cm="1">
        <f t="array" aca="1" ref="L49" ca="1">IFERROR(
  INDEX(Sequence[Dep. ID],
  MATCH(1, (Sequence[Actor Type]="CylinderUnits") * (Sequence[Row Type]&lt;&gt;"Start Conditions") *  (Sequence[Actor/Unit]=Cylinders[[#This Row],[Unit Name]]) * (Sequence[Dep. ID]&gt;Cylinders[[#This Row],[1st Motion]]), 0)), "")</f>
        <v/>
      </c>
      <c r="M49" s="243" t="str" cm="1">
        <f t="array" aca="1" ref="M49" ca="1">IFERROR(
  INDEX(Sequence[Dep. ID],
  MATCH(1, (Sequence[Actor Type]="CylinderUnits") * (Sequence[Row Type]&lt;&gt;"Start Conditions") *  (Sequence[Actor/Unit]=Cylinders[[#This Row],[Unit Name]]) * (Sequence[Dep. ID]&gt;Cylinders[[#This Row],[2nd Motion]]), 0)), "")</f>
        <v/>
      </c>
      <c r="N49" s="243" t="str" cm="1">
        <f t="array" aca="1" ref="N49" ca="1">IFERROR(
  INDEX(Sequence[Dep. ID],
  MATCH(1, (Sequence[Actor Type]="CylinderUnits") * (Sequence[Row Type]&lt;&gt;"Start Conditions") *  (Sequence[Actor/Unit]=Cylinders[[#This Row],[Unit Name]]) * (Sequence[Dep. ID]&gt;Cylinders[[#This Row],[3rd Motion]]), 0)), "")</f>
        <v/>
      </c>
      <c r="O49" s="243" t="str" cm="1">
        <f t="array" aca="1" ref="O49" ca="1">IFERROR(
  INDEX(Sequence[Dep. ID],
  MATCH(1, (Sequence[Actor Type]="CylinderUnits") * (Sequence[Row Type]&lt;&gt;"Start Conditions") *  (Sequence[Actor/Unit]=Cylinders[[#This Row],[Unit Name]]) * (Sequence[Dep. ID]&gt;Cylinders[[#This Row],[4th Motion]]), 0)), "")</f>
        <v/>
      </c>
      <c r="P49" s="243" t="str" cm="1">
        <f t="array" aca="1" ref="P49" ca="1">IFERROR(
  INDEX(Sequence[Dep. ID],
  MATCH(1, (Sequence[Actor Type]="CylinderUnits") * (Sequence[Row Type]&lt;&gt;"Start Conditions") *  (Sequence[Actor/Unit]=Cylinders[[#This Row],[Unit Name]]) * (Sequence[Dep. ID]&gt;Cylinders[[#This Row],[5th Motion]]), 0)), "")</f>
        <v/>
      </c>
      <c r="Q49" s="278"/>
      <c r="R49" s="282"/>
      <c r="S49" s="280"/>
      <c r="T49" s="280"/>
      <c r="U49" s="291"/>
      <c r="V49" s="280"/>
      <c r="W49" s="280"/>
      <c r="X49" s="280"/>
      <c r="Y49" s="289"/>
      <c r="Z49" s="278"/>
      <c r="AA49" s="278"/>
      <c r="AB49" s="274"/>
      <c r="AC49" s="247" t="str">
        <f>IF(AND(Cylinders[[#This Row],[Controls Manifold Name]]&lt;&gt;"",Cylinders[[#This Row],[Controls Valve Name]]&lt;&gt;"",Cylinders[[#This Row],[Unit Name]]&lt;&gt;""),_xlfn.CONCAT(U49,V49),"")</f>
        <v/>
      </c>
      <c r="AD49" s="245" t="str">
        <f>IF(AND(Cylinders[[#This Row],[Controls
Motion 
Group]]&lt;&gt;"",Cylinders[[#This Row],[Controls
Unit 
Name]]&lt;&gt;"",Cylinders[[#This Row],[Unit Name]]&lt;&gt;""),_xlfn.CONCAT(W49,X49),"")</f>
        <v/>
      </c>
    </row>
    <row r="50" spans="5:30" ht="18.600000000000001" customHeight="1">
      <c r="E50" s="272"/>
      <c r="F50" s="278"/>
      <c r="G50" s="279"/>
      <c r="H50" s="280"/>
      <c r="I50" s="280"/>
      <c r="J50" s="281"/>
      <c r="K50" s="243" t="str" cm="1">
        <f t="array" ref="K50">IFERROR(
INDEX(Sequence[Dep. ID],
MATCH(1, (Sequence[Actor Type]="CylinderUnits") * (Sequence[Row Type]&lt;&gt;"Start Conditions") * (Sequence[Actor/Unit]=Cylinders[[#This Row],[Unit Name]]), 0)), "")</f>
        <v/>
      </c>
      <c r="L50" s="243" t="str" cm="1">
        <f t="array" aca="1" ref="L50" ca="1">IFERROR(
  INDEX(Sequence[Dep. ID],
  MATCH(1, (Sequence[Actor Type]="CylinderUnits") * (Sequence[Row Type]&lt;&gt;"Start Conditions") *  (Sequence[Actor/Unit]=Cylinders[[#This Row],[Unit Name]]) * (Sequence[Dep. ID]&gt;Cylinders[[#This Row],[1st Motion]]), 0)), "")</f>
        <v/>
      </c>
      <c r="M50" s="243" t="str" cm="1">
        <f t="array" aca="1" ref="M50" ca="1">IFERROR(
  INDEX(Sequence[Dep. ID],
  MATCH(1, (Sequence[Actor Type]="CylinderUnits") * (Sequence[Row Type]&lt;&gt;"Start Conditions") *  (Sequence[Actor/Unit]=Cylinders[[#This Row],[Unit Name]]) * (Sequence[Dep. ID]&gt;Cylinders[[#This Row],[2nd Motion]]), 0)), "")</f>
        <v/>
      </c>
      <c r="N50" s="243" t="str" cm="1">
        <f t="array" aca="1" ref="N50" ca="1">IFERROR(
  INDEX(Sequence[Dep. ID],
  MATCH(1, (Sequence[Actor Type]="CylinderUnits") * (Sequence[Row Type]&lt;&gt;"Start Conditions") *  (Sequence[Actor/Unit]=Cylinders[[#This Row],[Unit Name]]) * (Sequence[Dep. ID]&gt;Cylinders[[#This Row],[3rd Motion]]), 0)), "")</f>
        <v/>
      </c>
      <c r="O50" s="243" t="str" cm="1">
        <f t="array" aca="1" ref="O50" ca="1">IFERROR(
  INDEX(Sequence[Dep. ID],
  MATCH(1, (Sequence[Actor Type]="CylinderUnits") * (Sequence[Row Type]&lt;&gt;"Start Conditions") *  (Sequence[Actor/Unit]=Cylinders[[#This Row],[Unit Name]]) * (Sequence[Dep. ID]&gt;Cylinders[[#This Row],[4th Motion]]), 0)), "")</f>
        <v/>
      </c>
      <c r="P50" s="243" t="str" cm="1">
        <f t="array" aca="1" ref="P50" ca="1">IFERROR(
  INDEX(Sequence[Dep. ID],
  MATCH(1, (Sequence[Actor Type]="CylinderUnits") * (Sequence[Row Type]&lt;&gt;"Start Conditions") *  (Sequence[Actor/Unit]=Cylinders[[#This Row],[Unit Name]]) * (Sequence[Dep. ID]&gt;Cylinders[[#This Row],[5th Motion]]), 0)), "")</f>
        <v/>
      </c>
      <c r="Q50" s="278"/>
      <c r="R50" s="282"/>
      <c r="S50" s="280"/>
      <c r="T50" s="280"/>
      <c r="U50" s="291"/>
      <c r="V50" s="280"/>
      <c r="W50" s="280"/>
      <c r="X50" s="280"/>
      <c r="Y50" s="289"/>
      <c r="Z50" s="278"/>
      <c r="AA50" s="278"/>
      <c r="AB50" s="274"/>
      <c r="AC50" s="247" t="str">
        <f>IF(AND(Cylinders[[#This Row],[Controls Manifold Name]]&lt;&gt;"",Cylinders[[#This Row],[Controls Valve Name]]&lt;&gt;"",Cylinders[[#This Row],[Unit Name]]&lt;&gt;""),_xlfn.CONCAT(U50,V50),"")</f>
        <v/>
      </c>
      <c r="AD50" s="245" t="str">
        <f>IF(AND(Cylinders[[#This Row],[Controls
Motion 
Group]]&lt;&gt;"",Cylinders[[#This Row],[Controls
Unit 
Name]]&lt;&gt;"",Cylinders[[#This Row],[Unit Name]]&lt;&gt;""),_xlfn.CONCAT(W50,X50),"")</f>
        <v/>
      </c>
    </row>
    <row r="51" spans="5:30" ht="18.600000000000001" customHeight="1">
      <c r="E51" s="272"/>
      <c r="F51" s="278"/>
      <c r="G51" s="279"/>
      <c r="H51" s="280"/>
      <c r="I51" s="280"/>
      <c r="J51" s="281"/>
      <c r="K51" s="243" t="str" cm="1">
        <f t="array" ref="K51">IFERROR(
INDEX(Sequence[Dep. ID],
MATCH(1, (Sequence[Actor Type]="CylinderUnits") * (Sequence[Row Type]&lt;&gt;"Start Conditions") * (Sequence[Actor/Unit]=Cylinders[[#This Row],[Unit Name]]), 0)), "")</f>
        <v/>
      </c>
      <c r="L51" s="243" t="str" cm="1">
        <f t="array" aca="1" ref="L51" ca="1">IFERROR(
  INDEX(Sequence[Dep. ID],
  MATCH(1, (Sequence[Actor Type]="CylinderUnits") * (Sequence[Row Type]&lt;&gt;"Start Conditions") *  (Sequence[Actor/Unit]=Cylinders[[#This Row],[Unit Name]]) * (Sequence[Dep. ID]&gt;Cylinders[[#This Row],[1st Motion]]), 0)), "")</f>
        <v/>
      </c>
      <c r="M51" s="243" t="str" cm="1">
        <f t="array" aca="1" ref="M51" ca="1">IFERROR(
  INDEX(Sequence[Dep. ID],
  MATCH(1, (Sequence[Actor Type]="CylinderUnits") * (Sequence[Row Type]&lt;&gt;"Start Conditions") *  (Sequence[Actor/Unit]=Cylinders[[#This Row],[Unit Name]]) * (Sequence[Dep. ID]&gt;Cylinders[[#This Row],[2nd Motion]]), 0)), "")</f>
        <v/>
      </c>
      <c r="N51" s="243" t="str" cm="1">
        <f t="array" aca="1" ref="N51" ca="1">IFERROR(
  INDEX(Sequence[Dep. ID],
  MATCH(1, (Sequence[Actor Type]="CylinderUnits") * (Sequence[Row Type]&lt;&gt;"Start Conditions") *  (Sequence[Actor/Unit]=Cylinders[[#This Row],[Unit Name]]) * (Sequence[Dep. ID]&gt;Cylinders[[#This Row],[3rd Motion]]), 0)), "")</f>
        <v/>
      </c>
      <c r="O51" s="243" t="str" cm="1">
        <f t="array" aca="1" ref="O51" ca="1">IFERROR(
  INDEX(Sequence[Dep. ID],
  MATCH(1, (Sequence[Actor Type]="CylinderUnits") * (Sequence[Row Type]&lt;&gt;"Start Conditions") *  (Sequence[Actor/Unit]=Cylinders[[#This Row],[Unit Name]]) * (Sequence[Dep. ID]&gt;Cylinders[[#This Row],[4th Motion]]), 0)), "")</f>
        <v/>
      </c>
      <c r="P51" s="243" t="str" cm="1">
        <f t="array" aca="1" ref="P51" ca="1">IFERROR(
  INDEX(Sequence[Dep. ID],
  MATCH(1, (Sequence[Actor Type]="CylinderUnits") * (Sequence[Row Type]&lt;&gt;"Start Conditions") *  (Sequence[Actor/Unit]=Cylinders[[#This Row],[Unit Name]]) * (Sequence[Dep. ID]&gt;Cylinders[[#This Row],[5th Motion]]), 0)), "")</f>
        <v/>
      </c>
      <c r="Q51" s="278"/>
      <c r="R51" s="282"/>
      <c r="S51" s="280"/>
      <c r="T51" s="280"/>
      <c r="U51" s="291"/>
      <c r="V51" s="280"/>
      <c r="W51" s="280"/>
      <c r="X51" s="280"/>
      <c r="Y51" s="289"/>
      <c r="Z51" s="278"/>
      <c r="AA51" s="278"/>
      <c r="AB51" s="274"/>
      <c r="AC51" s="247" t="str">
        <f>IF(AND(Cylinders[[#This Row],[Controls Manifold Name]]&lt;&gt;"",Cylinders[[#This Row],[Controls Valve Name]]&lt;&gt;"",Cylinders[[#This Row],[Unit Name]]&lt;&gt;""),_xlfn.CONCAT(U51,V51),"")</f>
        <v/>
      </c>
      <c r="AD51" s="245" t="str">
        <f>IF(AND(Cylinders[[#This Row],[Controls
Motion 
Group]]&lt;&gt;"",Cylinders[[#This Row],[Controls
Unit 
Name]]&lt;&gt;"",Cylinders[[#This Row],[Unit Name]]&lt;&gt;""),_xlfn.CONCAT(W51,X51),"")</f>
        <v/>
      </c>
    </row>
    <row r="52" spans="5:30" ht="18.600000000000001" customHeight="1">
      <c r="E52" s="282"/>
      <c r="F52" s="278"/>
      <c r="G52" s="279"/>
      <c r="H52" s="280"/>
      <c r="I52" s="280"/>
      <c r="J52" s="281"/>
      <c r="K52" s="243" t="str" cm="1">
        <f t="array" ref="K52">IFERROR(
INDEX(Sequence[Dep. ID],
MATCH(1, (Sequence[Actor Type]="CylinderUnits") * (Sequence[Row Type]&lt;&gt;"Start Conditions") * (Sequence[Actor/Unit]=Cylinders[[#This Row],[Unit Name]]), 0)), "")</f>
        <v/>
      </c>
      <c r="L52" s="243" t="str" cm="1">
        <f t="array" aca="1" ref="L52" ca="1">IFERROR(
  INDEX(Sequence[Dep. ID],
  MATCH(1, (Sequence[Actor Type]="CylinderUnits") * (Sequence[Row Type]&lt;&gt;"Start Conditions") *  (Sequence[Actor/Unit]=Cylinders[[#This Row],[Unit Name]]) * (Sequence[Dep. ID]&gt;Cylinders[[#This Row],[1st Motion]]), 0)), "")</f>
        <v/>
      </c>
      <c r="M52" s="243" t="str" cm="1">
        <f t="array" aca="1" ref="M52" ca="1">IFERROR(
  INDEX(Sequence[Dep. ID],
  MATCH(1, (Sequence[Actor Type]="CylinderUnits") * (Sequence[Row Type]&lt;&gt;"Start Conditions") *  (Sequence[Actor/Unit]=Cylinders[[#This Row],[Unit Name]]) * (Sequence[Dep. ID]&gt;Cylinders[[#This Row],[2nd Motion]]), 0)), "")</f>
        <v/>
      </c>
      <c r="N52" s="243" t="str" cm="1">
        <f t="array" aca="1" ref="N52" ca="1">IFERROR(
  INDEX(Sequence[Dep. ID],
  MATCH(1, (Sequence[Actor Type]="CylinderUnits") * (Sequence[Row Type]&lt;&gt;"Start Conditions") *  (Sequence[Actor/Unit]=Cylinders[[#This Row],[Unit Name]]) * (Sequence[Dep. ID]&gt;Cylinders[[#This Row],[3rd Motion]]), 0)), "")</f>
        <v/>
      </c>
      <c r="O52" s="243" t="str" cm="1">
        <f t="array" aca="1" ref="O52" ca="1">IFERROR(
  INDEX(Sequence[Dep. ID],
  MATCH(1, (Sequence[Actor Type]="CylinderUnits") * (Sequence[Row Type]&lt;&gt;"Start Conditions") *  (Sequence[Actor/Unit]=Cylinders[[#This Row],[Unit Name]]) * (Sequence[Dep. ID]&gt;Cylinders[[#This Row],[4th Motion]]), 0)), "")</f>
        <v/>
      </c>
      <c r="P52" s="243" t="str" cm="1">
        <f t="array" aca="1" ref="P52" ca="1">IFERROR(
  INDEX(Sequence[Dep. ID],
  MATCH(1, (Sequence[Actor Type]="CylinderUnits") * (Sequence[Row Type]&lt;&gt;"Start Conditions") *  (Sequence[Actor/Unit]=Cylinders[[#This Row],[Unit Name]]) * (Sequence[Dep. ID]&gt;Cylinders[[#This Row],[5th Motion]]), 0)), "")</f>
        <v/>
      </c>
      <c r="Q52" s="278"/>
      <c r="R52" s="282"/>
      <c r="S52" s="280"/>
      <c r="T52" s="280"/>
      <c r="U52" s="291"/>
      <c r="V52" s="280"/>
      <c r="W52" s="280"/>
      <c r="X52" s="280"/>
      <c r="Y52" s="289"/>
      <c r="Z52" s="278"/>
      <c r="AA52" s="278"/>
      <c r="AB52" s="274"/>
      <c r="AC52" s="247" t="str">
        <f>IF(AND(Cylinders[[#This Row],[Controls Manifold Name]]&lt;&gt;"",Cylinders[[#This Row],[Controls Valve Name]]&lt;&gt;"",Cylinders[[#This Row],[Unit Name]]&lt;&gt;""),_xlfn.CONCAT(U52,V52),"")</f>
        <v/>
      </c>
      <c r="AD52" s="245" t="str">
        <f>IF(AND(Cylinders[[#This Row],[Controls
Motion 
Group]]&lt;&gt;"",Cylinders[[#This Row],[Controls
Unit 
Name]]&lt;&gt;"",Cylinders[[#This Row],[Unit Name]]&lt;&gt;""),_xlfn.CONCAT(W52,X52),"")</f>
        <v/>
      </c>
    </row>
    <row r="53" spans="5:30" ht="18.600000000000001" customHeight="1">
      <c r="E53" s="282"/>
      <c r="F53" s="278"/>
      <c r="G53" s="279"/>
      <c r="H53" s="280"/>
      <c r="I53" s="280"/>
      <c r="J53" s="281"/>
      <c r="K53" s="243" t="str" cm="1">
        <f t="array" ref="K53">IFERROR(
INDEX(Sequence[Dep. ID],
MATCH(1, (Sequence[Actor Type]="CylinderUnits") * (Sequence[Row Type]&lt;&gt;"Start Conditions") * (Sequence[Actor/Unit]=Cylinders[[#This Row],[Unit Name]]), 0)), "")</f>
        <v/>
      </c>
      <c r="L53" s="243" t="str" cm="1">
        <f t="array" aca="1" ref="L53" ca="1">IFERROR(
  INDEX(Sequence[Dep. ID],
  MATCH(1, (Sequence[Actor Type]="CylinderUnits") * (Sequence[Row Type]&lt;&gt;"Start Conditions") *  (Sequence[Actor/Unit]=Cylinders[[#This Row],[Unit Name]]) * (Sequence[Dep. ID]&gt;Cylinders[[#This Row],[1st Motion]]), 0)), "")</f>
        <v/>
      </c>
      <c r="M53" s="243" t="str" cm="1">
        <f t="array" aca="1" ref="M53" ca="1">IFERROR(
  INDEX(Sequence[Dep. ID],
  MATCH(1, (Sequence[Actor Type]="CylinderUnits") * (Sequence[Row Type]&lt;&gt;"Start Conditions") *  (Sequence[Actor/Unit]=Cylinders[[#This Row],[Unit Name]]) * (Sequence[Dep. ID]&gt;Cylinders[[#This Row],[2nd Motion]]), 0)), "")</f>
        <v/>
      </c>
      <c r="N53" s="243" t="str" cm="1">
        <f t="array" aca="1" ref="N53" ca="1">IFERROR(
  INDEX(Sequence[Dep. ID],
  MATCH(1, (Sequence[Actor Type]="CylinderUnits") * (Sequence[Row Type]&lt;&gt;"Start Conditions") *  (Sequence[Actor/Unit]=Cylinders[[#This Row],[Unit Name]]) * (Sequence[Dep. ID]&gt;Cylinders[[#This Row],[3rd Motion]]), 0)), "")</f>
        <v/>
      </c>
      <c r="O53" s="243" t="str" cm="1">
        <f t="array" aca="1" ref="O53" ca="1">IFERROR(
  INDEX(Sequence[Dep. ID],
  MATCH(1, (Sequence[Actor Type]="CylinderUnits") * (Sequence[Row Type]&lt;&gt;"Start Conditions") *  (Sequence[Actor/Unit]=Cylinders[[#This Row],[Unit Name]]) * (Sequence[Dep. ID]&gt;Cylinders[[#This Row],[4th Motion]]), 0)), "")</f>
        <v/>
      </c>
      <c r="P53" s="243" t="str" cm="1">
        <f t="array" aca="1" ref="P53" ca="1">IFERROR(
  INDEX(Sequence[Dep. ID],
  MATCH(1, (Sequence[Actor Type]="CylinderUnits") * (Sequence[Row Type]&lt;&gt;"Start Conditions") *  (Sequence[Actor/Unit]=Cylinders[[#This Row],[Unit Name]]) * (Sequence[Dep. ID]&gt;Cylinders[[#This Row],[5th Motion]]), 0)), "")</f>
        <v/>
      </c>
      <c r="Q53" s="278"/>
      <c r="R53" s="282"/>
      <c r="S53" s="280"/>
      <c r="T53" s="280"/>
      <c r="U53" s="291"/>
      <c r="V53" s="280"/>
      <c r="W53" s="280"/>
      <c r="X53" s="280"/>
      <c r="Y53" s="289"/>
      <c r="Z53" s="278"/>
      <c r="AA53" s="278"/>
      <c r="AB53" s="274"/>
      <c r="AC53" s="247" t="str">
        <f>IF(AND(Cylinders[[#This Row],[Controls Manifold Name]]&lt;&gt;"",Cylinders[[#This Row],[Controls Valve Name]]&lt;&gt;"",Cylinders[[#This Row],[Unit Name]]&lt;&gt;""),_xlfn.CONCAT(U53,V53),"")</f>
        <v/>
      </c>
      <c r="AD53" s="245" t="str">
        <f>IF(AND(Cylinders[[#This Row],[Controls
Motion 
Group]]&lt;&gt;"",Cylinders[[#This Row],[Controls
Unit 
Name]]&lt;&gt;"",Cylinders[[#This Row],[Unit Name]]&lt;&gt;""),_xlfn.CONCAT(W53,X53),"")</f>
        <v/>
      </c>
    </row>
    <row r="54" spans="5:30" ht="18.600000000000001" customHeight="1">
      <c r="E54" s="282"/>
      <c r="F54" s="278"/>
      <c r="G54" s="279"/>
      <c r="H54" s="280"/>
      <c r="I54" s="280"/>
      <c r="J54" s="281"/>
      <c r="K54" s="243" t="str" cm="1">
        <f t="array" ref="K54">IFERROR(
INDEX(Sequence[Dep. ID],
MATCH(1, (Sequence[Actor Type]="CylinderUnits") * (Sequence[Row Type]&lt;&gt;"Start Conditions") * (Sequence[Actor/Unit]=Cylinders[[#This Row],[Unit Name]]), 0)), "")</f>
        <v/>
      </c>
      <c r="L54" s="243" t="str" cm="1">
        <f t="array" aca="1" ref="L54" ca="1">IFERROR(
  INDEX(Sequence[Dep. ID],
  MATCH(1, (Sequence[Actor Type]="CylinderUnits") * (Sequence[Row Type]&lt;&gt;"Start Conditions") *  (Sequence[Actor/Unit]=Cylinders[[#This Row],[Unit Name]]) * (Sequence[Dep. ID]&gt;Cylinders[[#This Row],[1st Motion]]), 0)), "")</f>
        <v/>
      </c>
      <c r="M54" s="243" t="str" cm="1">
        <f t="array" aca="1" ref="M54" ca="1">IFERROR(
  INDEX(Sequence[Dep. ID],
  MATCH(1, (Sequence[Actor Type]="CylinderUnits") * (Sequence[Row Type]&lt;&gt;"Start Conditions") *  (Sequence[Actor/Unit]=Cylinders[[#This Row],[Unit Name]]) * (Sequence[Dep. ID]&gt;Cylinders[[#This Row],[2nd Motion]]), 0)), "")</f>
        <v/>
      </c>
      <c r="N54" s="243" t="str" cm="1">
        <f t="array" aca="1" ref="N54" ca="1">IFERROR(
  INDEX(Sequence[Dep. ID],
  MATCH(1, (Sequence[Actor Type]="CylinderUnits") * (Sequence[Row Type]&lt;&gt;"Start Conditions") *  (Sequence[Actor/Unit]=Cylinders[[#This Row],[Unit Name]]) * (Sequence[Dep. ID]&gt;Cylinders[[#This Row],[3rd Motion]]), 0)), "")</f>
        <v/>
      </c>
      <c r="O54" s="243" t="str" cm="1">
        <f t="array" aca="1" ref="O54" ca="1">IFERROR(
  INDEX(Sequence[Dep. ID],
  MATCH(1, (Sequence[Actor Type]="CylinderUnits") * (Sequence[Row Type]&lt;&gt;"Start Conditions") *  (Sequence[Actor/Unit]=Cylinders[[#This Row],[Unit Name]]) * (Sequence[Dep. ID]&gt;Cylinders[[#This Row],[4th Motion]]), 0)), "")</f>
        <v/>
      </c>
      <c r="P54" s="243" t="str" cm="1">
        <f t="array" aca="1" ref="P54" ca="1">IFERROR(
  INDEX(Sequence[Dep. ID],
  MATCH(1, (Sequence[Actor Type]="CylinderUnits") * (Sequence[Row Type]&lt;&gt;"Start Conditions") *  (Sequence[Actor/Unit]=Cylinders[[#This Row],[Unit Name]]) * (Sequence[Dep. ID]&gt;Cylinders[[#This Row],[5th Motion]]), 0)), "")</f>
        <v/>
      </c>
      <c r="Q54" s="278"/>
      <c r="R54" s="282"/>
      <c r="S54" s="280"/>
      <c r="T54" s="280"/>
      <c r="U54" s="291"/>
      <c r="V54" s="280"/>
      <c r="W54" s="280"/>
      <c r="X54" s="280"/>
      <c r="Y54" s="289"/>
      <c r="Z54" s="278"/>
      <c r="AA54" s="278"/>
      <c r="AB54" s="274"/>
      <c r="AC54" s="247" t="str">
        <f>IF(AND(Cylinders[[#This Row],[Controls Manifold Name]]&lt;&gt;"",Cylinders[[#This Row],[Controls Valve Name]]&lt;&gt;"",Cylinders[[#This Row],[Unit Name]]&lt;&gt;""),_xlfn.CONCAT(U54,V54),"")</f>
        <v/>
      </c>
      <c r="AD54" s="245" t="str">
        <f>IF(AND(Cylinders[[#This Row],[Controls
Motion 
Group]]&lt;&gt;"",Cylinders[[#This Row],[Controls
Unit 
Name]]&lt;&gt;"",Cylinders[[#This Row],[Unit Name]]&lt;&gt;""),_xlfn.CONCAT(W54,X54),"")</f>
        <v/>
      </c>
    </row>
    <row r="55" spans="5:30" ht="18.600000000000001" customHeight="1">
      <c r="E55" s="282"/>
      <c r="F55" s="278"/>
      <c r="G55" s="279"/>
      <c r="H55" s="280"/>
      <c r="I55" s="280"/>
      <c r="J55" s="281"/>
      <c r="K55" s="243" t="str" cm="1">
        <f t="array" ref="K55">IFERROR(
INDEX(Sequence[Dep. ID],
MATCH(1, (Sequence[Actor Type]="CylinderUnits") * (Sequence[Row Type]&lt;&gt;"Start Conditions") * (Sequence[Actor/Unit]=Cylinders[[#This Row],[Unit Name]]), 0)), "")</f>
        <v/>
      </c>
      <c r="L55" s="243" t="str" cm="1">
        <f t="array" aca="1" ref="L55" ca="1">IFERROR(
  INDEX(Sequence[Dep. ID],
  MATCH(1, (Sequence[Actor Type]="CylinderUnits") * (Sequence[Row Type]&lt;&gt;"Start Conditions") *  (Sequence[Actor/Unit]=Cylinders[[#This Row],[Unit Name]]) * (Sequence[Dep. ID]&gt;Cylinders[[#This Row],[1st Motion]]), 0)), "")</f>
        <v/>
      </c>
      <c r="M55" s="243" t="str" cm="1">
        <f t="array" aca="1" ref="M55" ca="1">IFERROR(
  INDEX(Sequence[Dep. ID],
  MATCH(1, (Sequence[Actor Type]="CylinderUnits") * (Sequence[Row Type]&lt;&gt;"Start Conditions") *  (Sequence[Actor/Unit]=Cylinders[[#This Row],[Unit Name]]) * (Sequence[Dep. ID]&gt;Cylinders[[#This Row],[2nd Motion]]), 0)), "")</f>
        <v/>
      </c>
      <c r="N55" s="243" t="str" cm="1">
        <f t="array" aca="1" ref="N55" ca="1">IFERROR(
  INDEX(Sequence[Dep. ID],
  MATCH(1, (Sequence[Actor Type]="CylinderUnits") * (Sequence[Row Type]&lt;&gt;"Start Conditions") *  (Sequence[Actor/Unit]=Cylinders[[#This Row],[Unit Name]]) * (Sequence[Dep. ID]&gt;Cylinders[[#This Row],[3rd Motion]]), 0)), "")</f>
        <v/>
      </c>
      <c r="O55" s="243" t="str" cm="1">
        <f t="array" aca="1" ref="O55" ca="1">IFERROR(
  INDEX(Sequence[Dep. ID],
  MATCH(1, (Sequence[Actor Type]="CylinderUnits") * (Sequence[Row Type]&lt;&gt;"Start Conditions") *  (Sequence[Actor/Unit]=Cylinders[[#This Row],[Unit Name]]) * (Sequence[Dep. ID]&gt;Cylinders[[#This Row],[4th Motion]]), 0)), "")</f>
        <v/>
      </c>
      <c r="P55" s="243" t="str" cm="1">
        <f t="array" aca="1" ref="P55" ca="1">IFERROR(
  INDEX(Sequence[Dep. ID],
  MATCH(1, (Sequence[Actor Type]="CylinderUnits") * (Sequence[Row Type]&lt;&gt;"Start Conditions") *  (Sequence[Actor/Unit]=Cylinders[[#This Row],[Unit Name]]) * (Sequence[Dep. ID]&gt;Cylinders[[#This Row],[5th Motion]]), 0)), "")</f>
        <v/>
      </c>
      <c r="Q55" s="278"/>
      <c r="R55" s="282"/>
      <c r="S55" s="280"/>
      <c r="T55" s="280"/>
      <c r="U55" s="291"/>
      <c r="V55" s="280"/>
      <c r="W55" s="280"/>
      <c r="X55" s="280"/>
      <c r="Y55" s="289"/>
      <c r="Z55" s="278"/>
      <c r="AA55" s="278"/>
      <c r="AB55" s="274"/>
      <c r="AC55" s="247" t="str">
        <f>IF(AND(Cylinders[[#This Row],[Controls Manifold Name]]&lt;&gt;"",Cylinders[[#This Row],[Controls Valve Name]]&lt;&gt;"",Cylinders[[#This Row],[Unit Name]]&lt;&gt;""),_xlfn.CONCAT(U55,V55),"")</f>
        <v/>
      </c>
      <c r="AD55" s="245" t="str">
        <f>IF(AND(Cylinders[[#This Row],[Controls
Motion 
Group]]&lt;&gt;"",Cylinders[[#This Row],[Controls
Unit 
Name]]&lt;&gt;"",Cylinders[[#This Row],[Unit Name]]&lt;&gt;""),_xlfn.CONCAT(W55,X55),"")</f>
        <v/>
      </c>
    </row>
    <row r="56" spans="5:30" ht="18.600000000000001" customHeight="1">
      <c r="E56" s="282"/>
      <c r="F56" s="278"/>
      <c r="G56" s="279"/>
      <c r="H56" s="280"/>
      <c r="I56" s="280"/>
      <c r="J56" s="281"/>
      <c r="K56" s="243" t="str" cm="1">
        <f t="array" ref="K56">IFERROR(
INDEX(Sequence[Dep. ID],
MATCH(1, (Sequence[Actor Type]="CylinderUnits") * (Sequence[Row Type]&lt;&gt;"Start Conditions") * (Sequence[Actor/Unit]=Cylinders[[#This Row],[Unit Name]]), 0)), "")</f>
        <v/>
      </c>
      <c r="L56" s="243" t="str" cm="1">
        <f t="array" aca="1" ref="L56" ca="1">IFERROR(
  INDEX(Sequence[Dep. ID],
  MATCH(1, (Sequence[Actor Type]="CylinderUnits") * (Sequence[Row Type]&lt;&gt;"Start Conditions") *  (Sequence[Actor/Unit]=Cylinders[[#This Row],[Unit Name]]) * (Sequence[Dep. ID]&gt;Cylinders[[#This Row],[1st Motion]]), 0)), "")</f>
        <v/>
      </c>
      <c r="M56" s="243" t="str" cm="1">
        <f t="array" aca="1" ref="M56" ca="1">IFERROR(
  INDEX(Sequence[Dep. ID],
  MATCH(1, (Sequence[Actor Type]="CylinderUnits") * (Sequence[Row Type]&lt;&gt;"Start Conditions") *  (Sequence[Actor/Unit]=Cylinders[[#This Row],[Unit Name]]) * (Sequence[Dep. ID]&gt;Cylinders[[#This Row],[2nd Motion]]), 0)), "")</f>
        <v/>
      </c>
      <c r="N56" s="243" t="str" cm="1">
        <f t="array" aca="1" ref="N56" ca="1">IFERROR(
  INDEX(Sequence[Dep. ID],
  MATCH(1, (Sequence[Actor Type]="CylinderUnits") * (Sequence[Row Type]&lt;&gt;"Start Conditions") *  (Sequence[Actor/Unit]=Cylinders[[#This Row],[Unit Name]]) * (Sequence[Dep. ID]&gt;Cylinders[[#This Row],[3rd Motion]]), 0)), "")</f>
        <v/>
      </c>
      <c r="O56" s="243" t="str" cm="1">
        <f t="array" aca="1" ref="O56" ca="1">IFERROR(
  INDEX(Sequence[Dep. ID],
  MATCH(1, (Sequence[Actor Type]="CylinderUnits") * (Sequence[Row Type]&lt;&gt;"Start Conditions") *  (Sequence[Actor/Unit]=Cylinders[[#This Row],[Unit Name]]) * (Sequence[Dep. ID]&gt;Cylinders[[#This Row],[4th Motion]]), 0)), "")</f>
        <v/>
      </c>
      <c r="P56" s="243" t="str" cm="1">
        <f t="array" aca="1" ref="P56" ca="1">IFERROR(
  INDEX(Sequence[Dep. ID],
  MATCH(1, (Sequence[Actor Type]="CylinderUnits") * (Sequence[Row Type]&lt;&gt;"Start Conditions") *  (Sequence[Actor/Unit]=Cylinders[[#This Row],[Unit Name]]) * (Sequence[Dep. ID]&gt;Cylinders[[#This Row],[5th Motion]]), 0)), "")</f>
        <v/>
      </c>
      <c r="Q56" s="278"/>
      <c r="R56" s="282"/>
      <c r="S56" s="280"/>
      <c r="T56" s="280"/>
      <c r="U56" s="291"/>
      <c r="V56" s="280"/>
      <c r="W56" s="280"/>
      <c r="X56" s="280"/>
      <c r="Y56" s="289"/>
      <c r="Z56" s="278"/>
      <c r="AA56" s="278"/>
      <c r="AB56" s="274"/>
      <c r="AC56" s="247" t="str">
        <f>IF(AND(Cylinders[[#This Row],[Controls Manifold Name]]&lt;&gt;"",Cylinders[[#This Row],[Controls Valve Name]]&lt;&gt;"",Cylinders[[#This Row],[Unit Name]]&lt;&gt;""),_xlfn.CONCAT(U56,V56),"")</f>
        <v/>
      </c>
      <c r="AD56" s="245" t="str">
        <f>IF(AND(Cylinders[[#This Row],[Controls
Motion 
Group]]&lt;&gt;"",Cylinders[[#This Row],[Controls
Unit 
Name]]&lt;&gt;"",Cylinders[[#This Row],[Unit Name]]&lt;&gt;""),_xlfn.CONCAT(W56,X56),"")</f>
        <v/>
      </c>
    </row>
    <row r="57" spans="5:30" ht="18.600000000000001" customHeight="1">
      <c r="E57" s="282"/>
      <c r="F57" s="278"/>
      <c r="G57" s="279"/>
      <c r="H57" s="280"/>
      <c r="I57" s="280"/>
      <c r="J57" s="281"/>
      <c r="K57" s="243" t="str" cm="1">
        <f t="array" ref="K57">IFERROR(
INDEX(Sequence[Dep. ID],
MATCH(1, (Sequence[Actor Type]="CylinderUnits") * (Sequence[Row Type]&lt;&gt;"Start Conditions") * (Sequence[Actor/Unit]=Cylinders[[#This Row],[Unit Name]]), 0)), "")</f>
        <v/>
      </c>
      <c r="L57" s="243" t="str" cm="1">
        <f t="array" aca="1" ref="L57" ca="1">IFERROR(
  INDEX(Sequence[Dep. ID],
  MATCH(1, (Sequence[Actor Type]="CylinderUnits") * (Sequence[Row Type]&lt;&gt;"Start Conditions") *  (Sequence[Actor/Unit]=Cylinders[[#This Row],[Unit Name]]) * (Sequence[Dep. ID]&gt;Cylinders[[#This Row],[1st Motion]]), 0)), "")</f>
        <v/>
      </c>
      <c r="M57" s="243" t="str" cm="1">
        <f t="array" aca="1" ref="M57" ca="1">IFERROR(
  INDEX(Sequence[Dep. ID],
  MATCH(1, (Sequence[Actor Type]="CylinderUnits") * (Sequence[Row Type]&lt;&gt;"Start Conditions") *  (Sequence[Actor/Unit]=Cylinders[[#This Row],[Unit Name]]) * (Sequence[Dep. ID]&gt;Cylinders[[#This Row],[2nd Motion]]), 0)), "")</f>
        <v/>
      </c>
      <c r="N57" s="243" t="str" cm="1">
        <f t="array" aca="1" ref="N57" ca="1">IFERROR(
  INDEX(Sequence[Dep. ID],
  MATCH(1, (Sequence[Actor Type]="CylinderUnits") * (Sequence[Row Type]&lt;&gt;"Start Conditions") *  (Sequence[Actor/Unit]=Cylinders[[#This Row],[Unit Name]]) * (Sequence[Dep. ID]&gt;Cylinders[[#This Row],[3rd Motion]]), 0)), "")</f>
        <v/>
      </c>
      <c r="O57" s="243" t="str" cm="1">
        <f t="array" aca="1" ref="O57" ca="1">IFERROR(
  INDEX(Sequence[Dep. ID],
  MATCH(1, (Sequence[Actor Type]="CylinderUnits") * (Sequence[Row Type]&lt;&gt;"Start Conditions") *  (Sequence[Actor/Unit]=Cylinders[[#This Row],[Unit Name]]) * (Sequence[Dep. ID]&gt;Cylinders[[#This Row],[4th Motion]]), 0)), "")</f>
        <v/>
      </c>
      <c r="P57" s="243" t="str" cm="1">
        <f t="array" aca="1" ref="P57" ca="1">IFERROR(
  INDEX(Sequence[Dep. ID],
  MATCH(1, (Sequence[Actor Type]="CylinderUnits") * (Sequence[Row Type]&lt;&gt;"Start Conditions") *  (Sequence[Actor/Unit]=Cylinders[[#This Row],[Unit Name]]) * (Sequence[Dep. ID]&gt;Cylinders[[#This Row],[5th Motion]]), 0)), "")</f>
        <v/>
      </c>
      <c r="Q57" s="278"/>
      <c r="R57" s="282"/>
      <c r="S57" s="280"/>
      <c r="T57" s="280"/>
      <c r="U57" s="291"/>
      <c r="V57" s="280"/>
      <c r="W57" s="280"/>
      <c r="X57" s="280"/>
      <c r="Y57" s="289"/>
      <c r="Z57" s="278"/>
      <c r="AA57" s="278"/>
      <c r="AB57" s="274"/>
      <c r="AC57" s="247" t="str">
        <f>IF(AND(Cylinders[[#This Row],[Controls Manifold Name]]&lt;&gt;"",Cylinders[[#This Row],[Controls Valve Name]]&lt;&gt;"",Cylinders[[#This Row],[Unit Name]]&lt;&gt;""),_xlfn.CONCAT(U57,V57),"")</f>
        <v/>
      </c>
      <c r="AD57" s="245" t="str">
        <f>IF(AND(Cylinders[[#This Row],[Controls
Motion 
Group]]&lt;&gt;"",Cylinders[[#This Row],[Controls
Unit 
Name]]&lt;&gt;"",Cylinders[[#This Row],[Unit Name]]&lt;&gt;""),_xlfn.CONCAT(W57,X57),"")</f>
        <v/>
      </c>
    </row>
    <row r="58" spans="5:30" ht="18.600000000000001" customHeight="1">
      <c r="E58" s="282"/>
      <c r="F58" s="278"/>
      <c r="G58" s="279"/>
      <c r="H58" s="280"/>
      <c r="I58" s="280"/>
      <c r="J58" s="281"/>
      <c r="K58" s="243" t="str" cm="1">
        <f t="array" ref="K58">IFERROR(
INDEX(Sequence[Dep. ID],
MATCH(1, (Sequence[Actor Type]="CylinderUnits") * (Sequence[Row Type]&lt;&gt;"Start Conditions") * (Sequence[Actor/Unit]=Cylinders[[#This Row],[Unit Name]]), 0)), "")</f>
        <v/>
      </c>
      <c r="L58" s="243" t="str" cm="1">
        <f t="array" aca="1" ref="L58" ca="1">IFERROR(
  INDEX(Sequence[Dep. ID],
  MATCH(1, (Sequence[Actor Type]="CylinderUnits") * (Sequence[Row Type]&lt;&gt;"Start Conditions") *  (Sequence[Actor/Unit]=Cylinders[[#This Row],[Unit Name]]) * (Sequence[Dep. ID]&gt;Cylinders[[#This Row],[1st Motion]]), 0)), "")</f>
        <v/>
      </c>
      <c r="M58" s="243" t="str" cm="1">
        <f t="array" aca="1" ref="M58" ca="1">IFERROR(
  INDEX(Sequence[Dep. ID],
  MATCH(1, (Sequence[Actor Type]="CylinderUnits") * (Sequence[Row Type]&lt;&gt;"Start Conditions") *  (Sequence[Actor/Unit]=Cylinders[[#This Row],[Unit Name]]) * (Sequence[Dep. ID]&gt;Cylinders[[#This Row],[2nd Motion]]), 0)), "")</f>
        <v/>
      </c>
      <c r="N58" s="243" t="str" cm="1">
        <f t="array" aca="1" ref="N58" ca="1">IFERROR(
  INDEX(Sequence[Dep. ID],
  MATCH(1, (Sequence[Actor Type]="CylinderUnits") * (Sequence[Row Type]&lt;&gt;"Start Conditions") *  (Sequence[Actor/Unit]=Cylinders[[#This Row],[Unit Name]]) * (Sequence[Dep. ID]&gt;Cylinders[[#This Row],[3rd Motion]]), 0)), "")</f>
        <v/>
      </c>
      <c r="O58" s="243" t="str" cm="1">
        <f t="array" aca="1" ref="O58" ca="1">IFERROR(
  INDEX(Sequence[Dep. ID],
  MATCH(1, (Sequence[Actor Type]="CylinderUnits") * (Sequence[Row Type]&lt;&gt;"Start Conditions") *  (Sequence[Actor/Unit]=Cylinders[[#This Row],[Unit Name]]) * (Sequence[Dep. ID]&gt;Cylinders[[#This Row],[4th Motion]]), 0)), "")</f>
        <v/>
      </c>
      <c r="P58" s="243" t="str" cm="1">
        <f t="array" aca="1" ref="P58" ca="1">IFERROR(
  INDEX(Sequence[Dep. ID],
  MATCH(1, (Sequence[Actor Type]="CylinderUnits") * (Sequence[Row Type]&lt;&gt;"Start Conditions") *  (Sequence[Actor/Unit]=Cylinders[[#This Row],[Unit Name]]) * (Sequence[Dep. ID]&gt;Cylinders[[#This Row],[5th Motion]]), 0)), "")</f>
        <v/>
      </c>
      <c r="Q58" s="278"/>
      <c r="R58" s="282"/>
      <c r="S58" s="280"/>
      <c r="T58" s="280"/>
      <c r="U58" s="291"/>
      <c r="V58" s="280"/>
      <c r="W58" s="280"/>
      <c r="X58" s="280"/>
      <c r="Y58" s="289"/>
      <c r="Z58" s="278"/>
      <c r="AA58" s="278"/>
      <c r="AB58" s="274"/>
      <c r="AC58" s="247" t="str">
        <f>IF(AND(Cylinders[[#This Row],[Controls Manifold Name]]&lt;&gt;"",Cylinders[[#This Row],[Controls Valve Name]]&lt;&gt;"",Cylinders[[#This Row],[Unit Name]]&lt;&gt;""),_xlfn.CONCAT(U58,V58),"")</f>
        <v/>
      </c>
      <c r="AD58" s="245" t="str">
        <f>IF(AND(Cylinders[[#This Row],[Controls
Motion 
Group]]&lt;&gt;"",Cylinders[[#This Row],[Controls
Unit 
Name]]&lt;&gt;"",Cylinders[[#This Row],[Unit Name]]&lt;&gt;""),_xlfn.CONCAT(W58,X58),"")</f>
        <v/>
      </c>
    </row>
    <row r="59" spans="5:30" ht="18.600000000000001" customHeight="1">
      <c r="E59" s="282"/>
      <c r="F59" s="278"/>
      <c r="G59" s="279"/>
      <c r="H59" s="280"/>
      <c r="I59" s="280"/>
      <c r="J59" s="281"/>
      <c r="K59" s="243" t="str" cm="1">
        <f t="array" ref="K59">IFERROR(
INDEX(Sequence[Dep. ID],
MATCH(1, (Sequence[Actor Type]="CylinderUnits") * (Sequence[Row Type]&lt;&gt;"Start Conditions") * (Sequence[Actor/Unit]=Cylinders[[#This Row],[Unit Name]]), 0)), "")</f>
        <v/>
      </c>
      <c r="L59" s="243" t="str" cm="1">
        <f t="array" aca="1" ref="L59" ca="1">IFERROR(
  INDEX(Sequence[Dep. ID],
  MATCH(1, (Sequence[Actor Type]="CylinderUnits") * (Sequence[Row Type]&lt;&gt;"Start Conditions") *  (Sequence[Actor/Unit]=Cylinders[[#This Row],[Unit Name]]) * (Sequence[Dep. ID]&gt;Cylinders[[#This Row],[1st Motion]]), 0)), "")</f>
        <v/>
      </c>
      <c r="M59" s="243" t="str" cm="1">
        <f t="array" aca="1" ref="M59" ca="1">IFERROR(
  INDEX(Sequence[Dep. ID],
  MATCH(1, (Sequence[Actor Type]="CylinderUnits") * (Sequence[Row Type]&lt;&gt;"Start Conditions") *  (Sequence[Actor/Unit]=Cylinders[[#This Row],[Unit Name]]) * (Sequence[Dep. ID]&gt;Cylinders[[#This Row],[2nd Motion]]), 0)), "")</f>
        <v/>
      </c>
      <c r="N59" s="243" t="str" cm="1">
        <f t="array" aca="1" ref="N59" ca="1">IFERROR(
  INDEX(Sequence[Dep. ID],
  MATCH(1, (Sequence[Actor Type]="CylinderUnits") * (Sequence[Row Type]&lt;&gt;"Start Conditions") *  (Sequence[Actor/Unit]=Cylinders[[#This Row],[Unit Name]]) * (Sequence[Dep. ID]&gt;Cylinders[[#This Row],[3rd Motion]]), 0)), "")</f>
        <v/>
      </c>
      <c r="O59" s="243" t="str" cm="1">
        <f t="array" aca="1" ref="O59" ca="1">IFERROR(
  INDEX(Sequence[Dep. ID],
  MATCH(1, (Sequence[Actor Type]="CylinderUnits") * (Sequence[Row Type]&lt;&gt;"Start Conditions") *  (Sequence[Actor/Unit]=Cylinders[[#This Row],[Unit Name]]) * (Sequence[Dep. ID]&gt;Cylinders[[#This Row],[4th Motion]]), 0)), "")</f>
        <v/>
      </c>
      <c r="P59" s="243" t="str" cm="1">
        <f t="array" aca="1" ref="P59" ca="1">IFERROR(
  INDEX(Sequence[Dep. ID],
  MATCH(1, (Sequence[Actor Type]="CylinderUnits") * (Sequence[Row Type]&lt;&gt;"Start Conditions") *  (Sequence[Actor/Unit]=Cylinders[[#This Row],[Unit Name]]) * (Sequence[Dep. ID]&gt;Cylinders[[#This Row],[5th Motion]]), 0)), "")</f>
        <v/>
      </c>
      <c r="Q59" s="278"/>
      <c r="R59" s="282"/>
      <c r="S59" s="280"/>
      <c r="T59" s="280"/>
      <c r="U59" s="291"/>
      <c r="V59" s="280"/>
      <c r="W59" s="280"/>
      <c r="X59" s="280"/>
      <c r="Y59" s="289"/>
      <c r="Z59" s="278"/>
      <c r="AA59" s="278"/>
      <c r="AB59" s="274"/>
      <c r="AC59" s="247" t="str">
        <f>IF(AND(Cylinders[[#This Row],[Controls Manifold Name]]&lt;&gt;"",Cylinders[[#This Row],[Controls Valve Name]]&lt;&gt;"",Cylinders[[#This Row],[Unit Name]]&lt;&gt;""),_xlfn.CONCAT(U59,V59),"")</f>
        <v/>
      </c>
      <c r="AD59" s="245" t="str">
        <f>IF(AND(Cylinders[[#This Row],[Controls
Motion 
Group]]&lt;&gt;"",Cylinders[[#This Row],[Controls
Unit 
Name]]&lt;&gt;"",Cylinders[[#This Row],[Unit Name]]&lt;&gt;""),_xlfn.CONCAT(W59,X59),"")</f>
        <v/>
      </c>
    </row>
    <row r="60" spans="5:30" ht="18.600000000000001" customHeight="1">
      <c r="E60" s="282"/>
      <c r="F60" s="278"/>
      <c r="G60" s="279"/>
      <c r="H60" s="280"/>
      <c r="I60" s="280"/>
      <c r="J60" s="281"/>
      <c r="K60" s="243" t="str" cm="1">
        <f t="array" ref="K60">IFERROR(
INDEX(Sequence[Dep. ID],
MATCH(1, (Sequence[Actor Type]="CylinderUnits") * (Sequence[Row Type]&lt;&gt;"Start Conditions") * (Sequence[Actor/Unit]=Cylinders[[#This Row],[Unit Name]]), 0)), "")</f>
        <v/>
      </c>
      <c r="L60" s="243" t="str" cm="1">
        <f t="array" aca="1" ref="L60" ca="1">IFERROR(
  INDEX(Sequence[Dep. ID],
  MATCH(1, (Sequence[Actor Type]="CylinderUnits") * (Sequence[Row Type]&lt;&gt;"Start Conditions") *  (Sequence[Actor/Unit]=Cylinders[[#This Row],[Unit Name]]) * (Sequence[Dep. ID]&gt;Cylinders[[#This Row],[1st Motion]]), 0)), "")</f>
        <v/>
      </c>
      <c r="M60" s="243" t="str" cm="1">
        <f t="array" aca="1" ref="M60" ca="1">IFERROR(
  INDEX(Sequence[Dep. ID],
  MATCH(1, (Sequence[Actor Type]="CylinderUnits") * (Sequence[Row Type]&lt;&gt;"Start Conditions") *  (Sequence[Actor/Unit]=Cylinders[[#This Row],[Unit Name]]) * (Sequence[Dep. ID]&gt;Cylinders[[#This Row],[2nd Motion]]), 0)), "")</f>
        <v/>
      </c>
      <c r="N60" s="243" t="str" cm="1">
        <f t="array" aca="1" ref="N60" ca="1">IFERROR(
  INDEX(Sequence[Dep. ID],
  MATCH(1, (Sequence[Actor Type]="CylinderUnits") * (Sequence[Row Type]&lt;&gt;"Start Conditions") *  (Sequence[Actor/Unit]=Cylinders[[#This Row],[Unit Name]]) * (Sequence[Dep. ID]&gt;Cylinders[[#This Row],[3rd Motion]]), 0)), "")</f>
        <v/>
      </c>
      <c r="O60" s="243" t="str" cm="1">
        <f t="array" aca="1" ref="O60" ca="1">IFERROR(
  INDEX(Sequence[Dep. ID],
  MATCH(1, (Sequence[Actor Type]="CylinderUnits") * (Sequence[Row Type]&lt;&gt;"Start Conditions") *  (Sequence[Actor/Unit]=Cylinders[[#This Row],[Unit Name]]) * (Sequence[Dep. ID]&gt;Cylinders[[#This Row],[4th Motion]]), 0)), "")</f>
        <v/>
      </c>
      <c r="P60" s="243" t="str" cm="1">
        <f t="array" aca="1" ref="P60" ca="1">IFERROR(
  INDEX(Sequence[Dep. ID],
  MATCH(1, (Sequence[Actor Type]="CylinderUnits") * (Sequence[Row Type]&lt;&gt;"Start Conditions") *  (Sequence[Actor/Unit]=Cylinders[[#This Row],[Unit Name]]) * (Sequence[Dep. ID]&gt;Cylinders[[#This Row],[5th Motion]]), 0)), "")</f>
        <v/>
      </c>
      <c r="Q60" s="278"/>
      <c r="R60" s="282"/>
      <c r="S60" s="280"/>
      <c r="T60" s="280"/>
      <c r="U60" s="291"/>
      <c r="V60" s="280"/>
      <c r="W60" s="280"/>
      <c r="X60" s="280"/>
      <c r="Y60" s="289"/>
      <c r="Z60" s="278"/>
      <c r="AA60" s="278"/>
      <c r="AB60" s="274"/>
      <c r="AC60" s="247" t="str">
        <f>IF(AND(Cylinders[[#This Row],[Controls Manifold Name]]&lt;&gt;"",Cylinders[[#This Row],[Controls Valve Name]]&lt;&gt;"",Cylinders[[#This Row],[Unit Name]]&lt;&gt;""),_xlfn.CONCAT(U60,V60),"")</f>
        <v/>
      </c>
      <c r="AD60" s="245" t="str">
        <f>IF(AND(Cylinders[[#This Row],[Controls
Motion 
Group]]&lt;&gt;"",Cylinders[[#This Row],[Controls
Unit 
Name]]&lt;&gt;"",Cylinders[[#This Row],[Unit Name]]&lt;&gt;""),_xlfn.CONCAT(W60,X60),"")</f>
        <v/>
      </c>
    </row>
    <row r="61" spans="5:30" ht="18.600000000000001" customHeight="1">
      <c r="E61" s="282"/>
      <c r="F61" s="278"/>
      <c r="G61" s="279"/>
      <c r="H61" s="280"/>
      <c r="I61" s="280"/>
      <c r="J61" s="281"/>
      <c r="K61" s="243" t="str" cm="1">
        <f t="array" ref="K61">IFERROR(
INDEX(Sequence[Dep. ID],
MATCH(1, (Sequence[Actor Type]="CylinderUnits") * (Sequence[Row Type]&lt;&gt;"Start Conditions") * (Sequence[Actor/Unit]=Cylinders[[#This Row],[Unit Name]]), 0)), "")</f>
        <v/>
      </c>
      <c r="L61" s="243" t="str" cm="1">
        <f t="array" aca="1" ref="L61" ca="1">IFERROR(
  INDEX(Sequence[Dep. ID],
  MATCH(1, (Sequence[Actor Type]="CylinderUnits") * (Sequence[Row Type]&lt;&gt;"Start Conditions") *  (Sequence[Actor/Unit]=Cylinders[[#This Row],[Unit Name]]) * (Sequence[Dep. ID]&gt;Cylinders[[#This Row],[1st Motion]]), 0)), "")</f>
        <v/>
      </c>
      <c r="M61" s="243" t="str" cm="1">
        <f t="array" aca="1" ref="M61" ca="1">IFERROR(
  INDEX(Sequence[Dep. ID],
  MATCH(1, (Sequence[Actor Type]="CylinderUnits") * (Sequence[Row Type]&lt;&gt;"Start Conditions") *  (Sequence[Actor/Unit]=Cylinders[[#This Row],[Unit Name]]) * (Sequence[Dep. ID]&gt;Cylinders[[#This Row],[2nd Motion]]), 0)), "")</f>
        <v/>
      </c>
      <c r="N61" s="243" t="str" cm="1">
        <f t="array" aca="1" ref="N61" ca="1">IFERROR(
  INDEX(Sequence[Dep. ID],
  MATCH(1, (Sequence[Actor Type]="CylinderUnits") * (Sequence[Row Type]&lt;&gt;"Start Conditions") *  (Sequence[Actor/Unit]=Cylinders[[#This Row],[Unit Name]]) * (Sequence[Dep. ID]&gt;Cylinders[[#This Row],[3rd Motion]]), 0)), "")</f>
        <v/>
      </c>
      <c r="O61" s="243" t="str" cm="1">
        <f t="array" aca="1" ref="O61" ca="1">IFERROR(
  INDEX(Sequence[Dep. ID],
  MATCH(1, (Sequence[Actor Type]="CylinderUnits") * (Sequence[Row Type]&lt;&gt;"Start Conditions") *  (Sequence[Actor/Unit]=Cylinders[[#This Row],[Unit Name]]) * (Sequence[Dep. ID]&gt;Cylinders[[#This Row],[4th Motion]]), 0)), "")</f>
        <v/>
      </c>
      <c r="P61" s="243" t="str" cm="1">
        <f t="array" aca="1" ref="P61" ca="1">IFERROR(
  INDEX(Sequence[Dep. ID],
  MATCH(1, (Sequence[Actor Type]="CylinderUnits") * (Sequence[Row Type]&lt;&gt;"Start Conditions") *  (Sequence[Actor/Unit]=Cylinders[[#This Row],[Unit Name]]) * (Sequence[Dep. ID]&gt;Cylinders[[#This Row],[5th Motion]]), 0)), "")</f>
        <v/>
      </c>
      <c r="Q61" s="278"/>
      <c r="R61" s="282"/>
      <c r="S61" s="280"/>
      <c r="T61" s="280"/>
      <c r="U61" s="291"/>
      <c r="V61" s="280"/>
      <c r="W61" s="280"/>
      <c r="X61" s="280"/>
      <c r="Y61" s="289"/>
      <c r="Z61" s="278"/>
      <c r="AA61" s="278"/>
      <c r="AB61" s="274"/>
      <c r="AC61" s="247" t="str">
        <f>IF(AND(Cylinders[[#This Row],[Controls Manifold Name]]&lt;&gt;"",Cylinders[[#This Row],[Controls Valve Name]]&lt;&gt;"",Cylinders[[#This Row],[Unit Name]]&lt;&gt;""),_xlfn.CONCAT(U61,V61),"")</f>
        <v/>
      </c>
      <c r="AD61" s="245" t="str">
        <f>IF(AND(Cylinders[[#This Row],[Controls
Motion 
Group]]&lt;&gt;"",Cylinders[[#This Row],[Controls
Unit 
Name]]&lt;&gt;"",Cylinders[[#This Row],[Unit Name]]&lt;&gt;""),_xlfn.CONCAT(W61,X61),"")</f>
        <v/>
      </c>
    </row>
    <row r="62" spans="5:30" ht="18.600000000000001" customHeight="1">
      <c r="E62" s="282"/>
      <c r="F62" s="278"/>
      <c r="G62" s="279"/>
      <c r="H62" s="280"/>
      <c r="I62" s="280"/>
      <c r="J62" s="281"/>
      <c r="K62" s="243" t="str" cm="1">
        <f t="array" ref="K62">IFERROR(
INDEX(Sequence[Dep. ID],
MATCH(1, (Sequence[Actor Type]="CylinderUnits") * (Sequence[Row Type]&lt;&gt;"Start Conditions") * (Sequence[Actor/Unit]=Cylinders[[#This Row],[Unit Name]]), 0)), "")</f>
        <v/>
      </c>
      <c r="L62" s="243" t="str" cm="1">
        <f t="array" aca="1" ref="L62" ca="1">IFERROR(
  INDEX(Sequence[Dep. ID],
  MATCH(1, (Sequence[Actor Type]="CylinderUnits") * (Sequence[Row Type]&lt;&gt;"Start Conditions") *  (Sequence[Actor/Unit]=Cylinders[[#This Row],[Unit Name]]) * (Sequence[Dep. ID]&gt;Cylinders[[#This Row],[1st Motion]]), 0)), "")</f>
        <v/>
      </c>
      <c r="M62" s="243" t="str" cm="1">
        <f t="array" aca="1" ref="M62" ca="1">IFERROR(
  INDEX(Sequence[Dep. ID],
  MATCH(1, (Sequence[Actor Type]="CylinderUnits") * (Sequence[Row Type]&lt;&gt;"Start Conditions") *  (Sequence[Actor/Unit]=Cylinders[[#This Row],[Unit Name]]) * (Sequence[Dep. ID]&gt;Cylinders[[#This Row],[2nd Motion]]), 0)), "")</f>
        <v/>
      </c>
      <c r="N62" s="243" t="str" cm="1">
        <f t="array" aca="1" ref="N62" ca="1">IFERROR(
  INDEX(Sequence[Dep. ID],
  MATCH(1, (Sequence[Actor Type]="CylinderUnits") * (Sequence[Row Type]&lt;&gt;"Start Conditions") *  (Sequence[Actor/Unit]=Cylinders[[#This Row],[Unit Name]]) * (Sequence[Dep. ID]&gt;Cylinders[[#This Row],[3rd Motion]]), 0)), "")</f>
        <v/>
      </c>
      <c r="O62" s="243" t="str" cm="1">
        <f t="array" aca="1" ref="O62" ca="1">IFERROR(
  INDEX(Sequence[Dep. ID],
  MATCH(1, (Sequence[Actor Type]="CylinderUnits") * (Sequence[Row Type]&lt;&gt;"Start Conditions") *  (Sequence[Actor/Unit]=Cylinders[[#This Row],[Unit Name]]) * (Sequence[Dep. ID]&gt;Cylinders[[#This Row],[4th Motion]]), 0)), "")</f>
        <v/>
      </c>
      <c r="P62" s="243" t="str" cm="1">
        <f t="array" aca="1" ref="P62" ca="1">IFERROR(
  INDEX(Sequence[Dep. ID],
  MATCH(1, (Sequence[Actor Type]="CylinderUnits") * (Sequence[Row Type]&lt;&gt;"Start Conditions") *  (Sequence[Actor/Unit]=Cylinders[[#This Row],[Unit Name]]) * (Sequence[Dep. ID]&gt;Cylinders[[#This Row],[5th Motion]]), 0)), "")</f>
        <v/>
      </c>
      <c r="Q62" s="278"/>
      <c r="R62" s="282"/>
      <c r="S62" s="280"/>
      <c r="T62" s="280"/>
      <c r="U62" s="291"/>
      <c r="V62" s="280"/>
      <c r="W62" s="280"/>
      <c r="X62" s="280"/>
      <c r="Y62" s="280"/>
      <c r="Z62" s="278"/>
      <c r="AA62" s="278"/>
      <c r="AB62" s="274"/>
      <c r="AC62" s="247" t="str">
        <f>IF(AND(Cylinders[[#This Row],[Controls Manifold Name]]&lt;&gt;"",Cylinders[[#This Row],[Controls Valve Name]]&lt;&gt;"",Cylinders[[#This Row],[Unit Name]]&lt;&gt;""),_xlfn.CONCAT(U62,V62),"")</f>
        <v/>
      </c>
      <c r="AD62" s="245" t="str">
        <f>IF(AND(Cylinders[[#This Row],[Controls
Motion 
Group]]&lt;&gt;"",Cylinders[[#This Row],[Controls
Unit 
Name]]&lt;&gt;"",Cylinders[[#This Row],[Unit Name]]&lt;&gt;""),_xlfn.CONCAT(W62,X62),"")</f>
        <v/>
      </c>
    </row>
    <row r="63" spans="5:30" ht="18.600000000000001" customHeight="1">
      <c r="E63" s="282"/>
      <c r="F63" s="278"/>
      <c r="G63" s="279"/>
      <c r="H63" s="280"/>
      <c r="I63" s="280"/>
      <c r="J63" s="281"/>
      <c r="K63" s="243" t="str" cm="1">
        <f t="array" ref="K63">IFERROR(
INDEX(Sequence[Dep. ID],
MATCH(1, (Sequence[Actor Type]="CylinderUnits") * (Sequence[Row Type]&lt;&gt;"Start Conditions") * (Sequence[Actor/Unit]=Cylinders[[#This Row],[Unit Name]]), 0)), "")</f>
        <v/>
      </c>
      <c r="L63" s="243" t="str" cm="1">
        <f t="array" aca="1" ref="L63" ca="1">IFERROR(
  INDEX(Sequence[Dep. ID],
  MATCH(1, (Sequence[Actor Type]="CylinderUnits") * (Sequence[Row Type]&lt;&gt;"Start Conditions") *  (Sequence[Actor/Unit]=Cylinders[[#This Row],[Unit Name]]) * (Sequence[Dep. ID]&gt;Cylinders[[#This Row],[1st Motion]]), 0)), "")</f>
        <v/>
      </c>
      <c r="M63" s="243" t="str" cm="1">
        <f t="array" aca="1" ref="M63" ca="1">IFERROR(
  INDEX(Sequence[Dep. ID],
  MATCH(1, (Sequence[Actor Type]="CylinderUnits") * (Sequence[Row Type]&lt;&gt;"Start Conditions") *  (Sequence[Actor/Unit]=Cylinders[[#This Row],[Unit Name]]) * (Sequence[Dep. ID]&gt;Cylinders[[#This Row],[2nd Motion]]), 0)), "")</f>
        <v/>
      </c>
      <c r="N63" s="243" t="str" cm="1">
        <f t="array" aca="1" ref="N63" ca="1">IFERROR(
  INDEX(Sequence[Dep. ID],
  MATCH(1, (Sequence[Actor Type]="CylinderUnits") * (Sequence[Row Type]&lt;&gt;"Start Conditions") *  (Sequence[Actor/Unit]=Cylinders[[#This Row],[Unit Name]]) * (Sequence[Dep. ID]&gt;Cylinders[[#This Row],[3rd Motion]]), 0)), "")</f>
        <v/>
      </c>
      <c r="O63" s="243" t="str" cm="1">
        <f t="array" aca="1" ref="O63" ca="1">IFERROR(
  INDEX(Sequence[Dep. ID],
  MATCH(1, (Sequence[Actor Type]="CylinderUnits") * (Sequence[Row Type]&lt;&gt;"Start Conditions") *  (Sequence[Actor/Unit]=Cylinders[[#This Row],[Unit Name]]) * (Sequence[Dep. ID]&gt;Cylinders[[#This Row],[4th Motion]]), 0)), "")</f>
        <v/>
      </c>
      <c r="P63" s="243" t="str" cm="1">
        <f t="array" aca="1" ref="P63" ca="1">IFERROR(
  INDEX(Sequence[Dep. ID],
  MATCH(1, (Sequence[Actor Type]="CylinderUnits") * (Sequence[Row Type]&lt;&gt;"Start Conditions") *  (Sequence[Actor/Unit]=Cylinders[[#This Row],[Unit Name]]) * (Sequence[Dep. ID]&gt;Cylinders[[#This Row],[5th Motion]]), 0)), "")</f>
        <v/>
      </c>
      <c r="Q63" s="278"/>
      <c r="R63" s="282"/>
      <c r="S63" s="280"/>
      <c r="T63" s="280"/>
      <c r="U63" s="291"/>
      <c r="V63" s="280"/>
      <c r="W63" s="280"/>
      <c r="X63" s="280"/>
      <c r="Y63" s="280"/>
      <c r="Z63" s="278"/>
      <c r="AA63" s="278"/>
      <c r="AB63" s="274"/>
      <c r="AC63" s="247" t="str">
        <f>IF(AND(Cylinders[[#This Row],[Controls Manifold Name]]&lt;&gt;"",Cylinders[[#This Row],[Controls Valve Name]]&lt;&gt;"",Cylinders[[#This Row],[Unit Name]]&lt;&gt;""),_xlfn.CONCAT(U63,V63),"")</f>
        <v/>
      </c>
      <c r="AD63" s="245" t="str">
        <f>IF(AND(Cylinders[[#This Row],[Controls
Motion 
Group]]&lt;&gt;"",Cylinders[[#This Row],[Controls
Unit 
Name]]&lt;&gt;"",Cylinders[[#This Row],[Unit Name]]&lt;&gt;""),_xlfn.CONCAT(W63,X63),"")</f>
        <v/>
      </c>
    </row>
    <row r="64" spans="5:30" ht="18.600000000000001" customHeight="1">
      <c r="E64" s="282"/>
      <c r="F64" s="278"/>
      <c r="G64" s="279"/>
      <c r="H64" s="280"/>
      <c r="I64" s="280"/>
      <c r="J64" s="281"/>
      <c r="K64" s="243" t="str" cm="1">
        <f t="array" ref="K64">IFERROR(
INDEX(Sequence[Dep. ID],
MATCH(1, (Sequence[Actor Type]="CylinderUnits") * (Sequence[Row Type]&lt;&gt;"Start Conditions") * (Sequence[Actor/Unit]=Cylinders[[#This Row],[Unit Name]]), 0)), "")</f>
        <v/>
      </c>
      <c r="L64" s="243" t="str" cm="1">
        <f t="array" aca="1" ref="L64" ca="1">IFERROR(
  INDEX(Sequence[Dep. ID],
  MATCH(1, (Sequence[Actor Type]="CylinderUnits") * (Sequence[Row Type]&lt;&gt;"Start Conditions") *  (Sequence[Actor/Unit]=Cylinders[[#This Row],[Unit Name]]) * (Sequence[Dep. ID]&gt;Cylinders[[#This Row],[1st Motion]]), 0)), "")</f>
        <v/>
      </c>
      <c r="M64" s="243" t="str" cm="1">
        <f t="array" aca="1" ref="M64" ca="1">IFERROR(
  INDEX(Sequence[Dep. ID],
  MATCH(1, (Sequence[Actor Type]="CylinderUnits") * (Sequence[Row Type]&lt;&gt;"Start Conditions") *  (Sequence[Actor/Unit]=Cylinders[[#This Row],[Unit Name]]) * (Sequence[Dep. ID]&gt;Cylinders[[#This Row],[2nd Motion]]), 0)), "")</f>
        <v/>
      </c>
      <c r="N64" s="243" t="str" cm="1">
        <f t="array" aca="1" ref="N64" ca="1">IFERROR(
  INDEX(Sequence[Dep. ID],
  MATCH(1, (Sequence[Actor Type]="CylinderUnits") * (Sequence[Row Type]&lt;&gt;"Start Conditions") *  (Sequence[Actor/Unit]=Cylinders[[#This Row],[Unit Name]]) * (Sequence[Dep. ID]&gt;Cylinders[[#This Row],[3rd Motion]]), 0)), "")</f>
        <v/>
      </c>
      <c r="O64" s="243" t="str" cm="1">
        <f t="array" aca="1" ref="O64" ca="1">IFERROR(
  INDEX(Sequence[Dep. ID],
  MATCH(1, (Sequence[Actor Type]="CylinderUnits") * (Sequence[Row Type]&lt;&gt;"Start Conditions") *  (Sequence[Actor/Unit]=Cylinders[[#This Row],[Unit Name]]) * (Sequence[Dep. ID]&gt;Cylinders[[#This Row],[4th Motion]]), 0)), "")</f>
        <v/>
      </c>
      <c r="P64" s="243" t="str" cm="1">
        <f t="array" aca="1" ref="P64" ca="1">IFERROR(
  INDEX(Sequence[Dep. ID],
  MATCH(1, (Sequence[Actor Type]="CylinderUnits") * (Sequence[Row Type]&lt;&gt;"Start Conditions") *  (Sequence[Actor/Unit]=Cylinders[[#This Row],[Unit Name]]) * (Sequence[Dep. ID]&gt;Cylinders[[#This Row],[5th Motion]]), 0)), "")</f>
        <v/>
      </c>
      <c r="Q64" s="278"/>
      <c r="R64" s="282"/>
      <c r="S64" s="280"/>
      <c r="T64" s="280"/>
      <c r="U64" s="291"/>
      <c r="V64" s="280"/>
      <c r="W64" s="280"/>
      <c r="X64" s="280"/>
      <c r="Y64" s="280"/>
      <c r="Z64" s="278"/>
      <c r="AA64" s="278"/>
      <c r="AB64" s="274"/>
      <c r="AC64" s="247" t="str">
        <f>IF(AND(Cylinders[[#This Row],[Controls Manifold Name]]&lt;&gt;"",Cylinders[[#This Row],[Controls Valve Name]]&lt;&gt;"",Cylinders[[#This Row],[Unit Name]]&lt;&gt;""),_xlfn.CONCAT(U64,V64),"")</f>
        <v/>
      </c>
      <c r="AD64" s="245" t="str">
        <f>IF(AND(Cylinders[[#This Row],[Controls
Motion 
Group]]&lt;&gt;"",Cylinders[[#This Row],[Controls
Unit 
Name]]&lt;&gt;"",Cylinders[[#This Row],[Unit Name]]&lt;&gt;""),_xlfn.CONCAT(W64,X64),"")</f>
        <v/>
      </c>
    </row>
    <row r="65" spans="5:30" ht="18.600000000000001" customHeight="1">
      <c r="E65" s="282"/>
      <c r="F65" s="278"/>
      <c r="G65" s="279"/>
      <c r="H65" s="280"/>
      <c r="I65" s="280"/>
      <c r="J65" s="281"/>
      <c r="K65" s="243" t="str" cm="1">
        <f t="array" ref="K65">IFERROR(
INDEX(Sequence[Dep. ID],
MATCH(1, (Sequence[Actor Type]="CylinderUnits") * (Sequence[Row Type]&lt;&gt;"Start Conditions") * (Sequence[Actor/Unit]=Cylinders[[#This Row],[Unit Name]]), 0)), "")</f>
        <v/>
      </c>
      <c r="L65" s="243" t="str" cm="1">
        <f t="array" aca="1" ref="L65" ca="1">IFERROR(
  INDEX(Sequence[Dep. ID],
  MATCH(1, (Sequence[Actor Type]="CylinderUnits") * (Sequence[Row Type]&lt;&gt;"Start Conditions") *  (Sequence[Actor/Unit]=Cylinders[[#This Row],[Unit Name]]) * (Sequence[Dep. ID]&gt;Cylinders[[#This Row],[1st Motion]]), 0)), "")</f>
        <v/>
      </c>
      <c r="M65" s="243" t="str" cm="1">
        <f t="array" aca="1" ref="M65" ca="1">IFERROR(
  INDEX(Sequence[Dep. ID],
  MATCH(1, (Sequence[Actor Type]="CylinderUnits") * (Sequence[Row Type]&lt;&gt;"Start Conditions") *  (Sequence[Actor/Unit]=Cylinders[[#This Row],[Unit Name]]) * (Sequence[Dep. ID]&gt;Cylinders[[#This Row],[2nd Motion]]), 0)), "")</f>
        <v/>
      </c>
      <c r="N65" s="243" t="str" cm="1">
        <f t="array" aca="1" ref="N65" ca="1">IFERROR(
  INDEX(Sequence[Dep. ID],
  MATCH(1, (Sequence[Actor Type]="CylinderUnits") * (Sequence[Row Type]&lt;&gt;"Start Conditions") *  (Sequence[Actor/Unit]=Cylinders[[#This Row],[Unit Name]]) * (Sequence[Dep. ID]&gt;Cylinders[[#This Row],[3rd Motion]]), 0)), "")</f>
        <v/>
      </c>
      <c r="O65" s="243" t="str" cm="1">
        <f t="array" aca="1" ref="O65" ca="1">IFERROR(
  INDEX(Sequence[Dep. ID],
  MATCH(1, (Sequence[Actor Type]="CylinderUnits") * (Sequence[Row Type]&lt;&gt;"Start Conditions") *  (Sequence[Actor/Unit]=Cylinders[[#This Row],[Unit Name]]) * (Sequence[Dep. ID]&gt;Cylinders[[#This Row],[4th Motion]]), 0)), "")</f>
        <v/>
      </c>
      <c r="P65" s="243" t="str" cm="1">
        <f t="array" aca="1" ref="P65" ca="1">IFERROR(
  INDEX(Sequence[Dep. ID],
  MATCH(1, (Sequence[Actor Type]="CylinderUnits") * (Sequence[Row Type]&lt;&gt;"Start Conditions") *  (Sequence[Actor/Unit]=Cylinders[[#This Row],[Unit Name]]) * (Sequence[Dep. ID]&gt;Cylinders[[#This Row],[5th Motion]]), 0)), "")</f>
        <v/>
      </c>
      <c r="Q65" s="278"/>
      <c r="R65" s="282"/>
      <c r="S65" s="280"/>
      <c r="T65" s="280"/>
      <c r="U65" s="291"/>
      <c r="V65" s="280"/>
      <c r="W65" s="280"/>
      <c r="X65" s="280"/>
      <c r="Y65" s="280"/>
      <c r="Z65" s="278"/>
      <c r="AA65" s="278"/>
      <c r="AB65" s="274"/>
      <c r="AC65" s="247" t="str">
        <f>IF(AND(Cylinders[[#This Row],[Controls Manifold Name]]&lt;&gt;"",Cylinders[[#This Row],[Controls Valve Name]]&lt;&gt;"",Cylinders[[#This Row],[Unit Name]]&lt;&gt;""),_xlfn.CONCAT(U65,V65),"")</f>
        <v/>
      </c>
      <c r="AD65" s="245" t="str">
        <f>IF(AND(Cylinders[[#This Row],[Controls
Motion 
Group]]&lt;&gt;"",Cylinders[[#This Row],[Controls
Unit 
Name]]&lt;&gt;"",Cylinders[[#This Row],[Unit Name]]&lt;&gt;""),_xlfn.CONCAT(W65,X65),"")</f>
        <v/>
      </c>
    </row>
    <row r="66" spans="5:30" ht="18.600000000000001" customHeight="1">
      <c r="E66" s="282"/>
      <c r="F66" s="278"/>
      <c r="G66" s="279"/>
      <c r="H66" s="280"/>
      <c r="I66" s="280"/>
      <c r="J66" s="281"/>
      <c r="K66" s="243" t="str" cm="1">
        <f t="array" ref="K66">IFERROR(
INDEX(Sequence[Dep. ID],
MATCH(1, (Sequence[Actor Type]="CylinderUnits") * (Sequence[Row Type]&lt;&gt;"Start Conditions") * (Sequence[Actor/Unit]=Cylinders[[#This Row],[Unit Name]]), 0)), "")</f>
        <v/>
      </c>
      <c r="L66" s="243" t="str" cm="1">
        <f t="array" aca="1" ref="L66" ca="1">IFERROR(
  INDEX(Sequence[Dep. ID],
  MATCH(1, (Sequence[Actor Type]="CylinderUnits") * (Sequence[Row Type]&lt;&gt;"Start Conditions") *  (Sequence[Actor/Unit]=Cylinders[[#This Row],[Unit Name]]) * (Sequence[Dep. ID]&gt;Cylinders[[#This Row],[1st Motion]]), 0)), "")</f>
        <v/>
      </c>
      <c r="M66" s="243" t="str" cm="1">
        <f t="array" aca="1" ref="M66" ca="1">IFERROR(
  INDEX(Sequence[Dep. ID],
  MATCH(1, (Sequence[Actor Type]="CylinderUnits") * (Sequence[Row Type]&lt;&gt;"Start Conditions") *  (Sequence[Actor/Unit]=Cylinders[[#This Row],[Unit Name]]) * (Sequence[Dep. ID]&gt;Cylinders[[#This Row],[2nd Motion]]), 0)), "")</f>
        <v/>
      </c>
      <c r="N66" s="243" t="str" cm="1">
        <f t="array" aca="1" ref="N66" ca="1">IFERROR(
  INDEX(Sequence[Dep. ID],
  MATCH(1, (Sequence[Actor Type]="CylinderUnits") * (Sequence[Row Type]&lt;&gt;"Start Conditions") *  (Sequence[Actor/Unit]=Cylinders[[#This Row],[Unit Name]]) * (Sequence[Dep. ID]&gt;Cylinders[[#This Row],[3rd Motion]]), 0)), "")</f>
        <v/>
      </c>
      <c r="O66" s="243" t="str" cm="1">
        <f t="array" aca="1" ref="O66" ca="1">IFERROR(
  INDEX(Sequence[Dep. ID],
  MATCH(1, (Sequence[Actor Type]="CylinderUnits") * (Sequence[Row Type]&lt;&gt;"Start Conditions") *  (Sequence[Actor/Unit]=Cylinders[[#This Row],[Unit Name]]) * (Sequence[Dep. ID]&gt;Cylinders[[#This Row],[4th Motion]]), 0)), "")</f>
        <v/>
      </c>
      <c r="P66" s="243" t="str" cm="1">
        <f t="array" aca="1" ref="P66" ca="1">IFERROR(
  INDEX(Sequence[Dep. ID],
  MATCH(1, (Sequence[Actor Type]="CylinderUnits") * (Sequence[Row Type]&lt;&gt;"Start Conditions") *  (Sequence[Actor/Unit]=Cylinders[[#This Row],[Unit Name]]) * (Sequence[Dep. ID]&gt;Cylinders[[#This Row],[5th Motion]]), 0)), "")</f>
        <v/>
      </c>
      <c r="Q66" s="278"/>
      <c r="R66" s="282"/>
      <c r="S66" s="280"/>
      <c r="T66" s="280"/>
      <c r="U66" s="291"/>
      <c r="V66" s="280"/>
      <c r="W66" s="280"/>
      <c r="X66" s="280"/>
      <c r="Y66" s="280"/>
      <c r="Z66" s="278"/>
      <c r="AA66" s="278"/>
      <c r="AB66" s="274"/>
      <c r="AC66" s="247" t="str">
        <f>IF(AND(Cylinders[[#This Row],[Controls Manifold Name]]&lt;&gt;"",Cylinders[[#This Row],[Controls Valve Name]]&lt;&gt;"",Cylinders[[#This Row],[Unit Name]]&lt;&gt;""),_xlfn.CONCAT(U66,V66),"")</f>
        <v/>
      </c>
      <c r="AD66" s="245" t="str">
        <f>IF(AND(Cylinders[[#This Row],[Controls
Motion 
Group]]&lt;&gt;"",Cylinders[[#This Row],[Controls
Unit 
Name]]&lt;&gt;"",Cylinders[[#This Row],[Unit Name]]&lt;&gt;""),_xlfn.CONCAT(W66,X66),"")</f>
        <v/>
      </c>
    </row>
    <row r="67" spans="5:30" ht="18.600000000000001" customHeight="1">
      <c r="E67" s="282"/>
      <c r="F67" s="278"/>
      <c r="G67" s="279"/>
      <c r="H67" s="280"/>
      <c r="I67" s="280"/>
      <c r="J67" s="281"/>
      <c r="K67" s="243" t="str" cm="1">
        <f t="array" ref="K67">IFERROR(
INDEX(Sequence[Dep. ID],
MATCH(1, (Sequence[Actor Type]="CylinderUnits") * (Sequence[Row Type]&lt;&gt;"Start Conditions") * (Sequence[Actor/Unit]=Cylinders[[#This Row],[Unit Name]]), 0)), "")</f>
        <v/>
      </c>
      <c r="L67" s="243" t="str" cm="1">
        <f t="array" aca="1" ref="L67" ca="1">IFERROR(
  INDEX(Sequence[Dep. ID],
  MATCH(1, (Sequence[Actor Type]="CylinderUnits") * (Sequence[Row Type]&lt;&gt;"Start Conditions") *  (Sequence[Actor/Unit]=Cylinders[[#This Row],[Unit Name]]) * (Sequence[Dep. ID]&gt;Cylinders[[#This Row],[1st Motion]]), 0)), "")</f>
        <v/>
      </c>
      <c r="M67" s="243" t="str" cm="1">
        <f t="array" aca="1" ref="M67" ca="1">IFERROR(
  INDEX(Sequence[Dep. ID],
  MATCH(1, (Sequence[Actor Type]="CylinderUnits") * (Sequence[Row Type]&lt;&gt;"Start Conditions") *  (Sequence[Actor/Unit]=Cylinders[[#This Row],[Unit Name]]) * (Sequence[Dep. ID]&gt;Cylinders[[#This Row],[2nd Motion]]), 0)), "")</f>
        <v/>
      </c>
      <c r="N67" s="243" t="str" cm="1">
        <f t="array" aca="1" ref="N67" ca="1">IFERROR(
  INDEX(Sequence[Dep. ID],
  MATCH(1, (Sequence[Actor Type]="CylinderUnits") * (Sequence[Row Type]&lt;&gt;"Start Conditions") *  (Sequence[Actor/Unit]=Cylinders[[#This Row],[Unit Name]]) * (Sequence[Dep. ID]&gt;Cylinders[[#This Row],[3rd Motion]]), 0)), "")</f>
        <v/>
      </c>
      <c r="O67" s="243" t="str" cm="1">
        <f t="array" aca="1" ref="O67" ca="1">IFERROR(
  INDEX(Sequence[Dep. ID],
  MATCH(1, (Sequence[Actor Type]="CylinderUnits") * (Sequence[Row Type]&lt;&gt;"Start Conditions") *  (Sequence[Actor/Unit]=Cylinders[[#This Row],[Unit Name]]) * (Sequence[Dep. ID]&gt;Cylinders[[#This Row],[4th Motion]]), 0)), "")</f>
        <v/>
      </c>
      <c r="P67" s="243" t="str" cm="1">
        <f t="array" aca="1" ref="P67" ca="1">IFERROR(
  INDEX(Sequence[Dep. ID],
  MATCH(1, (Sequence[Actor Type]="CylinderUnits") * (Sequence[Row Type]&lt;&gt;"Start Conditions") *  (Sequence[Actor/Unit]=Cylinders[[#This Row],[Unit Name]]) * (Sequence[Dep. ID]&gt;Cylinders[[#This Row],[5th Motion]]), 0)), "")</f>
        <v/>
      </c>
      <c r="Q67" s="278"/>
      <c r="R67" s="282"/>
      <c r="S67" s="280"/>
      <c r="T67" s="280"/>
      <c r="U67" s="291"/>
      <c r="V67" s="280"/>
      <c r="W67" s="280"/>
      <c r="X67" s="280"/>
      <c r="Y67" s="280"/>
      <c r="Z67" s="278"/>
      <c r="AA67" s="278"/>
      <c r="AB67" s="274"/>
      <c r="AC67" s="247" t="str">
        <f>IF(AND(Cylinders[[#This Row],[Controls Manifold Name]]&lt;&gt;"",Cylinders[[#This Row],[Controls Valve Name]]&lt;&gt;"",Cylinders[[#This Row],[Unit Name]]&lt;&gt;""),_xlfn.CONCAT(U67,V67),"")</f>
        <v/>
      </c>
      <c r="AD67" s="245" t="str">
        <f>IF(AND(Cylinders[[#This Row],[Controls
Motion 
Group]]&lt;&gt;"",Cylinders[[#This Row],[Controls
Unit 
Name]]&lt;&gt;"",Cylinders[[#This Row],[Unit Name]]&lt;&gt;""),_xlfn.CONCAT(W67,X67),"")</f>
        <v/>
      </c>
    </row>
    <row r="68" spans="5:30" ht="18.600000000000001" customHeight="1">
      <c r="E68" s="282"/>
      <c r="F68" s="278"/>
      <c r="G68" s="279"/>
      <c r="H68" s="280"/>
      <c r="I68" s="280"/>
      <c r="J68" s="281"/>
      <c r="K68" s="243" t="str" cm="1">
        <f t="array" ref="K68">IFERROR(
INDEX(Sequence[Dep. ID],
MATCH(1, (Sequence[Actor Type]="CylinderUnits") * (Sequence[Row Type]&lt;&gt;"Start Conditions") * (Sequence[Actor/Unit]=Cylinders[[#This Row],[Unit Name]]), 0)), "")</f>
        <v/>
      </c>
      <c r="L68" s="243" t="str" cm="1">
        <f t="array" aca="1" ref="L68" ca="1">IFERROR(
  INDEX(Sequence[Dep. ID],
  MATCH(1, (Sequence[Actor Type]="CylinderUnits") * (Sequence[Row Type]&lt;&gt;"Start Conditions") *  (Sequence[Actor/Unit]=Cylinders[[#This Row],[Unit Name]]) * (Sequence[Dep. ID]&gt;Cylinders[[#This Row],[1st Motion]]), 0)), "")</f>
        <v/>
      </c>
      <c r="M68" s="243" t="str" cm="1">
        <f t="array" aca="1" ref="M68" ca="1">IFERROR(
  INDEX(Sequence[Dep. ID],
  MATCH(1, (Sequence[Actor Type]="CylinderUnits") * (Sequence[Row Type]&lt;&gt;"Start Conditions") *  (Sequence[Actor/Unit]=Cylinders[[#This Row],[Unit Name]]) * (Sequence[Dep. ID]&gt;Cylinders[[#This Row],[2nd Motion]]), 0)), "")</f>
        <v/>
      </c>
      <c r="N68" s="243" t="str" cm="1">
        <f t="array" aca="1" ref="N68" ca="1">IFERROR(
  INDEX(Sequence[Dep. ID],
  MATCH(1, (Sequence[Actor Type]="CylinderUnits") * (Sequence[Row Type]&lt;&gt;"Start Conditions") *  (Sequence[Actor/Unit]=Cylinders[[#This Row],[Unit Name]]) * (Sequence[Dep. ID]&gt;Cylinders[[#This Row],[3rd Motion]]), 0)), "")</f>
        <v/>
      </c>
      <c r="O68" s="243" t="str" cm="1">
        <f t="array" aca="1" ref="O68" ca="1">IFERROR(
  INDEX(Sequence[Dep. ID],
  MATCH(1, (Sequence[Actor Type]="CylinderUnits") * (Sequence[Row Type]&lt;&gt;"Start Conditions") *  (Sequence[Actor/Unit]=Cylinders[[#This Row],[Unit Name]]) * (Sequence[Dep. ID]&gt;Cylinders[[#This Row],[4th Motion]]), 0)), "")</f>
        <v/>
      </c>
      <c r="P68" s="243" t="str" cm="1">
        <f t="array" aca="1" ref="P68" ca="1">IFERROR(
  INDEX(Sequence[Dep. ID],
  MATCH(1, (Sequence[Actor Type]="CylinderUnits") * (Sequence[Row Type]&lt;&gt;"Start Conditions") *  (Sequence[Actor/Unit]=Cylinders[[#This Row],[Unit Name]]) * (Sequence[Dep. ID]&gt;Cylinders[[#This Row],[5th Motion]]), 0)), "")</f>
        <v/>
      </c>
      <c r="Q68" s="278"/>
      <c r="R68" s="282"/>
      <c r="S68" s="280"/>
      <c r="T68" s="280"/>
      <c r="U68" s="291"/>
      <c r="V68" s="280"/>
      <c r="W68" s="280"/>
      <c r="X68" s="280"/>
      <c r="Y68" s="280"/>
      <c r="Z68" s="278"/>
      <c r="AA68" s="278"/>
      <c r="AB68" s="274"/>
      <c r="AC68" s="247" t="str">
        <f>IF(AND(Cylinders[[#This Row],[Controls Manifold Name]]&lt;&gt;"",Cylinders[[#This Row],[Controls Valve Name]]&lt;&gt;"",Cylinders[[#This Row],[Unit Name]]&lt;&gt;""),_xlfn.CONCAT(U68,V68),"")</f>
        <v/>
      </c>
      <c r="AD68" s="245" t="str">
        <f>IF(AND(Cylinders[[#This Row],[Controls
Motion 
Group]]&lt;&gt;"",Cylinders[[#This Row],[Controls
Unit 
Name]]&lt;&gt;"",Cylinders[[#This Row],[Unit Name]]&lt;&gt;""),_xlfn.CONCAT(W68,X68),"")</f>
        <v/>
      </c>
    </row>
    <row r="69" spans="5:30" ht="18.600000000000001" customHeight="1">
      <c r="E69" s="282"/>
      <c r="F69" s="278"/>
      <c r="G69" s="279"/>
      <c r="H69" s="280"/>
      <c r="I69" s="280"/>
      <c r="J69" s="281"/>
      <c r="K69" s="243" t="str" cm="1">
        <f t="array" ref="K69">IFERROR(
INDEX(Sequence[Dep. ID],
MATCH(1, (Sequence[Actor Type]="CylinderUnits") * (Sequence[Row Type]&lt;&gt;"Start Conditions") * (Sequence[Actor/Unit]=Cylinders[[#This Row],[Unit Name]]), 0)), "")</f>
        <v/>
      </c>
      <c r="L69" s="243" t="str" cm="1">
        <f t="array" aca="1" ref="L69" ca="1">IFERROR(
  INDEX(Sequence[Dep. ID],
  MATCH(1, (Sequence[Actor Type]="CylinderUnits") * (Sequence[Row Type]&lt;&gt;"Start Conditions") *  (Sequence[Actor/Unit]=Cylinders[[#This Row],[Unit Name]]) * (Sequence[Dep. ID]&gt;Cylinders[[#This Row],[1st Motion]]), 0)), "")</f>
        <v/>
      </c>
      <c r="M69" s="243" t="str" cm="1">
        <f t="array" aca="1" ref="M69" ca="1">IFERROR(
  INDEX(Sequence[Dep. ID],
  MATCH(1, (Sequence[Actor Type]="CylinderUnits") * (Sequence[Row Type]&lt;&gt;"Start Conditions") *  (Sequence[Actor/Unit]=Cylinders[[#This Row],[Unit Name]]) * (Sequence[Dep. ID]&gt;Cylinders[[#This Row],[2nd Motion]]), 0)), "")</f>
        <v/>
      </c>
      <c r="N69" s="243" t="str" cm="1">
        <f t="array" aca="1" ref="N69" ca="1">IFERROR(
  INDEX(Sequence[Dep. ID],
  MATCH(1, (Sequence[Actor Type]="CylinderUnits") * (Sequence[Row Type]&lt;&gt;"Start Conditions") *  (Sequence[Actor/Unit]=Cylinders[[#This Row],[Unit Name]]) * (Sequence[Dep. ID]&gt;Cylinders[[#This Row],[3rd Motion]]), 0)), "")</f>
        <v/>
      </c>
      <c r="O69" s="243" t="str" cm="1">
        <f t="array" aca="1" ref="O69" ca="1">IFERROR(
  INDEX(Sequence[Dep. ID],
  MATCH(1, (Sequence[Actor Type]="CylinderUnits") * (Sequence[Row Type]&lt;&gt;"Start Conditions") *  (Sequence[Actor/Unit]=Cylinders[[#This Row],[Unit Name]]) * (Sequence[Dep. ID]&gt;Cylinders[[#This Row],[4th Motion]]), 0)), "")</f>
        <v/>
      </c>
      <c r="P69" s="243" t="str" cm="1">
        <f t="array" aca="1" ref="P69" ca="1">IFERROR(
  INDEX(Sequence[Dep. ID],
  MATCH(1, (Sequence[Actor Type]="CylinderUnits") * (Sequence[Row Type]&lt;&gt;"Start Conditions") *  (Sequence[Actor/Unit]=Cylinders[[#This Row],[Unit Name]]) * (Sequence[Dep. ID]&gt;Cylinders[[#This Row],[5th Motion]]), 0)), "")</f>
        <v/>
      </c>
      <c r="Q69" s="278"/>
      <c r="R69" s="282"/>
      <c r="S69" s="280"/>
      <c r="T69" s="280"/>
      <c r="U69" s="291"/>
      <c r="V69" s="280"/>
      <c r="W69" s="280"/>
      <c r="X69" s="280"/>
      <c r="Y69" s="280"/>
      <c r="Z69" s="278"/>
      <c r="AA69" s="278"/>
      <c r="AB69" s="274"/>
      <c r="AC69" s="247" t="str">
        <f>IF(AND(Cylinders[[#This Row],[Controls Manifold Name]]&lt;&gt;"",Cylinders[[#This Row],[Controls Valve Name]]&lt;&gt;"",Cylinders[[#This Row],[Unit Name]]&lt;&gt;""),_xlfn.CONCAT(U69,V69),"")</f>
        <v/>
      </c>
      <c r="AD69" s="245" t="str">
        <f>IF(AND(Cylinders[[#This Row],[Controls
Motion 
Group]]&lt;&gt;"",Cylinders[[#This Row],[Controls
Unit 
Name]]&lt;&gt;"",Cylinders[[#This Row],[Unit Name]]&lt;&gt;""),_xlfn.CONCAT(W69,X69),"")</f>
        <v/>
      </c>
    </row>
    <row r="70" spans="5:30" ht="18.600000000000001" customHeight="1">
      <c r="E70" s="282"/>
      <c r="F70" s="278"/>
      <c r="G70" s="279"/>
      <c r="H70" s="280"/>
      <c r="I70" s="280"/>
      <c r="J70" s="281"/>
      <c r="K70" s="243" t="str" cm="1">
        <f t="array" ref="K70">IFERROR(
INDEX(Sequence[Dep. ID],
MATCH(1, (Sequence[Actor Type]="CylinderUnits") * (Sequence[Row Type]&lt;&gt;"Start Conditions") * (Sequence[Actor/Unit]=Cylinders[[#This Row],[Unit Name]]), 0)), "")</f>
        <v/>
      </c>
      <c r="L70" s="243" t="str" cm="1">
        <f t="array" aca="1" ref="L70" ca="1">IFERROR(
  INDEX(Sequence[Dep. ID],
  MATCH(1, (Sequence[Actor Type]="CylinderUnits") * (Sequence[Row Type]&lt;&gt;"Start Conditions") *  (Sequence[Actor/Unit]=Cylinders[[#This Row],[Unit Name]]) * (Sequence[Dep. ID]&gt;Cylinders[[#This Row],[1st Motion]]), 0)), "")</f>
        <v/>
      </c>
      <c r="M70" s="243" t="str" cm="1">
        <f t="array" aca="1" ref="M70" ca="1">IFERROR(
  INDEX(Sequence[Dep. ID],
  MATCH(1, (Sequence[Actor Type]="CylinderUnits") * (Sequence[Row Type]&lt;&gt;"Start Conditions") *  (Sequence[Actor/Unit]=Cylinders[[#This Row],[Unit Name]]) * (Sequence[Dep. ID]&gt;Cylinders[[#This Row],[2nd Motion]]), 0)), "")</f>
        <v/>
      </c>
      <c r="N70" s="243" t="str" cm="1">
        <f t="array" aca="1" ref="N70" ca="1">IFERROR(
  INDEX(Sequence[Dep. ID],
  MATCH(1, (Sequence[Actor Type]="CylinderUnits") * (Sequence[Row Type]&lt;&gt;"Start Conditions") *  (Sequence[Actor/Unit]=Cylinders[[#This Row],[Unit Name]]) * (Sequence[Dep. ID]&gt;Cylinders[[#This Row],[3rd Motion]]), 0)), "")</f>
        <v/>
      </c>
      <c r="O70" s="243" t="str" cm="1">
        <f t="array" aca="1" ref="O70" ca="1">IFERROR(
  INDEX(Sequence[Dep. ID],
  MATCH(1, (Sequence[Actor Type]="CylinderUnits") * (Sequence[Row Type]&lt;&gt;"Start Conditions") *  (Sequence[Actor/Unit]=Cylinders[[#This Row],[Unit Name]]) * (Sequence[Dep. ID]&gt;Cylinders[[#This Row],[4th Motion]]), 0)), "")</f>
        <v/>
      </c>
      <c r="P70" s="243" t="str" cm="1">
        <f t="array" aca="1" ref="P70" ca="1">IFERROR(
  INDEX(Sequence[Dep. ID],
  MATCH(1, (Sequence[Actor Type]="CylinderUnits") * (Sequence[Row Type]&lt;&gt;"Start Conditions") *  (Sequence[Actor/Unit]=Cylinders[[#This Row],[Unit Name]]) * (Sequence[Dep. ID]&gt;Cylinders[[#This Row],[5th Motion]]), 0)), "")</f>
        <v/>
      </c>
      <c r="Q70" s="278"/>
      <c r="R70" s="282"/>
      <c r="S70" s="280"/>
      <c r="T70" s="280"/>
      <c r="U70" s="291"/>
      <c r="V70" s="280"/>
      <c r="W70" s="280"/>
      <c r="X70" s="280"/>
      <c r="Y70" s="280"/>
      <c r="Z70" s="278"/>
      <c r="AA70" s="278"/>
      <c r="AB70" s="274"/>
      <c r="AC70" s="247" t="str">
        <f>IF(AND(Cylinders[[#This Row],[Controls Manifold Name]]&lt;&gt;"",Cylinders[[#This Row],[Controls Valve Name]]&lt;&gt;"",Cylinders[[#This Row],[Unit Name]]&lt;&gt;""),_xlfn.CONCAT(U70,V70),"")</f>
        <v/>
      </c>
      <c r="AD70" s="245" t="str">
        <f>IF(AND(Cylinders[[#This Row],[Controls
Motion 
Group]]&lt;&gt;"",Cylinders[[#This Row],[Controls
Unit 
Name]]&lt;&gt;"",Cylinders[[#This Row],[Unit Name]]&lt;&gt;""),_xlfn.CONCAT(W70,X70),"")</f>
        <v/>
      </c>
    </row>
    <row r="71" spans="5:30" ht="18.600000000000001" customHeight="1">
      <c r="E71" s="282"/>
      <c r="F71" s="278"/>
      <c r="G71" s="279"/>
      <c r="H71" s="280"/>
      <c r="I71" s="280"/>
      <c r="J71" s="281"/>
      <c r="K71" s="243" t="str" cm="1">
        <f t="array" ref="K71">IFERROR(
INDEX(Sequence[Dep. ID],
MATCH(1, (Sequence[Actor Type]="CylinderUnits") * (Sequence[Row Type]&lt;&gt;"Start Conditions") * (Sequence[Actor/Unit]=Cylinders[[#This Row],[Unit Name]]), 0)), "")</f>
        <v/>
      </c>
      <c r="L71" s="243" t="str" cm="1">
        <f t="array" aca="1" ref="L71" ca="1">IFERROR(
  INDEX(Sequence[Dep. ID],
  MATCH(1, (Sequence[Actor Type]="CylinderUnits") * (Sequence[Row Type]&lt;&gt;"Start Conditions") *  (Sequence[Actor/Unit]=Cylinders[[#This Row],[Unit Name]]) * (Sequence[Dep. ID]&gt;Cylinders[[#This Row],[1st Motion]]), 0)), "")</f>
        <v/>
      </c>
      <c r="M71" s="243" t="str" cm="1">
        <f t="array" aca="1" ref="M71" ca="1">IFERROR(
  INDEX(Sequence[Dep. ID],
  MATCH(1, (Sequence[Actor Type]="CylinderUnits") * (Sequence[Row Type]&lt;&gt;"Start Conditions") *  (Sequence[Actor/Unit]=Cylinders[[#This Row],[Unit Name]]) * (Sequence[Dep. ID]&gt;Cylinders[[#This Row],[2nd Motion]]), 0)), "")</f>
        <v/>
      </c>
      <c r="N71" s="243" t="str" cm="1">
        <f t="array" aca="1" ref="N71" ca="1">IFERROR(
  INDEX(Sequence[Dep. ID],
  MATCH(1, (Sequence[Actor Type]="CylinderUnits") * (Sequence[Row Type]&lt;&gt;"Start Conditions") *  (Sequence[Actor/Unit]=Cylinders[[#This Row],[Unit Name]]) * (Sequence[Dep. ID]&gt;Cylinders[[#This Row],[3rd Motion]]), 0)), "")</f>
        <v/>
      </c>
      <c r="O71" s="243" t="str" cm="1">
        <f t="array" aca="1" ref="O71" ca="1">IFERROR(
  INDEX(Sequence[Dep. ID],
  MATCH(1, (Sequence[Actor Type]="CylinderUnits") * (Sequence[Row Type]&lt;&gt;"Start Conditions") *  (Sequence[Actor/Unit]=Cylinders[[#This Row],[Unit Name]]) * (Sequence[Dep. ID]&gt;Cylinders[[#This Row],[4th Motion]]), 0)), "")</f>
        <v/>
      </c>
      <c r="P71" s="243" t="str" cm="1">
        <f t="array" aca="1" ref="P71" ca="1">IFERROR(
  INDEX(Sequence[Dep. ID],
  MATCH(1, (Sequence[Actor Type]="CylinderUnits") * (Sequence[Row Type]&lt;&gt;"Start Conditions") *  (Sequence[Actor/Unit]=Cylinders[[#This Row],[Unit Name]]) * (Sequence[Dep. ID]&gt;Cylinders[[#This Row],[5th Motion]]), 0)), "")</f>
        <v/>
      </c>
      <c r="Q71" s="278"/>
      <c r="R71" s="282"/>
      <c r="S71" s="280"/>
      <c r="T71" s="280"/>
      <c r="U71" s="291"/>
      <c r="V71" s="280"/>
      <c r="W71" s="280"/>
      <c r="X71" s="280"/>
      <c r="Y71" s="280"/>
      <c r="Z71" s="278"/>
      <c r="AA71" s="278"/>
      <c r="AB71" s="274"/>
      <c r="AC71" s="247" t="str">
        <f>IF(AND(Cylinders[[#This Row],[Controls Manifold Name]]&lt;&gt;"",Cylinders[[#This Row],[Controls Valve Name]]&lt;&gt;"",Cylinders[[#This Row],[Unit Name]]&lt;&gt;""),_xlfn.CONCAT(U71,V71),"")</f>
        <v/>
      </c>
      <c r="AD71" s="245" t="str">
        <f>IF(AND(Cylinders[[#This Row],[Controls
Motion 
Group]]&lt;&gt;"",Cylinders[[#This Row],[Controls
Unit 
Name]]&lt;&gt;"",Cylinders[[#This Row],[Unit Name]]&lt;&gt;""),_xlfn.CONCAT(W71,X71),"")</f>
        <v/>
      </c>
    </row>
    <row r="72" spans="5:30" ht="18.600000000000001" customHeight="1">
      <c r="E72" s="282"/>
      <c r="F72" s="278"/>
      <c r="G72" s="279"/>
      <c r="H72" s="280"/>
      <c r="I72" s="280"/>
      <c r="J72" s="281"/>
      <c r="K72" s="243" t="str" cm="1">
        <f t="array" ref="K72">IFERROR(
INDEX(Sequence[Dep. ID],
MATCH(1, (Sequence[Actor Type]="CylinderUnits") * (Sequence[Row Type]&lt;&gt;"Start Conditions") * (Sequence[Actor/Unit]=Cylinders[[#This Row],[Unit Name]]), 0)), "")</f>
        <v/>
      </c>
      <c r="L72" s="243" t="str" cm="1">
        <f t="array" aca="1" ref="L72" ca="1">IFERROR(
  INDEX(Sequence[Dep. ID],
  MATCH(1, (Sequence[Actor Type]="CylinderUnits") * (Sequence[Row Type]&lt;&gt;"Start Conditions") *  (Sequence[Actor/Unit]=Cylinders[[#This Row],[Unit Name]]) * (Sequence[Dep. ID]&gt;Cylinders[[#This Row],[1st Motion]]), 0)), "")</f>
        <v/>
      </c>
      <c r="M72" s="243" t="str" cm="1">
        <f t="array" aca="1" ref="M72" ca="1">IFERROR(
  INDEX(Sequence[Dep. ID],
  MATCH(1, (Sequence[Actor Type]="CylinderUnits") * (Sequence[Row Type]&lt;&gt;"Start Conditions") *  (Sequence[Actor/Unit]=Cylinders[[#This Row],[Unit Name]]) * (Sequence[Dep. ID]&gt;Cylinders[[#This Row],[2nd Motion]]), 0)), "")</f>
        <v/>
      </c>
      <c r="N72" s="243" t="str" cm="1">
        <f t="array" aca="1" ref="N72" ca="1">IFERROR(
  INDEX(Sequence[Dep. ID],
  MATCH(1, (Sequence[Actor Type]="CylinderUnits") * (Sequence[Row Type]&lt;&gt;"Start Conditions") *  (Sequence[Actor/Unit]=Cylinders[[#This Row],[Unit Name]]) * (Sequence[Dep. ID]&gt;Cylinders[[#This Row],[3rd Motion]]), 0)), "")</f>
        <v/>
      </c>
      <c r="O72" s="243" t="str" cm="1">
        <f t="array" aca="1" ref="O72" ca="1">IFERROR(
  INDEX(Sequence[Dep. ID],
  MATCH(1, (Sequence[Actor Type]="CylinderUnits") * (Sequence[Row Type]&lt;&gt;"Start Conditions") *  (Sequence[Actor/Unit]=Cylinders[[#This Row],[Unit Name]]) * (Sequence[Dep. ID]&gt;Cylinders[[#This Row],[4th Motion]]), 0)), "")</f>
        <v/>
      </c>
      <c r="P72" s="243" t="str" cm="1">
        <f t="array" aca="1" ref="P72" ca="1">IFERROR(
  INDEX(Sequence[Dep. ID],
  MATCH(1, (Sequence[Actor Type]="CylinderUnits") * (Sequence[Row Type]&lt;&gt;"Start Conditions") *  (Sequence[Actor/Unit]=Cylinders[[#This Row],[Unit Name]]) * (Sequence[Dep. ID]&gt;Cylinders[[#This Row],[5th Motion]]), 0)), "")</f>
        <v/>
      </c>
      <c r="Q72" s="278"/>
      <c r="R72" s="282"/>
      <c r="S72" s="280"/>
      <c r="T72" s="280"/>
      <c r="U72" s="291"/>
      <c r="V72" s="280"/>
      <c r="W72" s="280"/>
      <c r="X72" s="280"/>
      <c r="Y72" s="280"/>
      <c r="Z72" s="278"/>
      <c r="AA72" s="278"/>
      <c r="AB72" s="274"/>
      <c r="AC72" s="247" t="str">
        <f>IF(AND(Cylinders[[#This Row],[Controls Manifold Name]]&lt;&gt;"",Cylinders[[#This Row],[Controls Valve Name]]&lt;&gt;"",Cylinders[[#This Row],[Unit Name]]&lt;&gt;""),_xlfn.CONCAT(U72,V72),"")</f>
        <v/>
      </c>
      <c r="AD72" s="245" t="str">
        <f>IF(AND(Cylinders[[#This Row],[Controls
Motion 
Group]]&lt;&gt;"",Cylinders[[#This Row],[Controls
Unit 
Name]]&lt;&gt;"",Cylinders[[#This Row],[Unit Name]]&lt;&gt;""),_xlfn.CONCAT(W72,X72),"")</f>
        <v/>
      </c>
    </row>
    <row r="73" spans="5:30" ht="18.600000000000001" customHeight="1">
      <c r="E73" s="282"/>
      <c r="F73" s="278"/>
      <c r="G73" s="279"/>
      <c r="H73" s="280"/>
      <c r="I73" s="280"/>
      <c r="J73" s="281"/>
      <c r="K73" s="243" t="str" cm="1">
        <f t="array" ref="K73">IFERROR(
INDEX(Sequence[Dep. ID],
MATCH(1, (Sequence[Actor Type]="CylinderUnits") * (Sequence[Row Type]&lt;&gt;"Start Conditions") * (Sequence[Actor/Unit]=Cylinders[[#This Row],[Unit Name]]), 0)), "")</f>
        <v/>
      </c>
      <c r="L73" s="243" t="str" cm="1">
        <f t="array" aca="1" ref="L73" ca="1">IFERROR(
  INDEX(Sequence[Dep. ID],
  MATCH(1, (Sequence[Actor Type]="CylinderUnits") * (Sequence[Row Type]&lt;&gt;"Start Conditions") *  (Sequence[Actor/Unit]=Cylinders[[#This Row],[Unit Name]]) * (Sequence[Dep. ID]&gt;Cylinders[[#This Row],[1st Motion]]), 0)), "")</f>
        <v/>
      </c>
      <c r="M73" s="243" t="str" cm="1">
        <f t="array" aca="1" ref="M73" ca="1">IFERROR(
  INDEX(Sequence[Dep. ID],
  MATCH(1, (Sequence[Actor Type]="CylinderUnits") * (Sequence[Row Type]&lt;&gt;"Start Conditions") *  (Sequence[Actor/Unit]=Cylinders[[#This Row],[Unit Name]]) * (Sequence[Dep. ID]&gt;Cylinders[[#This Row],[2nd Motion]]), 0)), "")</f>
        <v/>
      </c>
      <c r="N73" s="243" t="str" cm="1">
        <f t="array" aca="1" ref="N73" ca="1">IFERROR(
  INDEX(Sequence[Dep. ID],
  MATCH(1, (Sequence[Actor Type]="CylinderUnits") * (Sequence[Row Type]&lt;&gt;"Start Conditions") *  (Sequence[Actor/Unit]=Cylinders[[#This Row],[Unit Name]]) * (Sequence[Dep. ID]&gt;Cylinders[[#This Row],[3rd Motion]]), 0)), "")</f>
        <v/>
      </c>
      <c r="O73" s="243" t="str" cm="1">
        <f t="array" aca="1" ref="O73" ca="1">IFERROR(
  INDEX(Sequence[Dep. ID],
  MATCH(1, (Sequence[Actor Type]="CylinderUnits") * (Sequence[Row Type]&lt;&gt;"Start Conditions") *  (Sequence[Actor/Unit]=Cylinders[[#This Row],[Unit Name]]) * (Sequence[Dep. ID]&gt;Cylinders[[#This Row],[4th Motion]]), 0)), "")</f>
        <v/>
      </c>
      <c r="P73" s="243" t="str" cm="1">
        <f t="array" aca="1" ref="P73" ca="1">IFERROR(
  INDEX(Sequence[Dep. ID],
  MATCH(1, (Sequence[Actor Type]="CylinderUnits") * (Sequence[Row Type]&lt;&gt;"Start Conditions") *  (Sequence[Actor/Unit]=Cylinders[[#This Row],[Unit Name]]) * (Sequence[Dep. ID]&gt;Cylinders[[#This Row],[5th Motion]]), 0)), "")</f>
        <v/>
      </c>
      <c r="Q73" s="278"/>
      <c r="R73" s="282"/>
      <c r="S73" s="280"/>
      <c r="T73" s="280"/>
      <c r="U73" s="291"/>
      <c r="V73" s="280"/>
      <c r="W73" s="280"/>
      <c r="X73" s="280"/>
      <c r="Y73" s="280"/>
      <c r="Z73" s="278"/>
      <c r="AA73" s="278"/>
      <c r="AB73" s="274"/>
      <c r="AC73" s="247" t="str">
        <f>IF(AND(Cylinders[[#This Row],[Controls Manifold Name]]&lt;&gt;"",Cylinders[[#This Row],[Controls Valve Name]]&lt;&gt;"",Cylinders[[#This Row],[Unit Name]]&lt;&gt;""),_xlfn.CONCAT(U73,V73),"")</f>
        <v/>
      </c>
      <c r="AD73" s="245" t="str">
        <f>IF(AND(Cylinders[[#This Row],[Controls
Motion 
Group]]&lt;&gt;"",Cylinders[[#This Row],[Controls
Unit 
Name]]&lt;&gt;"",Cylinders[[#This Row],[Unit Name]]&lt;&gt;""),_xlfn.CONCAT(W73,X73),"")</f>
        <v/>
      </c>
    </row>
    <row r="74" spans="5:30" ht="18.600000000000001" customHeight="1">
      <c r="E74" s="282"/>
      <c r="F74" s="278"/>
      <c r="G74" s="279"/>
      <c r="H74" s="280"/>
      <c r="I74" s="280"/>
      <c r="J74" s="281"/>
      <c r="K74" s="243" t="str" cm="1">
        <f t="array" ref="K74">IFERROR(
INDEX(Sequence[Dep. ID],
MATCH(1, (Sequence[Actor Type]="CylinderUnits") * (Sequence[Row Type]&lt;&gt;"Start Conditions") * (Sequence[Actor/Unit]=Cylinders[[#This Row],[Unit Name]]), 0)), "")</f>
        <v/>
      </c>
      <c r="L74" s="243" t="str" cm="1">
        <f t="array" aca="1" ref="L74" ca="1">IFERROR(
  INDEX(Sequence[Dep. ID],
  MATCH(1, (Sequence[Actor Type]="CylinderUnits") * (Sequence[Row Type]&lt;&gt;"Start Conditions") *  (Sequence[Actor/Unit]=Cylinders[[#This Row],[Unit Name]]) * (Sequence[Dep. ID]&gt;Cylinders[[#This Row],[1st Motion]]), 0)), "")</f>
        <v/>
      </c>
      <c r="M74" s="243" t="str" cm="1">
        <f t="array" aca="1" ref="M74" ca="1">IFERROR(
  INDEX(Sequence[Dep. ID],
  MATCH(1, (Sequence[Actor Type]="CylinderUnits") * (Sequence[Row Type]&lt;&gt;"Start Conditions") *  (Sequence[Actor/Unit]=Cylinders[[#This Row],[Unit Name]]) * (Sequence[Dep. ID]&gt;Cylinders[[#This Row],[2nd Motion]]), 0)), "")</f>
        <v/>
      </c>
      <c r="N74" s="243" t="str" cm="1">
        <f t="array" aca="1" ref="N74" ca="1">IFERROR(
  INDEX(Sequence[Dep. ID],
  MATCH(1, (Sequence[Actor Type]="CylinderUnits") * (Sequence[Row Type]&lt;&gt;"Start Conditions") *  (Sequence[Actor/Unit]=Cylinders[[#This Row],[Unit Name]]) * (Sequence[Dep. ID]&gt;Cylinders[[#This Row],[3rd Motion]]), 0)), "")</f>
        <v/>
      </c>
      <c r="O74" s="243" t="str" cm="1">
        <f t="array" aca="1" ref="O74" ca="1">IFERROR(
  INDEX(Sequence[Dep. ID],
  MATCH(1, (Sequence[Actor Type]="CylinderUnits") * (Sequence[Row Type]&lt;&gt;"Start Conditions") *  (Sequence[Actor/Unit]=Cylinders[[#This Row],[Unit Name]]) * (Sequence[Dep. ID]&gt;Cylinders[[#This Row],[4th Motion]]), 0)), "")</f>
        <v/>
      </c>
      <c r="P74" s="243" t="str" cm="1">
        <f t="array" aca="1" ref="P74" ca="1">IFERROR(
  INDEX(Sequence[Dep. ID],
  MATCH(1, (Sequence[Actor Type]="CylinderUnits") * (Sequence[Row Type]&lt;&gt;"Start Conditions") *  (Sequence[Actor/Unit]=Cylinders[[#This Row],[Unit Name]]) * (Sequence[Dep. ID]&gt;Cylinders[[#This Row],[5th Motion]]), 0)), "")</f>
        <v/>
      </c>
      <c r="Q74" s="278"/>
      <c r="R74" s="282"/>
      <c r="S74" s="280"/>
      <c r="T74" s="280"/>
      <c r="U74" s="291"/>
      <c r="V74" s="280"/>
      <c r="W74" s="280"/>
      <c r="X74" s="280"/>
      <c r="Y74" s="280"/>
      <c r="Z74" s="278"/>
      <c r="AA74" s="278"/>
      <c r="AB74" s="274"/>
      <c r="AC74" s="247" t="str">
        <f>IF(AND(Cylinders[[#This Row],[Controls Manifold Name]]&lt;&gt;"",Cylinders[[#This Row],[Controls Valve Name]]&lt;&gt;"",Cylinders[[#This Row],[Unit Name]]&lt;&gt;""),_xlfn.CONCAT(U74,V74),"")</f>
        <v/>
      </c>
      <c r="AD74" s="245" t="str">
        <f>IF(AND(Cylinders[[#This Row],[Controls
Motion 
Group]]&lt;&gt;"",Cylinders[[#This Row],[Controls
Unit 
Name]]&lt;&gt;"",Cylinders[[#This Row],[Unit Name]]&lt;&gt;""),_xlfn.CONCAT(W74,X74),"")</f>
        <v/>
      </c>
    </row>
    <row r="75" spans="5:30" ht="18.600000000000001" customHeight="1">
      <c r="E75" s="282"/>
      <c r="F75" s="278"/>
      <c r="G75" s="279"/>
      <c r="H75" s="280"/>
      <c r="I75" s="280"/>
      <c r="J75" s="281"/>
      <c r="K75" s="243" t="str" cm="1">
        <f t="array" ref="K75">IFERROR(
INDEX(Sequence[Dep. ID],
MATCH(1, (Sequence[Actor Type]="CylinderUnits") * (Sequence[Row Type]&lt;&gt;"Start Conditions") * (Sequence[Actor/Unit]=Cylinders[[#This Row],[Unit Name]]), 0)), "")</f>
        <v/>
      </c>
      <c r="L75" s="243" t="str" cm="1">
        <f t="array" aca="1" ref="L75" ca="1">IFERROR(
  INDEX(Sequence[Dep. ID],
  MATCH(1, (Sequence[Actor Type]="CylinderUnits") * (Sequence[Row Type]&lt;&gt;"Start Conditions") *  (Sequence[Actor/Unit]=Cylinders[[#This Row],[Unit Name]]) * (Sequence[Dep. ID]&gt;Cylinders[[#This Row],[1st Motion]]), 0)), "")</f>
        <v/>
      </c>
      <c r="M75" s="243" t="str" cm="1">
        <f t="array" aca="1" ref="M75" ca="1">IFERROR(
  INDEX(Sequence[Dep. ID],
  MATCH(1, (Sequence[Actor Type]="CylinderUnits") * (Sequence[Row Type]&lt;&gt;"Start Conditions") *  (Sequence[Actor/Unit]=Cylinders[[#This Row],[Unit Name]]) * (Sequence[Dep. ID]&gt;Cylinders[[#This Row],[2nd Motion]]), 0)), "")</f>
        <v/>
      </c>
      <c r="N75" s="243" t="str" cm="1">
        <f t="array" aca="1" ref="N75" ca="1">IFERROR(
  INDEX(Sequence[Dep. ID],
  MATCH(1, (Sequence[Actor Type]="CylinderUnits") * (Sequence[Row Type]&lt;&gt;"Start Conditions") *  (Sequence[Actor/Unit]=Cylinders[[#This Row],[Unit Name]]) * (Sequence[Dep. ID]&gt;Cylinders[[#This Row],[3rd Motion]]), 0)), "")</f>
        <v/>
      </c>
      <c r="O75" s="243" t="str" cm="1">
        <f t="array" aca="1" ref="O75" ca="1">IFERROR(
  INDEX(Sequence[Dep. ID],
  MATCH(1, (Sequence[Actor Type]="CylinderUnits") * (Sequence[Row Type]&lt;&gt;"Start Conditions") *  (Sequence[Actor/Unit]=Cylinders[[#This Row],[Unit Name]]) * (Sequence[Dep. ID]&gt;Cylinders[[#This Row],[4th Motion]]), 0)), "")</f>
        <v/>
      </c>
      <c r="P75" s="243" t="str" cm="1">
        <f t="array" aca="1" ref="P75" ca="1">IFERROR(
  INDEX(Sequence[Dep. ID],
  MATCH(1, (Sequence[Actor Type]="CylinderUnits") * (Sequence[Row Type]&lt;&gt;"Start Conditions") *  (Sequence[Actor/Unit]=Cylinders[[#This Row],[Unit Name]]) * (Sequence[Dep. ID]&gt;Cylinders[[#This Row],[5th Motion]]), 0)), "")</f>
        <v/>
      </c>
      <c r="Q75" s="278"/>
      <c r="R75" s="282"/>
      <c r="S75" s="280"/>
      <c r="T75" s="280"/>
      <c r="U75" s="291"/>
      <c r="V75" s="280"/>
      <c r="W75" s="280"/>
      <c r="X75" s="280"/>
      <c r="Y75" s="280"/>
      <c r="Z75" s="278"/>
      <c r="AA75" s="278"/>
      <c r="AB75" s="274"/>
      <c r="AC75" s="247" t="str">
        <f>IF(AND(Cylinders[[#This Row],[Controls Manifold Name]]&lt;&gt;"",Cylinders[[#This Row],[Controls Valve Name]]&lt;&gt;"",Cylinders[[#This Row],[Unit Name]]&lt;&gt;""),_xlfn.CONCAT(U75,V75),"")</f>
        <v/>
      </c>
      <c r="AD75" s="245" t="str">
        <f>IF(AND(Cylinders[[#This Row],[Controls
Motion 
Group]]&lt;&gt;"",Cylinders[[#This Row],[Controls
Unit 
Name]]&lt;&gt;"",Cylinders[[#This Row],[Unit Name]]&lt;&gt;""),_xlfn.CONCAT(W75,X75),"")</f>
        <v/>
      </c>
    </row>
    <row r="76" spans="5:30" ht="18.600000000000001" customHeight="1">
      <c r="E76" s="282"/>
      <c r="F76" s="278"/>
      <c r="G76" s="279"/>
      <c r="H76" s="280"/>
      <c r="I76" s="280"/>
      <c r="J76" s="281"/>
      <c r="K76" s="243" t="str" cm="1">
        <f t="array" ref="K76">IFERROR(
INDEX(Sequence[Dep. ID],
MATCH(1, (Sequence[Actor Type]="CylinderUnits") * (Sequence[Row Type]&lt;&gt;"Start Conditions") * (Sequence[Actor/Unit]=Cylinders[[#This Row],[Unit Name]]), 0)), "")</f>
        <v/>
      </c>
      <c r="L76" s="243" t="str" cm="1">
        <f t="array" aca="1" ref="L76" ca="1">IFERROR(
  INDEX(Sequence[Dep. ID],
  MATCH(1, (Sequence[Actor Type]="CylinderUnits") * (Sequence[Row Type]&lt;&gt;"Start Conditions") *  (Sequence[Actor/Unit]=Cylinders[[#This Row],[Unit Name]]) * (Sequence[Dep. ID]&gt;Cylinders[[#This Row],[1st Motion]]), 0)), "")</f>
        <v/>
      </c>
      <c r="M76" s="243" t="str" cm="1">
        <f t="array" aca="1" ref="M76" ca="1">IFERROR(
  INDEX(Sequence[Dep. ID],
  MATCH(1, (Sequence[Actor Type]="CylinderUnits") * (Sequence[Row Type]&lt;&gt;"Start Conditions") *  (Sequence[Actor/Unit]=Cylinders[[#This Row],[Unit Name]]) * (Sequence[Dep. ID]&gt;Cylinders[[#This Row],[2nd Motion]]), 0)), "")</f>
        <v/>
      </c>
      <c r="N76" s="243" t="str" cm="1">
        <f t="array" aca="1" ref="N76" ca="1">IFERROR(
  INDEX(Sequence[Dep. ID],
  MATCH(1, (Sequence[Actor Type]="CylinderUnits") * (Sequence[Row Type]&lt;&gt;"Start Conditions") *  (Sequence[Actor/Unit]=Cylinders[[#This Row],[Unit Name]]) * (Sequence[Dep. ID]&gt;Cylinders[[#This Row],[3rd Motion]]), 0)), "")</f>
        <v/>
      </c>
      <c r="O76" s="243" t="str" cm="1">
        <f t="array" aca="1" ref="O76" ca="1">IFERROR(
  INDEX(Sequence[Dep. ID],
  MATCH(1, (Sequence[Actor Type]="CylinderUnits") * (Sequence[Row Type]&lt;&gt;"Start Conditions") *  (Sequence[Actor/Unit]=Cylinders[[#This Row],[Unit Name]]) * (Sequence[Dep. ID]&gt;Cylinders[[#This Row],[4th Motion]]), 0)), "")</f>
        <v/>
      </c>
      <c r="P76" s="243" t="str" cm="1">
        <f t="array" aca="1" ref="P76" ca="1">IFERROR(
  INDEX(Sequence[Dep. ID],
  MATCH(1, (Sequence[Actor Type]="CylinderUnits") * (Sequence[Row Type]&lt;&gt;"Start Conditions") *  (Sequence[Actor/Unit]=Cylinders[[#This Row],[Unit Name]]) * (Sequence[Dep. ID]&gt;Cylinders[[#This Row],[5th Motion]]), 0)), "")</f>
        <v/>
      </c>
      <c r="Q76" s="278"/>
      <c r="R76" s="282"/>
      <c r="S76" s="280"/>
      <c r="T76" s="280"/>
      <c r="U76" s="291"/>
      <c r="V76" s="280"/>
      <c r="W76" s="280"/>
      <c r="X76" s="280"/>
      <c r="Y76" s="280"/>
      <c r="Z76" s="278"/>
      <c r="AA76" s="278"/>
      <c r="AB76" s="274"/>
      <c r="AC76" s="247" t="str">
        <f>IF(AND(Cylinders[[#This Row],[Controls Manifold Name]]&lt;&gt;"",Cylinders[[#This Row],[Controls Valve Name]]&lt;&gt;"",Cylinders[[#This Row],[Unit Name]]&lt;&gt;""),_xlfn.CONCAT(U76,V76),"")</f>
        <v/>
      </c>
      <c r="AD76" s="245" t="str">
        <f>IF(AND(Cylinders[[#This Row],[Controls
Motion 
Group]]&lt;&gt;"",Cylinders[[#This Row],[Controls
Unit 
Name]]&lt;&gt;"",Cylinders[[#This Row],[Unit Name]]&lt;&gt;""),_xlfn.CONCAT(W76,X76),"")</f>
        <v/>
      </c>
    </row>
    <row r="77" spans="5:30" ht="18.600000000000001" customHeight="1">
      <c r="E77" s="282"/>
      <c r="F77" s="278"/>
      <c r="G77" s="279"/>
      <c r="H77" s="280"/>
      <c r="I77" s="280"/>
      <c r="J77" s="281"/>
      <c r="K77" s="243" t="str" cm="1">
        <f t="array" ref="K77">IFERROR(
INDEX(Sequence[Dep. ID],
MATCH(1, (Sequence[Actor Type]="CylinderUnits") * (Sequence[Row Type]&lt;&gt;"Start Conditions") * (Sequence[Actor/Unit]=Cylinders[[#This Row],[Unit Name]]), 0)), "")</f>
        <v/>
      </c>
      <c r="L77" s="243" t="str" cm="1">
        <f t="array" aca="1" ref="L77" ca="1">IFERROR(
  INDEX(Sequence[Dep. ID],
  MATCH(1, (Sequence[Actor Type]="CylinderUnits") * (Sequence[Row Type]&lt;&gt;"Start Conditions") *  (Sequence[Actor/Unit]=Cylinders[[#This Row],[Unit Name]]) * (Sequence[Dep. ID]&gt;Cylinders[[#This Row],[1st Motion]]), 0)), "")</f>
        <v/>
      </c>
      <c r="M77" s="243" t="str" cm="1">
        <f t="array" aca="1" ref="M77" ca="1">IFERROR(
  INDEX(Sequence[Dep. ID],
  MATCH(1, (Sequence[Actor Type]="CylinderUnits") * (Sequence[Row Type]&lt;&gt;"Start Conditions") *  (Sequence[Actor/Unit]=Cylinders[[#This Row],[Unit Name]]) * (Sequence[Dep. ID]&gt;Cylinders[[#This Row],[2nd Motion]]), 0)), "")</f>
        <v/>
      </c>
      <c r="N77" s="243" t="str" cm="1">
        <f t="array" aca="1" ref="N77" ca="1">IFERROR(
  INDEX(Sequence[Dep. ID],
  MATCH(1, (Sequence[Actor Type]="CylinderUnits") * (Sequence[Row Type]&lt;&gt;"Start Conditions") *  (Sequence[Actor/Unit]=Cylinders[[#This Row],[Unit Name]]) * (Sequence[Dep. ID]&gt;Cylinders[[#This Row],[3rd Motion]]), 0)), "")</f>
        <v/>
      </c>
      <c r="O77" s="243" t="str" cm="1">
        <f t="array" aca="1" ref="O77" ca="1">IFERROR(
  INDEX(Sequence[Dep. ID],
  MATCH(1, (Sequence[Actor Type]="CylinderUnits") * (Sequence[Row Type]&lt;&gt;"Start Conditions") *  (Sequence[Actor/Unit]=Cylinders[[#This Row],[Unit Name]]) * (Sequence[Dep. ID]&gt;Cylinders[[#This Row],[4th Motion]]), 0)), "")</f>
        <v/>
      </c>
      <c r="P77" s="243" t="str" cm="1">
        <f t="array" aca="1" ref="P77" ca="1">IFERROR(
  INDEX(Sequence[Dep. ID],
  MATCH(1, (Sequence[Actor Type]="CylinderUnits") * (Sequence[Row Type]&lt;&gt;"Start Conditions") *  (Sequence[Actor/Unit]=Cylinders[[#This Row],[Unit Name]]) * (Sequence[Dep. ID]&gt;Cylinders[[#This Row],[5th Motion]]), 0)), "")</f>
        <v/>
      </c>
      <c r="Q77" s="278"/>
      <c r="R77" s="282"/>
      <c r="S77" s="280"/>
      <c r="T77" s="280"/>
      <c r="U77" s="291"/>
      <c r="V77" s="280"/>
      <c r="W77" s="280"/>
      <c r="X77" s="280"/>
      <c r="Y77" s="280"/>
      <c r="Z77" s="278"/>
      <c r="AA77" s="278"/>
      <c r="AB77" s="274"/>
      <c r="AC77" s="247" t="str">
        <f>IF(AND(Cylinders[[#This Row],[Controls Manifold Name]]&lt;&gt;"",Cylinders[[#This Row],[Controls Valve Name]]&lt;&gt;"",Cylinders[[#This Row],[Unit Name]]&lt;&gt;""),_xlfn.CONCAT(U77,V77),"")</f>
        <v/>
      </c>
      <c r="AD77" s="245" t="str">
        <f>IF(AND(Cylinders[[#This Row],[Controls
Motion 
Group]]&lt;&gt;"",Cylinders[[#This Row],[Controls
Unit 
Name]]&lt;&gt;"",Cylinders[[#This Row],[Unit Name]]&lt;&gt;""),_xlfn.CONCAT(W77,X77),"")</f>
        <v/>
      </c>
    </row>
    <row r="78" spans="5:30" ht="18.600000000000001" customHeight="1">
      <c r="E78" s="282"/>
      <c r="F78" s="278"/>
      <c r="G78" s="279"/>
      <c r="H78" s="280"/>
      <c r="I78" s="280"/>
      <c r="J78" s="281"/>
      <c r="K78" s="243" t="str" cm="1">
        <f t="array" ref="K78">IFERROR(
INDEX(Sequence[Dep. ID],
MATCH(1, (Sequence[Actor Type]="CylinderUnits") * (Sequence[Row Type]&lt;&gt;"Start Conditions") * (Sequence[Actor/Unit]=Cylinders[[#This Row],[Unit Name]]), 0)), "")</f>
        <v/>
      </c>
      <c r="L78" s="243" t="str" cm="1">
        <f t="array" aca="1" ref="L78" ca="1">IFERROR(
  INDEX(Sequence[Dep. ID],
  MATCH(1, (Sequence[Actor Type]="CylinderUnits") * (Sequence[Row Type]&lt;&gt;"Start Conditions") *  (Sequence[Actor/Unit]=Cylinders[[#This Row],[Unit Name]]) * (Sequence[Dep. ID]&gt;Cylinders[[#This Row],[1st Motion]]), 0)), "")</f>
        <v/>
      </c>
      <c r="M78" s="243" t="str" cm="1">
        <f t="array" aca="1" ref="M78" ca="1">IFERROR(
  INDEX(Sequence[Dep. ID],
  MATCH(1, (Sequence[Actor Type]="CylinderUnits") * (Sequence[Row Type]&lt;&gt;"Start Conditions") *  (Sequence[Actor/Unit]=Cylinders[[#This Row],[Unit Name]]) * (Sequence[Dep. ID]&gt;Cylinders[[#This Row],[2nd Motion]]), 0)), "")</f>
        <v/>
      </c>
      <c r="N78" s="243" t="str" cm="1">
        <f t="array" aca="1" ref="N78" ca="1">IFERROR(
  INDEX(Sequence[Dep. ID],
  MATCH(1, (Sequence[Actor Type]="CylinderUnits") * (Sequence[Row Type]&lt;&gt;"Start Conditions") *  (Sequence[Actor/Unit]=Cylinders[[#This Row],[Unit Name]]) * (Sequence[Dep. ID]&gt;Cylinders[[#This Row],[3rd Motion]]), 0)), "")</f>
        <v/>
      </c>
      <c r="O78" s="243" t="str" cm="1">
        <f t="array" aca="1" ref="O78" ca="1">IFERROR(
  INDEX(Sequence[Dep. ID],
  MATCH(1, (Sequence[Actor Type]="CylinderUnits") * (Sequence[Row Type]&lt;&gt;"Start Conditions") *  (Sequence[Actor/Unit]=Cylinders[[#This Row],[Unit Name]]) * (Sequence[Dep. ID]&gt;Cylinders[[#This Row],[4th Motion]]), 0)), "")</f>
        <v/>
      </c>
      <c r="P78" s="243" t="str" cm="1">
        <f t="array" aca="1" ref="P78" ca="1">IFERROR(
  INDEX(Sequence[Dep. ID],
  MATCH(1, (Sequence[Actor Type]="CylinderUnits") * (Sequence[Row Type]&lt;&gt;"Start Conditions") *  (Sequence[Actor/Unit]=Cylinders[[#This Row],[Unit Name]]) * (Sequence[Dep. ID]&gt;Cylinders[[#This Row],[5th Motion]]), 0)), "")</f>
        <v/>
      </c>
      <c r="Q78" s="278"/>
      <c r="R78" s="282"/>
      <c r="S78" s="280"/>
      <c r="T78" s="280"/>
      <c r="U78" s="291"/>
      <c r="V78" s="280"/>
      <c r="W78" s="280"/>
      <c r="X78" s="280"/>
      <c r="Y78" s="280"/>
      <c r="Z78" s="278"/>
      <c r="AA78" s="278"/>
      <c r="AB78" s="274"/>
      <c r="AC78" s="247" t="str">
        <f>IF(AND(Cylinders[[#This Row],[Controls Manifold Name]]&lt;&gt;"",Cylinders[[#This Row],[Controls Valve Name]]&lt;&gt;"",Cylinders[[#This Row],[Unit Name]]&lt;&gt;""),_xlfn.CONCAT(U78,V78),"")</f>
        <v/>
      </c>
      <c r="AD78" s="245" t="str">
        <f>IF(AND(Cylinders[[#This Row],[Controls
Motion 
Group]]&lt;&gt;"",Cylinders[[#This Row],[Controls
Unit 
Name]]&lt;&gt;"",Cylinders[[#This Row],[Unit Name]]&lt;&gt;""),_xlfn.CONCAT(W78,X78),"")</f>
        <v/>
      </c>
    </row>
    <row r="79" spans="5:30" ht="18.600000000000001" customHeight="1">
      <c r="E79" s="282"/>
      <c r="F79" s="278"/>
      <c r="G79" s="279"/>
      <c r="H79" s="280"/>
      <c r="I79" s="280"/>
      <c r="J79" s="281"/>
      <c r="K79" s="243" t="str" cm="1">
        <f t="array" ref="K79">IFERROR(
INDEX(Sequence[Dep. ID],
MATCH(1, (Sequence[Actor Type]="CylinderUnits") * (Sequence[Row Type]&lt;&gt;"Start Conditions") * (Sequence[Actor/Unit]=Cylinders[[#This Row],[Unit Name]]), 0)), "")</f>
        <v/>
      </c>
      <c r="L79" s="243" t="str" cm="1">
        <f t="array" aca="1" ref="L79" ca="1">IFERROR(
  INDEX(Sequence[Dep. ID],
  MATCH(1, (Sequence[Actor Type]="CylinderUnits") * (Sequence[Row Type]&lt;&gt;"Start Conditions") *  (Sequence[Actor/Unit]=Cylinders[[#This Row],[Unit Name]]) * (Sequence[Dep. ID]&gt;Cylinders[[#This Row],[1st Motion]]), 0)), "")</f>
        <v/>
      </c>
      <c r="M79" s="243" t="str" cm="1">
        <f t="array" aca="1" ref="M79" ca="1">IFERROR(
  INDEX(Sequence[Dep. ID],
  MATCH(1, (Sequence[Actor Type]="CylinderUnits") * (Sequence[Row Type]&lt;&gt;"Start Conditions") *  (Sequence[Actor/Unit]=Cylinders[[#This Row],[Unit Name]]) * (Sequence[Dep. ID]&gt;Cylinders[[#This Row],[2nd Motion]]), 0)), "")</f>
        <v/>
      </c>
      <c r="N79" s="243" t="str" cm="1">
        <f t="array" aca="1" ref="N79" ca="1">IFERROR(
  INDEX(Sequence[Dep. ID],
  MATCH(1, (Sequence[Actor Type]="CylinderUnits") * (Sequence[Row Type]&lt;&gt;"Start Conditions") *  (Sequence[Actor/Unit]=Cylinders[[#This Row],[Unit Name]]) * (Sequence[Dep. ID]&gt;Cylinders[[#This Row],[3rd Motion]]), 0)), "")</f>
        <v/>
      </c>
      <c r="O79" s="243" t="str" cm="1">
        <f t="array" aca="1" ref="O79" ca="1">IFERROR(
  INDEX(Sequence[Dep. ID],
  MATCH(1, (Sequence[Actor Type]="CylinderUnits") * (Sequence[Row Type]&lt;&gt;"Start Conditions") *  (Sequence[Actor/Unit]=Cylinders[[#This Row],[Unit Name]]) * (Sequence[Dep. ID]&gt;Cylinders[[#This Row],[4th Motion]]), 0)), "")</f>
        <v/>
      </c>
      <c r="P79" s="243" t="str" cm="1">
        <f t="array" aca="1" ref="P79" ca="1">IFERROR(
  INDEX(Sequence[Dep. ID],
  MATCH(1, (Sequence[Actor Type]="CylinderUnits") * (Sequence[Row Type]&lt;&gt;"Start Conditions") *  (Sequence[Actor/Unit]=Cylinders[[#This Row],[Unit Name]]) * (Sequence[Dep. ID]&gt;Cylinders[[#This Row],[5th Motion]]), 0)), "")</f>
        <v/>
      </c>
      <c r="Q79" s="278"/>
      <c r="R79" s="282"/>
      <c r="S79" s="280"/>
      <c r="T79" s="280"/>
      <c r="U79" s="291"/>
      <c r="V79" s="280"/>
      <c r="W79" s="280"/>
      <c r="X79" s="280"/>
      <c r="Y79" s="280"/>
      <c r="Z79" s="278"/>
      <c r="AA79" s="278"/>
      <c r="AB79" s="274"/>
      <c r="AC79" s="247" t="str">
        <f>IF(AND(Cylinders[[#This Row],[Controls Manifold Name]]&lt;&gt;"",Cylinders[[#This Row],[Controls Valve Name]]&lt;&gt;"",Cylinders[[#This Row],[Unit Name]]&lt;&gt;""),_xlfn.CONCAT(U79,V79),"")</f>
        <v/>
      </c>
      <c r="AD79" s="245" t="str">
        <f>IF(AND(Cylinders[[#This Row],[Controls
Motion 
Group]]&lt;&gt;"",Cylinders[[#This Row],[Controls
Unit 
Name]]&lt;&gt;"",Cylinders[[#This Row],[Unit Name]]&lt;&gt;""),_xlfn.CONCAT(W79,X79),"")</f>
        <v/>
      </c>
    </row>
    <row r="80" spans="5:30" ht="18.600000000000001" customHeight="1">
      <c r="E80" s="282"/>
      <c r="F80" s="278"/>
      <c r="G80" s="279"/>
      <c r="H80" s="280"/>
      <c r="I80" s="280"/>
      <c r="J80" s="281"/>
      <c r="K80" s="243" t="str" cm="1">
        <f t="array" ref="K80">IFERROR(
INDEX(Sequence[Dep. ID],
MATCH(1, (Sequence[Actor Type]="CylinderUnits") * (Sequence[Row Type]&lt;&gt;"Start Conditions") * (Sequence[Actor/Unit]=Cylinders[[#This Row],[Unit Name]]), 0)), "")</f>
        <v/>
      </c>
      <c r="L80" s="243" t="str" cm="1">
        <f t="array" aca="1" ref="L80" ca="1">IFERROR(
  INDEX(Sequence[Dep. ID],
  MATCH(1, (Sequence[Actor Type]="CylinderUnits") * (Sequence[Row Type]&lt;&gt;"Start Conditions") *  (Sequence[Actor/Unit]=Cylinders[[#This Row],[Unit Name]]) * (Sequence[Dep. ID]&gt;Cylinders[[#This Row],[1st Motion]]), 0)), "")</f>
        <v/>
      </c>
      <c r="M80" s="243" t="str" cm="1">
        <f t="array" aca="1" ref="M80" ca="1">IFERROR(
  INDEX(Sequence[Dep. ID],
  MATCH(1, (Sequence[Actor Type]="CylinderUnits") * (Sequence[Row Type]&lt;&gt;"Start Conditions") *  (Sequence[Actor/Unit]=Cylinders[[#This Row],[Unit Name]]) * (Sequence[Dep. ID]&gt;Cylinders[[#This Row],[2nd Motion]]), 0)), "")</f>
        <v/>
      </c>
      <c r="N80" s="243" t="str" cm="1">
        <f t="array" aca="1" ref="N80" ca="1">IFERROR(
  INDEX(Sequence[Dep. ID],
  MATCH(1, (Sequence[Actor Type]="CylinderUnits") * (Sequence[Row Type]&lt;&gt;"Start Conditions") *  (Sequence[Actor/Unit]=Cylinders[[#This Row],[Unit Name]]) * (Sequence[Dep. ID]&gt;Cylinders[[#This Row],[3rd Motion]]), 0)), "")</f>
        <v/>
      </c>
      <c r="O80" s="243" t="str" cm="1">
        <f t="array" aca="1" ref="O80" ca="1">IFERROR(
  INDEX(Sequence[Dep. ID],
  MATCH(1, (Sequence[Actor Type]="CylinderUnits") * (Sequence[Row Type]&lt;&gt;"Start Conditions") *  (Sequence[Actor/Unit]=Cylinders[[#This Row],[Unit Name]]) * (Sequence[Dep. ID]&gt;Cylinders[[#This Row],[4th Motion]]), 0)), "")</f>
        <v/>
      </c>
      <c r="P80" s="243" t="str" cm="1">
        <f t="array" aca="1" ref="P80" ca="1">IFERROR(
  INDEX(Sequence[Dep. ID],
  MATCH(1, (Sequence[Actor Type]="CylinderUnits") * (Sequence[Row Type]&lt;&gt;"Start Conditions") *  (Sequence[Actor/Unit]=Cylinders[[#This Row],[Unit Name]]) * (Sequence[Dep. ID]&gt;Cylinders[[#This Row],[5th Motion]]), 0)), "")</f>
        <v/>
      </c>
      <c r="Q80" s="278"/>
      <c r="R80" s="282"/>
      <c r="S80" s="280"/>
      <c r="T80" s="280"/>
      <c r="U80" s="291"/>
      <c r="V80" s="280"/>
      <c r="W80" s="280"/>
      <c r="X80" s="280"/>
      <c r="Y80" s="280"/>
      <c r="Z80" s="278"/>
      <c r="AA80" s="278"/>
      <c r="AB80" s="274"/>
      <c r="AC80" s="247" t="str">
        <f>IF(AND(Cylinders[[#This Row],[Controls Manifold Name]]&lt;&gt;"",Cylinders[[#This Row],[Controls Valve Name]]&lt;&gt;"",Cylinders[[#This Row],[Unit Name]]&lt;&gt;""),_xlfn.CONCAT(U80,V80),"")</f>
        <v/>
      </c>
      <c r="AD80" s="245" t="str">
        <f>IF(AND(Cylinders[[#This Row],[Controls
Motion 
Group]]&lt;&gt;"",Cylinders[[#This Row],[Controls
Unit 
Name]]&lt;&gt;"",Cylinders[[#This Row],[Unit Name]]&lt;&gt;""),_xlfn.CONCAT(W80,X80),"")</f>
        <v/>
      </c>
    </row>
    <row r="81" spans="1:30" ht="18.600000000000001" customHeight="1">
      <c r="E81" s="282"/>
      <c r="F81" s="278"/>
      <c r="G81" s="279"/>
      <c r="H81" s="280"/>
      <c r="I81" s="280"/>
      <c r="J81" s="281"/>
      <c r="K81" s="243" t="str" cm="1">
        <f t="array" ref="K81">IFERROR(
INDEX(Sequence[Dep. ID],
MATCH(1, (Sequence[Actor Type]="CylinderUnits") * (Sequence[Row Type]&lt;&gt;"Start Conditions") * (Sequence[Actor/Unit]=Cylinders[[#This Row],[Unit Name]]), 0)), "")</f>
        <v/>
      </c>
      <c r="L81" s="243" t="str" cm="1">
        <f t="array" aca="1" ref="L81" ca="1">IFERROR(
  INDEX(Sequence[Dep. ID],
  MATCH(1, (Sequence[Actor Type]="CylinderUnits") * (Sequence[Row Type]&lt;&gt;"Start Conditions") *  (Sequence[Actor/Unit]=Cylinders[[#This Row],[Unit Name]]) * (Sequence[Dep. ID]&gt;Cylinders[[#This Row],[1st Motion]]), 0)), "")</f>
        <v/>
      </c>
      <c r="M81" s="243" t="str" cm="1">
        <f t="array" aca="1" ref="M81" ca="1">IFERROR(
  INDEX(Sequence[Dep. ID],
  MATCH(1, (Sequence[Actor Type]="CylinderUnits") * (Sequence[Row Type]&lt;&gt;"Start Conditions") *  (Sequence[Actor/Unit]=Cylinders[[#This Row],[Unit Name]]) * (Sequence[Dep. ID]&gt;Cylinders[[#This Row],[2nd Motion]]), 0)), "")</f>
        <v/>
      </c>
      <c r="N81" s="243" t="str" cm="1">
        <f t="array" aca="1" ref="N81" ca="1">IFERROR(
  INDEX(Sequence[Dep. ID],
  MATCH(1, (Sequence[Actor Type]="CylinderUnits") * (Sequence[Row Type]&lt;&gt;"Start Conditions") *  (Sequence[Actor/Unit]=Cylinders[[#This Row],[Unit Name]]) * (Sequence[Dep. ID]&gt;Cylinders[[#This Row],[3rd Motion]]), 0)), "")</f>
        <v/>
      </c>
      <c r="O81" s="243" t="str" cm="1">
        <f t="array" aca="1" ref="O81" ca="1">IFERROR(
  INDEX(Sequence[Dep. ID],
  MATCH(1, (Sequence[Actor Type]="CylinderUnits") * (Sequence[Row Type]&lt;&gt;"Start Conditions") *  (Sequence[Actor/Unit]=Cylinders[[#This Row],[Unit Name]]) * (Sequence[Dep. ID]&gt;Cylinders[[#This Row],[4th Motion]]), 0)), "")</f>
        <v/>
      </c>
      <c r="P81" s="243" t="str" cm="1">
        <f t="array" aca="1" ref="P81" ca="1">IFERROR(
  INDEX(Sequence[Dep. ID],
  MATCH(1, (Sequence[Actor Type]="CylinderUnits") * (Sequence[Row Type]&lt;&gt;"Start Conditions") *  (Sequence[Actor/Unit]=Cylinders[[#This Row],[Unit Name]]) * (Sequence[Dep. ID]&gt;Cylinders[[#This Row],[5th Motion]]), 0)), "")</f>
        <v/>
      </c>
      <c r="Q81" s="278"/>
      <c r="R81" s="282"/>
      <c r="S81" s="280"/>
      <c r="T81" s="280"/>
      <c r="U81" s="291"/>
      <c r="V81" s="280"/>
      <c r="W81" s="280"/>
      <c r="X81" s="280"/>
      <c r="Y81" s="280"/>
      <c r="Z81" s="278"/>
      <c r="AA81" s="278"/>
      <c r="AB81" s="274"/>
      <c r="AC81" s="247" t="str">
        <f>IF(AND(Cylinders[[#This Row],[Controls Manifold Name]]&lt;&gt;"",Cylinders[[#This Row],[Controls Valve Name]]&lt;&gt;"",Cylinders[[#This Row],[Unit Name]]&lt;&gt;""),_xlfn.CONCAT(U81,V81),"")</f>
        <v/>
      </c>
      <c r="AD81" s="245" t="str">
        <f>IF(AND(Cylinders[[#This Row],[Controls
Motion 
Group]]&lt;&gt;"",Cylinders[[#This Row],[Controls
Unit 
Name]]&lt;&gt;"",Cylinders[[#This Row],[Unit Name]]&lt;&gt;""),_xlfn.CONCAT(W81,X81),"")</f>
        <v/>
      </c>
    </row>
    <row r="82" spans="1:30" ht="18.600000000000001" customHeight="1">
      <c r="E82" s="282"/>
      <c r="F82" s="278"/>
      <c r="G82" s="279"/>
      <c r="H82" s="280"/>
      <c r="I82" s="280"/>
      <c r="J82" s="281"/>
      <c r="K82" s="243" t="str" cm="1">
        <f t="array" ref="K82">IFERROR(
INDEX(Sequence[Dep. ID],
MATCH(1, (Sequence[Actor Type]="CylinderUnits") * (Sequence[Row Type]&lt;&gt;"Start Conditions") * (Sequence[Actor/Unit]=Cylinders[[#This Row],[Unit Name]]), 0)), "")</f>
        <v/>
      </c>
      <c r="L82" s="243" t="str" cm="1">
        <f t="array" aca="1" ref="L82" ca="1">IFERROR(
  INDEX(Sequence[Dep. ID],
  MATCH(1, (Sequence[Actor Type]="CylinderUnits") * (Sequence[Row Type]&lt;&gt;"Start Conditions") *  (Sequence[Actor/Unit]=Cylinders[[#This Row],[Unit Name]]) * (Sequence[Dep. ID]&gt;Cylinders[[#This Row],[1st Motion]]), 0)), "")</f>
        <v/>
      </c>
      <c r="M82" s="243" t="str" cm="1">
        <f t="array" aca="1" ref="M82" ca="1">IFERROR(
  INDEX(Sequence[Dep. ID],
  MATCH(1, (Sequence[Actor Type]="CylinderUnits") * (Sequence[Row Type]&lt;&gt;"Start Conditions") *  (Sequence[Actor/Unit]=Cylinders[[#This Row],[Unit Name]]) * (Sequence[Dep. ID]&gt;Cylinders[[#This Row],[2nd Motion]]), 0)), "")</f>
        <v/>
      </c>
      <c r="N82" s="243" t="str" cm="1">
        <f t="array" aca="1" ref="N82" ca="1">IFERROR(
  INDEX(Sequence[Dep. ID],
  MATCH(1, (Sequence[Actor Type]="CylinderUnits") * (Sequence[Row Type]&lt;&gt;"Start Conditions") *  (Sequence[Actor/Unit]=Cylinders[[#This Row],[Unit Name]]) * (Sequence[Dep. ID]&gt;Cylinders[[#This Row],[3rd Motion]]), 0)), "")</f>
        <v/>
      </c>
      <c r="O82" s="243" t="str" cm="1">
        <f t="array" aca="1" ref="O82" ca="1">IFERROR(
  INDEX(Sequence[Dep. ID],
  MATCH(1, (Sequence[Actor Type]="CylinderUnits") * (Sequence[Row Type]&lt;&gt;"Start Conditions") *  (Sequence[Actor/Unit]=Cylinders[[#This Row],[Unit Name]]) * (Sequence[Dep. ID]&gt;Cylinders[[#This Row],[4th Motion]]), 0)), "")</f>
        <v/>
      </c>
      <c r="P82" s="243" t="str" cm="1">
        <f t="array" aca="1" ref="P82" ca="1">IFERROR(
  INDEX(Sequence[Dep. ID],
  MATCH(1, (Sequence[Actor Type]="CylinderUnits") * (Sequence[Row Type]&lt;&gt;"Start Conditions") *  (Sequence[Actor/Unit]=Cylinders[[#This Row],[Unit Name]]) * (Sequence[Dep. ID]&gt;Cylinders[[#This Row],[5th Motion]]), 0)), "")</f>
        <v/>
      </c>
      <c r="Q82" s="278"/>
      <c r="R82" s="282"/>
      <c r="S82" s="280"/>
      <c r="T82" s="280"/>
      <c r="U82" s="291"/>
      <c r="V82" s="280"/>
      <c r="W82" s="280"/>
      <c r="X82" s="280"/>
      <c r="Y82" s="280"/>
      <c r="Z82" s="278"/>
      <c r="AA82" s="278"/>
      <c r="AB82" s="274"/>
      <c r="AC82" s="247" t="str">
        <f>IF(AND(Cylinders[[#This Row],[Controls Manifold Name]]&lt;&gt;"",Cylinders[[#This Row],[Controls Valve Name]]&lt;&gt;"",Cylinders[[#This Row],[Unit Name]]&lt;&gt;""),_xlfn.CONCAT(U82,V82),"")</f>
        <v/>
      </c>
      <c r="AD82" s="245" t="str">
        <f>IF(AND(Cylinders[[#This Row],[Controls
Motion 
Group]]&lt;&gt;"",Cylinders[[#This Row],[Controls
Unit 
Name]]&lt;&gt;"",Cylinders[[#This Row],[Unit Name]]&lt;&gt;""),_xlfn.CONCAT(W82,X82),"")</f>
        <v/>
      </c>
    </row>
    <row r="83" spans="1:30" ht="18.600000000000001" customHeight="1">
      <c r="E83" s="282"/>
      <c r="F83" s="278"/>
      <c r="G83" s="279"/>
      <c r="H83" s="280"/>
      <c r="I83" s="280"/>
      <c r="J83" s="281"/>
      <c r="K83" s="243" t="str" cm="1">
        <f t="array" ref="K83">IFERROR(
INDEX(Sequence[Dep. ID],
MATCH(1, (Sequence[Actor Type]="CylinderUnits") * (Sequence[Row Type]&lt;&gt;"Start Conditions") * (Sequence[Actor/Unit]=Cylinders[[#This Row],[Unit Name]]), 0)), "")</f>
        <v/>
      </c>
      <c r="L83" s="243" t="str" cm="1">
        <f t="array" aca="1" ref="L83" ca="1">IFERROR(
  INDEX(Sequence[Dep. ID],
  MATCH(1, (Sequence[Actor Type]="CylinderUnits") * (Sequence[Row Type]&lt;&gt;"Start Conditions") *  (Sequence[Actor/Unit]=Cylinders[[#This Row],[Unit Name]]) * (Sequence[Dep. ID]&gt;Cylinders[[#This Row],[1st Motion]]), 0)), "")</f>
        <v/>
      </c>
      <c r="M83" s="243" t="str" cm="1">
        <f t="array" aca="1" ref="M83" ca="1">IFERROR(
  INDEX(Sequence[Dep. ID],
  MATCH(1, (Sequence[Actor Type]="CylinderUnits") * (Sequence[Row Type]&lt;&gt;"Start Conditions") *  (Sequence[Actor/Unit]=Cylinders[[#This Row],[Unit Name]]) * (Sequence[Dep. ID]&gt;Cylinders[[#This Row],[2nd Motion]]), 0)), "")</f>
        <v/>
      </c>
      <c r="N83" s="243" t="str" cm="1">
        <f t="array" aca="1" ref="N83" ca="1">IFERROR(
  INDEX(Sequence[Dep. ID],
  MATCH(1, (Sequence[Actor Type]="CylinderUnits") * (Sequence[Row Type]&lt;&gt;"Start Conditions") *  (Sequence[Actor/Unit]=Cylinders[[#This Row],[Unit Name]]) * (Sequence[Dep. ID]&gt;Cylinders[[#This Row],[3rd Motion]]), 0)), "")</f>
        <v/>
      </c>
      <c r="O83" s="243" t="str" cm="1">
        <f t="array" aca="1" ref="O83" ca="1">IFERROR(
  INDEX(Sequence[Dep. ID],
  MATCH(1, (Sequence[Actor Type]="CylinderUnits") * (Sequence[Row Type]&lt;&gt;"Start Conditions") *  (Sequence[Actor/Unit]=Cylinders[[#This Row],[Unit Name]]) * (Sequence[Dep. ID]&gt;Cylinders[[#This Row],[4th Motion]]), 0)), "")</f>
        <v/>
      </c>
      <c r="P83" s="243" t="str" cm="1">
        <f t="array" aca="1" ref="P83" ca="1">IFERROR(
  INDEX(Sequence[Dep. ID],
  MATCH(1, (Sequence[Actor Type]="CylinderUnits") * (Sequence[Row Type]&lt;&gt;"Start Conditions") *  (Sequence[Actor/Unit]=Cylinders[[#This Row],[Unit Name]]) * (Sequence[Dep. ID]&gt;Cylinders[[#This Row],[5th Motion]]), 0)), "")</f>
        <v/>
      </c>
      <c r="Q83" s="278"/>
      <c r="R83" s="282"/>
      <c r="S83" s="280"/>
      <c r="T83" s="280"/>
      <c r="U83" s="291"/>
      <c r="V83" s="280"/>
      <c r="W83" s="280"/>
      <c r="X83" s="280"/>
      <c r="Y83" s="280"/>
      <c r="Z83" s="278"/>
      <c r="AA83" s="278"/>
      <c r="AB83" s="274"/>
      <c r="AC83" s="247" t="str">
        <f>IF(AND(Cylinders[[#This Row],[Controls Manifold Name]]&lt;&gt;"",Cylinders[[#This Row],[Controls Valve Name]]&lt;&gt;"",Cylinders[[#This Row],[Unit Name]]&lt;&gt;""),_xlfn.CONCAT(U83,V83),"")</f>
        <v/>
      </c>
      <c r="AD83" s="245" t="str">
        <f>IF(AND(Cylinders[[#This Row],[Controls
Motion 
Group]]&lt;&gt;"",Cylinders[[#This Row],[Controls
Unit 
Name]]&lt;&gt;"",Cylinders[[#This Row],[Unit Name]]&lt;&gt;""),_xlfn.CONCAT(W83,X83),"")</f>
        <v/>
      </c>
    </row>
    <row r="84" spans="1:30" s="99" customFormat="1" ht="18.600000000000001" customHeight="1">
      <c r="A84" s="42"/>
      <c r="B84" s="78"/>
      <c r="C84" s="78"/>
      <c r="D84" s="42"/>
      <c r="E84" s="282"/>
      <c r="F84" s="278"/>
      <c r="G84" s="279"/>
      <c r="H84" s="280"/>
      <c r="I84" s="280"/>
      <c r="J84" s="281"/>
      <c r="K84" s="243" t="str" cm="1">
        <f t="array" ref="K84">IFERROR(
INDEX(Sequence[Dep. ID],
MATCH(1, (Sequence[Actor Type]="CylinderUnits") * (Sequence[Row Type]&lt;&gt;"Start Conditions") * (Sequence[Actor/Unit]=Cylinders[[#This Row],[Unit Name]]), 0)), "")</f>
        <v/>
      </c>
      <c r="L84" s="243" t="str" cm="1">
        <f t="array" aca="1" ref="L84" ca="1">IFERROR(
  INDEX(Sequence[Dep. ID],
  MATCH(1, (Sequence[Actor Type]="CylinderUnits") * (Sequence[Row Type]&lt;&gt;"Start Conditions") *  (Sequence[Actor/Unit]=Cylinders[[#This Row],[Unit Name]]) * (Sequence[Dep. ID]&gt;Cylinders[[#This Row],[1st Motion]]), 0)), "")</f>
        <v/>
      </c>
      <c r="M84" s="243" t="str" cm="1">
        <f t="array" aca="1" ref="M84" ca="1">IFERROR(
  INDEX(Sequence[Dep. ID],
  MATCH(1, (Sequence[Actor Type]="CylinderUnits") * (Sequence[Row Type]&lt;&gt;"Start Conditions") *  (Sequence[Actor/Unit]=Cylinders[[#This Row],[Unit Name]]) * (Sequence[Dep. ID]&gt;Cylinders[[#This Row],[2nd Motion]]), 0)), "")</f>
        <v/>
      </c>
      <c r="N84" s="243" t="str" cm="1">
        <f t="array" aca="1" ref="N84" ca="1">IFERROR(
  INDEX(Sequence[Dep. ID],
  MATCH(1, (Sequence[Actor Type]="CylinderUnits") * (Sequence[Row Type]&lt;&gt;"Start Conditions") *  (Sequence[Actor/Unit]=Cylinders[[#This Row],[Unit Name]]) * (Sequence[Dep. ID]&gt;Cylinders[[#This Row],[3rd Motion]]), 0)), "")</f>
        <v/>
      </c>
      <c r="O84" s="243" t="str" cm="1">
        <f t="array" aca="1" ref="O84" ca="1">IFERROR(
  INDEX(Sequence[Dep. ID],
  MATCH(1, (Sequence[Actor Type]="CylinderUnits") * (Sequence[Row Type]&lt;&gt;"Start Conditions") *  (Sequence[Actor/Unit]=Cylinders[[#This Row],[Unit Name]]) * (Sequence[Dep. ID]&gt;Cylinders[[#This Row],[4th Motion]]), 0)), "")</f>
        <v/>
      </c>
      <c r="P84" s="243" t="str" cm="1">
        <f t="array" aca="1" ref="P84" ca="1">IFERROR(
  INDEX(Sequence[Dep. ID],
  MATCH(1, (Sequence[Actor Type]="CylinderUnits") * (Sequence[Row Type]&lt;&gt;"Start Conditions") *  (Sequence[Actor/Unit]=Cylinders[[#This Row],[Unit Name]]) * (Sequence[Dep. ID]&gt;Cylinders[[#This Row],[5th Motion]]), 0)), "")</f>
        <v/>
      </c>
      <c r="Q84" s="278"/>
      <c r="R84" s="282"/>
      <c r="S84" s="280"/>
      <c r="T84" s="280"/>
      <c r="U84" s="291"/>
      <c r="V84" s="280"/>
      <c r="W84" s="280"/>
      <c r="X84" s="280"/>
      <c r="Y84" s="280"/>
      <c r="Z84" s="278"/>
      <c r="AA84" s="278"/>
      <c r="AB84" s="274"/>
      <c r="AC84" s="247" t="str">
        <f>IF(AND(Cylinders[[#This Row],[Controls Manifold Name]]&lt;&gt;"",Cylinders[[#This Row],[Controls Valve Name]]&lt;&gt;"",Cylinders[[#This Row],[Unit Name]]&lt;&gt;""),_xlfn.CONCAT(U84,V84),"")</f>
        <v/>
      </c>
      <c r="AD84" s="245" t="str">
        <f>IF(AND(Cylinders[[#This Row],[Controls
Motion 
Group]]&lt;&gt;"",Cylinders[[#This Row],[Controls
Unit 
Name]]&lt;&gt;"",Cylinders[[#This Row],[Unit Name]]&lt;&gt;""),_xlfn.CONCAT(W84,X84),"")</f>
        <v/>
      </c>
    </row>
    <row r="85" spans="1:30" ht="18.600000000000001" customHeight="1">
      <c r="E85" s="282"/>
      <c r="F85" s="278"/>
      <c r="G85" s="279"/>
      <c r="H85" s="280"/>
      <c r="I85" s="280"/>
      <c r="J85" s="281"/>
      <c r="K85" s="243" t="str" cm="1">
        <f t="array" ref="K85">IFERROR(
INDEX(Sequence[Dep. ID],
MATCH(1, (Sequence[Actor Type]="CylinderUnits") * (Sequence[Row Type]&lt;&gt;"Start Conditions") * (Sequence[Actor/Unit]=Cylinders[[#This Row],[Unit Name]]), 0)), "")</f>
        <v/>
      </c>
      <c r="L85" s="243" t="str" cm="1">
        <f t="array" aca="1" ref="L85" ca="1">IFERROR(
  INDEX(Sequence[Dep. ID],
  MATCH(1, (Sequence[Actor Type]="CylinderUnits") * (Sequence[Row Type]&lt;&gt;"Start Conditions") *  (Sequence[Actor/Unit]=Cylinders[[#This Row],[Unit Name]]) * (Sequence[Dep. ID]&gt;Cylinders[[#This Row],[1st Motion]]), 0)), "")</f>
        <v/>
      </c>
      <c r="M85" s="243" t="str" cm="1">
        <f t="array" aca="1" ref="M85" ca="1">IFERROR(
  INDEX(Sequence[Dep. ID],
  MATCH(1, (Sequence[Actor Type]="CylinderUnits") * (Sequence[Row Type]&lt;&gt;"Start Conditions") *  (Sequence[Actor/Unit]=Cylinders[[#This Row],[Unit Name]]) * (Sequence[Dep. ID]&gt;Cylinders[[#This Row],[2nd Motion]]), 0)), "")</f>
        <v/>
      </c>
      <c r="N85" s="243" t="str" cm="1">
        <f t="array" aca="1" ref="N85" ca="1">IFERROR(
  INDEX(Sequence[Dep. ID],
  MATCH(1, (Sequence[Actor Type]="CylinderUnits") * (Sequence[Row Type]&lt;&gt;"Start Conditions") *  (Sequence[Actor/Unit]=Cylinders[[#This Row],[Unit Name]]) * (Sequence[Dep. ID]&gt;Cylinders[[#This Row],[3rd Motion]]), 0)), "")</f>
        <v/>
      </c>
      <c r="O85" s="243" t="str" cm="1">
        <f t="array" aca="1" ref="O85" ca="1">IFERROR(
  INDEX(Sequence[Dep. ID],
  MATCH(1, (Sequence[Actor Type]="CylinderUnits") * (Sequence[Row Type]&lt;&gt;"Start Conditions") *  (Sequence[Actor/Unit]=Cylinders[[#This Row],[Unit Name]]) * (Sequence[Dep. ID]&gt;Cylinders[[#This Row],[4th Motion]]), 0)), "")</f>
        <v/>
      </c>
      <c r="P85" s="243" t="str" cm="1">
        <f t="array" aca="1" ref="P85" ca="1">IFERROR(
  INDEX(Sequence[Dep. ID],
  MATCH(1, (Sequence[Actor Type]="CylinderUnits") * (Sequence[Row Type]&lt;&gt;"Start Conditions") *  (Sequence[Actor/Unit]=Cylinders[[#This Row],[Unit Name]]) * (Sequence[Dep. ID]&gt;Cylinders[[#This Row],[5th Motion]]), 0)), "")</f>
        <v/>
      </c>
      <c r="Q85" s="278"/>
      <c r="R85" s="282"/>
      <c r="S85" s="280"/>
      <c r="T85" s="280"/>
      <c r="U85" s="291"/>
      <c r="V85" s="280"/>
      <c r="W85" s="280"/>
      <c r="X85" s="280"/>
      <c r="Y85" s="280"/>
      <c r="Z85" s="278"/>
      <c r="AA85" s="278"/>
      <c r="AB85" s="274"/>
      <c r="AC85" s="246" t="str">
        <f>IF(AND(Cylinders[[#This Row],[Controls Manifold Name]]&lt;&gt;"",Cylinders[[#This Row],[Controls Valve Name]]&lt;&gt;"",Cylinders[[#This Row],[Unit Name]]&lt;&gt;""),_xlfn.CONCAT(U85,V85),"")</f>
        <v/>
      </c>
      <c r="AD85" s="245" t="str">
        <f>IF(AND(Cylinders[[#This Row],[Controls
Motion 
Group]]&lt;&gt;"",Cylinders[[#This Row],[Controls
Unit 
Name]]&lt;&gt;"",Cylinders[[#This Row],[Unit Name]]&lt;&gt;""),_xlfn.CONCAT(W85,X85),"")</f>
        <v/>
      </c>
    </row>
    <row r="86" spans="1:30" ht="18.600000000000001" customHeight="1">
      <c r="E86" s="282"/>
      <c r="F86" s="278"/>
      <c r="G86" s="279"/>
      <c r="H86" s="280"/>
      <c r="I86" s="280"/>
      <c r="J86" s="281"/>
      <c r="K86" s="243" t="str" cm="1">
        <f t="array" ref="K86">IFERROR(
INDEX(Sequence[Dep. ID],
MATCH(1, (Sequence[Actor Type]="CylinderUnits") * (Sequence[Row Type]&lt;&gt;"Start Conditions") * (Sequence[Actor/Unit]=Cylinders[[#This Row],[Unit Name]]), 0)), "")</f>
        <v/>
      </c>
      <c r="L86" s="243" t="str" cm="1">
        <f t="array" aca="1" ref="L86" ca="1">IFERROR(
  INDEX(Sequence[Dep. ID],
  MATCH(1, (Sequence[Actor Type]="CylinderUnits") * (Sequence[Row Type]&lt;&gt;"Start Conditions") *  (Sequence[Actor/Unit]=Cylinders[[#This Row],[Unit Name]]) * (Sequence[Dep. ID]&gt;Cylinders[[#This Row],[1st Motion]]), 0)), "")</f>
        <v/>
      </c>
      <c r="M86" s="243" t="str" cm="1">
        <f t="array" aca="1" ref="M86" ca="1">IFERROR(
  INDEX(Sequence[Dep. ID],
  MATCH(1, (Sequence[Actor Type]="CylinderUnits") * (Sequence[Row Type]&lt;&gt;"Start Conditions") *  (Sequence[Actor/Unit]=Cylinders[[#This Row],[Unit Name]]) * (Sequence[Dep. ID]&gt;Cylinders[[#This Row],[2nd Motion]]), 0)), "")</f>
        <v/>
      </c>
      <c r="N86" s="243" t="str" cm="1">
        <f t="array" aca="1" ref="N86" ca="1">IFERROR(
  INDEX(Sequence[Dep. ID],
  MATCH(1, (Sequence[Actor Type]="CylinderUnits") * (Sequence[Row Type]&lt;&gt;"Start Conditions") *  (Sequence[Actor/Unit]=Cylinders[[#This Row],[Unit Name]]) * (Sequence[Dep. ID]&gt;Cylinders[[#This Row],[3rd Motion]]), 0)), "")</f>
        <v/>
      </c>
      <c r="O86" s="243" t="str" cm="1">
        <f t="array" aca="1" ref="O86" ca="1">IFERROR(
  INDEX(Sequence[Dep. ID],
  MATCH(1, (Sequence[Actor Type]="CylinderUnits") * (Sequence[Row Type]&lt;&gt;"Start Conditions") *  (Sequence[Actor/Unit]=Cylinders[[#This Row],[Unit Name]]) * (Sequence[Dep. ID]&gt;Cylinders[[#This Row],[4th Motion]]), 0)), "")</f>
        <v/>
      </c>
      <c r="P86" s="243" t="str" cm="1">
        <f t="array" aca="1" ref="P86" ca="1">IFERROR(
  INDEX(Sequence[Dep. ID],
  MATCH(1, (Sequence[Actor Type]="CylinderUnits") * (Sequence[Row Type]&lt;&gt;"Start Conditions") *  (Sequence[Actor/Unit]=Cylinders[[#This Row],[Unit Name]]) * (Sequence[Dep. ID]&gt;Cylinders[[#This Row],[5th Motion]]), 0)), "")</f>
        <v/>
      </c>
      <c r="Q86" s="278"/>
      <c r="R86" s="282"/>
      <c r="S86" s="280"/>
      <c r="T86" s="280"/>
      <c r="U86" s="291"/>
      <c r="V86" s="280"/>
      <c r="W86" s="280"/>
      <c r="X86" s="280"/>
      <c r="Y86" s="280"/>
      <c r="Z86" s="278"/>
      <c r="AA86" s="278"/>
      <c r="AB86" s="274"/>
      <c r="AC86" s="246" t="str">
        <f>IF(AND(Cylinders[[#This Row],[Controls Manifold Name]]&lt;&gt;"",Cylinders[[#This Row],[Controls Valve Name]]&lt;&gt;"",Cylinders[[#This Row],[Unit Name]]&lt;&gt;""),_xlfn.CONCAT(U86,V86),"")</f>
        <v/>
      </c>
      <c r="AD86" s="245" t="str">
        <f>IF(AND(Cylinders[[#This Row],[Controls
Motion 
Group]]&lt;&gt;"",Cylinders[[#This Row],[Controls
Unit 
Name]]&lt;&gt;"",Cylinders[[#This Row],[Unit Name]]&lt;&gt;""),_xlfn.CONCAT(W86,X86),"")</f>
        <v/>
      </c>
    </row>
    <row r="87" spans="1:30" ht="18.600000000000001" customHeight="1">
      <c r="E87" s="282"/>
      <c r="F87" s="278"/>
      <c r="G87" s="279"/>
      <c r="H87" s="280"/>
      <c r="I87" s="280"/>
      <c r="J87" s="281"/>
      <c r="K87" s="243" t="str" cm="1">
        <f t="array" ref="K87">IFERROR(
INDEX(Sequence[Dep. ID],
MATCH(1, (Sequence[Actor Type]="CylinderUnits") * (Sequence[Row Type]&lt;&gt;"Start Conditions") * (Sequence[Actor/Unit]=Cylinders[[#This Row],[Unit Name]]), 0)), "")</f>
        <v/>
      </c>
      <c r="L87" s="243" t="str" cm="1">
        <f t="array" aca="1" ref="L87" ca="1">IFERROR(
  INDEX(Sequence[Dep. ID],
  MATCH(1, (Sequence[Actor Type]="CylinderUnits") * (Sequence[Row Type]&lt;&gt;"Start Conditions") *  (Sequence[Actor/Unit]=Cylinders[[#This Row],[Unit Name]]) * (Sequence[Dep. ID]&gt;Cylinders[[#This Row],[1st Motion]]), 0)), "")</f>
        <v/>
      </c>
      <c r="M87" s="243" t="str" cm="1">
        <f t="array" aca="1" ref="M87" ca="1">IFERROR(
  INDEX(Sequence[Dep. ID],
  MATCH(1, (Sequence[Actor Type]="CylinderUnits") * (Sequence[Row Type]&lt;&gt;"Start Conditions") *  (Sequence[Actor/Unit]=Cylinders[[#This Row],[Unit Name]]) * (Sequence[Dep. ID]&gt;Cylinders[[#This Row],[2nd Motion]]), 0)), "")</f>
        <v/>
      </c>
      <c r="N87" s="243" t="str" cm="1">
        <f t="array" aca="1" ref="N87" ca="1">IFERROR(
  INDEX(Sequence[Dep. ID],
  MATCH(1, (Sequence[Actor Type]="CylinderUnits") * (Sequence[Row Type]&lt;&gt;"Start Conditions") *  (Sequence[Actor/Unit]=Cylinders[[#This Row],[Unit Name]]) * (Sequence[Dep. ID]&gt;Cylinders[[#This Row],[3rd Motion]]), 0)), "")</f>
        <v/>
      </c>
      <c r="O87" s="243" t="str" cm="1">
        <f t="array" aca="1" ref="O87" ca="1">IFERROR(
  INDEX(Sequence[Dep. ID],
  MATCH(1, (Sequence[Actor Type]="CylinderUnits") * (Sequence[Row Type]&lt;&gt;"Start Conditions") *  (Sequence[Actor/Unit]=Cylinders[[#This Row],[Unit Name]]) * (Sequence[Dep. ID]&gt;Cylinders[[#This Row],[4th Motion]]), 0)), "")</f>
        <v/>
      </c>
      <c r="P87" s="243" t="str" cm="1">
        <f t="array" aca="1" ref="P87" ca="1">IFERROR(
  INDEX(Sequence[Dep. ID],
  MATCH(1, (Sequence[Actor Type]="CylinderUnits") * (Sequence[Row Type]&lt;&gt;"Start Conditions") *  (Sequence[Actor/Unit]=Cylinders[[#This Row],[Unit Name]]) * (Sequence[Dep. ID]&gt;Cylinders[[#This Row],[5th Motion]]), 0)), "")</f>
        <v/>
      </c>
      <c r="Q87" s="278"/>
      <c r="R87" s="282"/>
      <c r="S87" s="280"/>
      <c r="T87" s="280"/>
      <c r="U87" s="291"/>
      <c r="V87" s="280"/>
      <c r="W87" s="280"/>
      <c r="X87" s="280"/>
      <c r="Y87" s="280"/>
      <c r="Z87" s="278"/>
      <c r="AA87" s="278"/>
      <c r="AB87" s="274"/>
      <c r="AC87" s="246" t="str">
        <f>IF(AND(Cylinders[[#This Row],[Controls Manifold Name]]&lt;&gt;"",Cylinders[[#This Row],[Controls Valve Name]]&lt;&gt;"",Cylinders[[#This Row],[Unit Name]]&lt;&gt;""),_xlfn.CONCAT(U87,V87),"")</f>
        <v/>
      </c>
      <c r="AD87" s="245" t="str">
        <f>IF(AND(Cylinders[[#This Row],[Controls
Motion 
Group]]&lt;&gt;"",Cylinders[[#This Row],[Controls
Unit 
Name]]&lt;&gt;"",Cylinders[[#This Row],[Unit Name]]&lt;&gt;""),_xlfn.CONCAT(W87,X87),"")</f>
        <v/>
      </c>
    </row>
    <row r="88" spans="1:30" ht="18.600000000000001" customHeight="1">
      <c r="E88" s="282"/>
      <c r="F88" s="278"/>
      <c r="G88" s="279"/>
      <c r="H88" s="280"/>
      <c r="I88" s="280"/>
      <c r="J88" s="281"/>
      <c r="K88" s="243" t="str" cm="1">
        <f t="array" ref="K88">IFERROR(
INDEX(Sequence[Dep. ID],
MATCH(1, (Sequence[Actor Type]="CylinderUnits") * (Sequence[Row Type]&lt;&gt;"Start Conditions") * (Sequence[Actor/Unit]=Cylinders[[#This Row],[Unit Name]]), 0)), "")</f>
        <v/>
      </c>
      <c r="L88" s="243" t="str" cm="1">
        <f t="array" aca="1" ref="L88" ca="1">IFERROR(
  INDEX(Sequence[Dep. ID],
  MATCH(1, (Sequence[Actor Type]="CylinderUnits") * (Sequence[Row Type]&lt;&gt;"Start Conditions") *  (Sequence[Actor/Unit]=Cylinders[[#This Row],[Unit Name]]) * (Sequence[Dep. ID]&gt;Cylinders[[#This Row],[1st Motion]]), 0)), "")</f>
        <v/>
      </c>
      <c r="M88" s="243" t="str" cm="1">
        <f t="array" aca="1" ref="M88" ca="1">IFERROR(
  INDEX(Sequence[Dep. ID],
  MATCH(1, (Sequence[Actor Type]="CylinderUnits") * (Sequence[Row Type]&lt;&gt;"Start Conditions") *  (Sequence[Actor/Unit]=Cylinders[[#This Row],[Unit Name]]) * (Sequence[Dep. ID]&gt;Cylinders[[#This Row],[2nd Motion]]), 0)), "")</f>
        <v/>
      </c>
      <c r="N88" s="243" t="str" cm="1">
        <f t="array" aca="1" ref="N88" ca="1">IFERROR(
  INDEX(Sequence[Dep. ID],
  MATCH(1, (Sequence[Actor Type]="CylinderUnits") * (Sequence[Row Type]&lt;&gt;"Start Conditions") *  (Sequence[Actor/Unit]=Cylinders[[#This Row],[Unit Name]]) * (Sequence[Dep. ID]&gt;Cylinders[[#This Row],[3rd Motion]]), 0)), "")</f>
        <v/>
      </c>
      <c r="O88" s="243" t="str" cm="1">
        <f t="array" aca="1" ref="O88" ca="1">IFERROR(
  INDEX(Sequence[Dep. ID],
  MATCH(1, (Sequence[Actor Type]="CylinderUnits") * (Sequence[Row Type]&lt;&gt;"Start Conditions") *  (Sequence[Actor/Unit]=Cylinders[[#This Row],[Unit Name]]) * (Sequence[Dep. ID]&gt;Cylinders[[#This Row],[4th Motion]]), 0)), "")</f>
        <v/>
      </c>
      <c r="P88" s="243" t="str" cm="1">
        <f t="array" aca="1" ref="P88" ca="1">IFERROR(
  INDEX(Sequence[Dep. ID],
  MATCH(1, (Sequence[Actor Type]="CylinderUnits") * (Sequence[Row Type]&lt;&gt;"Start Conditions") *  (Sequence[Actor/Unit]=Cylinders[[#This Row],[Unit Name]]) * (Sequence[Dep. ID]&gt;Cylinders[[#This Row],[5th Motion]]), 0)), "")</f>
        <v/>
      </c>
      <c r="Q88" s="278"/>
      <c r="R88" s="282"/>
      <c r="S88" s="280"/>
      <c r="T88" s="280"/>
      <c r="U88" s="291"/>
      <c r="V88" s="280"/>
      <c r="W88" s="280"/>
      <c r="X88" s="280"/>
      <c r="Y88" s="280"/>
      <c r="Z88" s="278"/>
      <c r="AA88" s="278"/>
      <c r="AB88" s="274"/>
      <c r="AC88" s="246" t="str">
        <f>IF(AND(Cylinders[[#This Row],[Controls Manifold Name]]&lt;&gt;"",Cylinders[[#This Row],[Controls Valve Name]]&lt;&gt;"",Cylinders[[#This Row],[Unit Name]]&lt;&gt;""),_xlfn.CONCAT(U88,V88),"")</f>
        <v/>
      </c>
      <c r="AD88" s="245" t="str">
        <f>IF(AND(Cylinders[[#This Row],[Controls
Motion 
Group]]&lt;&gt;"",Cylinders[[#This Row],[Controls
Unit 
Name]]&lt;&gt;"",Cylinders[[#This Row],[Unit Name]]&lt;&gt;""),_xlfn.CONCAT(W88,X88),"")</f>
        <v/>
      </c>
    </row>
    <row r="89" spans="1:30" ht="18.600000000000001" customHeight="1">
      <c r="E89" s="282"/>
      <c r="F89" s="278"/>
      <c r="G89" s="279"/>
      <c r="H89" s="280"/>
      <c r="I89" s="280"/>
      <c r="J89" s="281"/>
      <c r="K89" s="243" t="str" cm="1">
        <f t="array" ref="K89">IFERROR(
INDEX(Sequence[Dep. ID],
MATCH(1, (Sequence[Actor Type]="CylinderUnits") * (Sequence[Row Type]&lt;&gt;"Start Conditions") * (Sequence[Actor/Unit]=Cylinders[[#This Row],[Unit Name]]), 0)), "")</f>
        <v/>
      </c>
      <c r="L89" s="243" t="str" cm="1">
        <f t="array" aca="1" ref="L89" ca="1">IFERROR(
  INDEX(Sequence[Dep. ID],
  MATCH(1, (Sequence[Actor Type]="CylinderUnits") * (Sequence[Row Type]&lt;&gt;"Start Conditions") *  (Sequence[Actor/Unit]=Cylinders[[#This Row],[Unit Name]]) * (Sequence[Dep. ID]&gt;Cylinders[[#This Row],[1st Motion]]), 0)), "")</f>
        <v/>
      </c>
      <c r="M89" s="243" t="str" cm="1">
        <f t="array" aca="1" ref="M89" ca="1">IFERROR(
  INDEX(Sequence[Dep. ID],
  MATCH(1, (Sequence[Actor Type]="CylinderUnits") * (Sequence[Row Type]&lt;&gt;"Start Conditions") *  (Sequence[Actor/Unit]=Cylinders[[#This Row],[Unit Name]]) * (Sequence[Dep. ID]&gt;Cylinders[[#This Row],[2nd Motion]]), 0)), "")</f>
        <v/>
      </c>
      <c r="N89" s="243" t="str" cm="1">
        <f t="array" aca="1" ref="N89" ca="1">IFERROR(
  INDEX(Sequence[Dep. ID],
  MATCH(1, (Sequence[Actor Type]="CylinderUnits") * (Sequence[Row Type]&lt;&gt;"Start Conditions") *  (Sequence[Actor/Unit]=Cylinders[[#This Row],[Unit Name]]) * (Sequence[Dep. ID]&gt;Cylinders[[#This Row],[3rd Motion]]), 0)), "")</f>
        <v/>
      </c>
      <c r="O89" s="243" t="str" cm="1">
        <f t="array" aca="1" ref="O89" ca="1">IFERROR(
  INDEX(Sequence[Dep. ID],
  MATCH(1, (Sequence[Actor Type]="CylinderUnits") * (Sequence[Row Type]&lt;&gt;"Start Conditions") *  (Sequence[Actor/Unit]=Cylinders[[#This Row],[Unit Name]]) * (Sequence[Dep. ID]&gt;Cylinders[[#This Row],[4th Motion]]), 0)), "")</f>
        <v/>
      </c>
      <c r="P89" s="243" t="str" cm="1">
        <f t="array" aca="1" ref="P89" ca="1">IFERROR(
  INDEX(Sequence[Dep. ID],
  MATCH(1, (Sequence[Actor Type]="CylinderUnits") * (Sequence[Row Type]&lt;&gt;"Start Conditions") *  (Sequence[Actor/Unit]=Cylinders[[#This Row],[Unit Name]]) * (Sequence[Dep. ID]&gt;Cylinders[[#This Row],[5th Motion]]), 0)), "")</f>
        <v/>
      </c>
      <c r="Q89" s="278"/>
      <c r="R89" s="282"/>
      <c r="S89" s="280"/>
      <c r="T89" s="280"/>
      <c r="U89" s="291"/>
      <c r="V89" s="280"/>
      <c r="W89" s="280"/>
      <c r="X89" s="280"/>
      <c r="Y89" s="280"/>
      <c r="Z89" s="278"/>
      <c r="AA89" s="278"/>
      <c r="AB89" s="274"/>
      <c r="AC89" s="246" t="str">
        <f>IF(AND(Cylinders[[#This Row],[Controls Manifold Name]]&lt;&gt;"",Cylinders[[#This Row],[Controls Valve Name]]&lt;&gt;"",Cylinders[[#This Row],[Unit Name]]&lt;&gt;""),_xlfn.CONCAT(U89,V89),"")</f>
        <v/>
      </c>
      <c r="AD89" s="245" t="str">
        <f>IF(AND(Cylinders[[#This Row],[Controls
Motion 
Group]]&lt;&gt;"",Cylinders[[#This Row],[Controls
Unit 
Name]]&lt;&gt;"",Cylinders[[#This Row],[Unit Name]]&lt;&gt;""),_xlfn.CONCAT(W89,X89),"")</f>
        <v/>
      </c>
    </row>
    <row r="90" spans="1:30" ht="18.600000000000001" customHeight="1">
      <c r="E90" s="282"/>
      <c r="F90" s="278"/>
      <c r="G90" s="279"/>
      <c r="H90" s="280"/>
      <c r="I90" s="280"/>
      <c r="J90" s="281"/>
      <c r="K90" s="243" t="str" cm="1">
        <f t="array" ref="K90">IFERROR(
INDEX(Sequence[Dep. ID],
MATCH(1, (Sequence[Actor Type]="CylinderUnits") * (Sequence[Row Type]&lt;&gt;"Start Conditions") * (Sequence[Actor/Unit]=Cylinders[[#This Row],[Unit Name]]), 0)), "")</f>
        <v/>
      </c>
      <c r="L90" s="243" t="str" cm="1">
        <f t="array" aca="1" ref="L90" ca="1">IFERROR(
  INDEX(Sequence[Dep. ID],
  MATCH(1, (Sequence[Actor Type]="CylinderUnits") * (Sequence[Row Type]&lt;&gt;"Start Conditions") *  (Sequence[Actor/Unit]=Cylinders[[#This Row],[Unit Name]]) * (Sequence[Dep. ID]&gt;Cylinders[[#This Row],[1st Motion]]), 0)), "")</f>
        <v/>
      </c>
      <c r="M90" s="243" t="str" cm="1">
        <f t="array" aca="1" ref="M90" ca="1">IFERROR(
  INDEX(Sequence[Dep. ID],
  MATCH(1, (Sequence[Actor Type]="CylinderUnits") * (Sequence[Row Type]&lt;&gt;"Start Conditions") *  (Sequence[Actor/Unit]=Cylinders[[#This Row],[Unit Name]]) * (Sequence[Dep. ID]&gt;Cylinders[[#This Row],[2nd Motion]]), 0)), "")</f>
        <v/>
      </c>
      <c r="N90" s="243" t="str" cm="1">
        <f t="array" aca="1" ref="N90" ca="1">IFERROR(
  INDEX(Sequence[Dep. ID],
  MATCH(1, (Sequence[Actor Type]="CylinderUnits") * (Sequence[Row Type]&lt;&gt;"Start Conditions") *  (Sequence[Actor/Unit]=Cylinders[[#This Row],[Unit Name]]) * (Sequence[Dep. ID]&gt;Cylinders[[#This Row],[3rd Motion]]), 0)), "")</f>
        <v/>
      </c>
      <c r="O90" s="243" t="str" cm="1">
        <f t="array" aca="1" ref="O90" ca="1">IFERROR(
  INDEX(Sequence[Dep. ID],
  MATCH(1, (Sequence[Actor Type]="CylinderUnits") * (Sequence[Row Type]&lt;&gt;"Start Conditions") *  (Sequence[Actor/Unit]=Cylinders[[#This Row],[Unit Name]]) * (Sequence[Dep. ID]&gt;Cylinders[[#This Row],[4th Motion]]), 0)), "")</f>
        <v/>
      </c>
      <c r="P90" s="243" t="str" cm="1">
        <f t="array" aca="1" ref="P90" ca="1">IFERROR(
  INDEX(Sequence[Dep. ID],
  MATCH(1, (Sequence[Actor Type]="CylinderUnits") * (Sequence[Row Type]&lt;&gt;"Start Conditions") *  (Sequence[Actor/Unit]=Cylinders[[#This Row],[Unit Name]]) * (Sequence[Dep. ID]&gt;Cylinders[[#This Row],[5th Motion]]), 0)), "")</f>
        <v/>
      </c>
      <c r="Q90" s="278"/>
      <c r="R90" s="282"/>
      <c r="S90" s="280"/>
      <c r="T90" s="280"/>
      <c r="U90" s="291"/>
      <c r="V90" s="280"/>
      <c r="W90" s="280"/>
      <c r="X90" s="280"/>
      <c r="Y90" s="280"/>
      <c r="Z90" s="278"/>
      <c r="AA90" s="278"/>
      <c r="AB90" s="274"/>
      <c r="AC90" s="246" t="str">
        <f>IF(AND(Cylinders[[#This Row],[Controls Manifold Name]]&lt;&gt;"",Cylinders[[#This Row],[Controls Valve Name]]&lt;&gt;"",Cylinders[[#This Row],[Unit Name]]&lt;&gt;""),_xlfn.CONCAT(U90,V90),"")</f>
        <v/>
      </c>
      <c r="AD90" s="245" t="str">
        <f>IF(AND(Cylinders[[#This Row],[Controls
Motion 
Group]]&lt;&gt;"",Cylinders[[#This Row],[Controls
Unit 
Name]]&lt;&gt;"",Cylinders[[#This Row],[Unit Name]]&lt;&gt;""),_xlfn.CONCAT(W90,X90),"")</f>
        <v/>
      </c>
    </row>
    <row r="91" spans="1:30" ht="18.600000000000001" customHeight="1">
      <c r="E91" s="282"/>
      <c r="F91" s="278"/>
      <c r="G91" s="279"/>
      <c r="H91" s="280"/>
      <c r="I91" s="280"/>
      <c r="J91" s="281"/>
      <c r="K91" s="243" t="str" cm="1">
        <f t="array" ref="K91">IFERROR(
INDEX(Sequence[Dep. ID],
MATCH(1, (Sequence[Actor Type]="CylinderUnits") * (Sequence[Row Type]&lt;&gt;"Start Conditions") * (Sequence[Actor/Unit]=Cylinders[[#This Row],[Unit Name]]), 0)), "")</f>
        <v/>
      </c>
      <c r="L91" s="243" t="str" cm="1">
        <f t="array" aca="1" ref="L91" ca="1">IFERROR(
  INDEX(Sequence[Dep. ID],
  MATCH(1, (Sequence[Actor Type]="CylinderUnits") * (Sequence[Row Type]&lt;&gt;"Start Conditions") *  (Sequence[Actor/Unit]=Cylinders[[#This Row],[Unit Name]]) * (Sequence[Dep. ID]&gt;Cylinders[[#This Row],[1st Motion]]), 0)), "")</f>
        <v/>
      </c>
      <c r="M91" s="243" t="str" cm="1">
        <f t="array" aca="1" ref="M91" ca="1">IFERROR(
  INDEX(Sequence[Dep. ID],
  MATCH(1, (Sequence[Actor Type]="CylinderUnits") * (Sequence[Row Type]&lt;&gt;"Start Conditions") *  (Sequence[Actor/Unit]=Cylinders[[#This Row],[Unit Name]]) * (Sequence[Dep. ID]&gt;Cylinders[[#This Row],[2nd Motion]]), 0)), "")</f>
        <v/>
      </c>
      <c r="N91" s="243" t="str" cm="1">
        <f t="array" aca="1" ref="N91" ca="1">IFERROR(
  INDEX(Sequence[Dep. ID],
  MATCH(1, (Sequence[Actor Type]="CylinderUnits") * (Sequence[Row Type]&lt;&gt;"Start Conditions") *  (Sequence[Actor/Unit]=Cylinders[[#This Row],[Unit Name]]) * (Sequence[Dep. ID]&gt;Cylinders[[#This Row],[3rd Motion]]), 0)), "")</f>
        <v/>
      </c>
      <c r="O91" s="243" t="str" cm="1">
        <f t="array" aca="1" ref="O91" ca="1">IFERROR(
  INDEX(Sequence[Dep. ID],
  MATCH(1, (Sequence[Actor Type]="CylinderUnits") * (Sequence[Row Type]&lt;&gt;"Start Conditions") *  (Sequence[Actor/Unit]=Cylinders[[#This Row],[Unit Name]]) * (Sequence[Dep. ID]&gt;Cylinders[[#This Row],[4th Motion]]), 0)), "")</f>
        <v/>
      </c>
      <c r="P91" s="243" t="str" cm="1">
        <f t="array" aca="1" ref="P91" ca="1">IFERROR(
  INDEX(Sequence[Dep. ID],
  MATCH(1, (Sequence[Actor Type]="CylinderUnits") * (Sequence[Row Type]&lt;&gt;"Start Conditions") *  (Sequence[Actor/Unit]=Cylinders[[#This Row],[Unit Name]]) * (Sequence[Dep. ID]&gt;Cylinders[[#This Row],[5th Motion]]), 0)), "")</f>
        <v/>
      </c>
      <c r="Q91" s="278"/>
      <c r="R91" s="282"/>
      <c r="S91" s="280"/>
      <c r="T91" s="280"/>
      <c r="U91" s="291"/>
      <c r="V91" s="280"/>
      <c r="W91" s="280"/>
      <c r="X91" s="280"/>
      <c r="Y91" s="280"/>
      <c r="Z91" s="278"/>
      <c r="AA91" s="278"/>
      <c r="AB91" s="274"/>
      <c r="AC91" s="246" t="str">
        <f>IF(AND(Cylinders[[#This Row],[Controls Manifold Name]]&lt;&gt;"",Cylinders[[#This Row],[Controls Valve Name]]&lt;&gt;"",Cylinders[[#This Row],[Unit Name]]&lt;&gt;""),_xlfn.CONCAT(U91,V91),"")</f>
        <v/>
      </c>
      <c r="AD91" s="245" t="str">
        <f>IF(AND(Cylinders[[#This Row],[Controls
Motion 
Group]]&lt;&gt;"",Cylinders[[#This Row],[Controls
Unit 
Name]]&lt;&gt;"",Cylinders[[#This Row],[Unit Name]]&lt;&gt;""),_xlfn.CONCAT(W91,X91),"")</f>
        <v/>
      </c>
    </row>
    <row r="92" spans="1:30" ht="18.600000000000001" customHeight="1">
      <c r="E92" s="282"/>
      <c r="F92" s="278"/>
      <c r="G92" s="279"/>
      <c r="H92" s="280"/>
      <c r="I92" s="280"/>
      <c r="J92" s="281"/>
      <c r="K92" s="243" t="str" cm="1">
        <f t="array" ref="K92">IFERROR(
INDEX(Sequence[Dep. ID],
MATCH(1, (Sequence[Actor Type]="CylinderUnits") * (Sequence[Row Type]&lt;&gt;"Start Conditions") * (Sequence[Actor/Unit]=Cylinders[[#This Row],[Unit Name]]), 0)), "")</f>
        <v/>
      </c>
      <c r="L92" s="243" t="str" cm="1">
        <f t="array" aca="1" ref="L92" ca="1">IFERROR(
  INDEX(Sequence[Dep. ID],
  MATCH(1, (Sequence[Actor Type]="CylinderUnits") * (Sequence[Row Type]&lt;&gt;"Start Conditions") *  (Sequence[Actor/Unit]=Cylinders[[#This Row],[Unit Name]]) * (Sequence[Dep. ID]&gt;Cylinders[[#This Row],[1st Motion]]), 0)), "")</f>
        <v/>
      </c>
      <c r="M92" s="243" t="str" cm="1">
        <f t="array" aca="1" ref="M92" ca="1">IFERROR(
  INDEX(Sequence[Dep. ID],
  MATCH(1, (Sequence[Actor Type]="CylinderUnits") * (Sequence[Row Type]&lt;&gt;"Start Conditions") *  (Sequence[Actor/Unit]=Cylinders[[#This Row],[Unit Name]]) * (Sequence[Dep. ID]&gt;Cylinders[[#This Row],[2nd Motion]]), 0)), "")</f>
        <v/>
      </c>
      <c r="N92" s="243" t="str" cm="1">
        <f t="array" aca="1" ref="N92" ca="1">IFERROR(
  INDEX(Sequence[Dep. ID],
  MATCH(1, (Sequence[Actor Type]="CylinderUnits") * (Sequence[Row Type]&lt;&gt;"Start Conditions") *  (Sequence[Actor/Unit]=Cylinders[[#This Row],[Unit Name]]) * (Sequence[Dep. ID]&gt;Cylinders[[#This Row],[3rd Motion]]), 0)), "")</f>
        <v/>
      </c>
      <c r="O92" s="243" t="str" cm="1">
        <f t="array" aca="1" ref="O92" ca="1">IFERROR(
  INDEX(Sequence[Dep. ID],
  MATCH(1, (Sequence[Actor Type]="CylinderUnits") * (Sequence[Row Type]&lt;&gt;"Start Conditions") *  (Sequence[Actor/Unit]=Cylinders[[#This Row],[Unit Name]]) * (Sequence[Dep. ID]&gt;Cylinders[[#This Row],[4th Motion]]), 0)), "")</f>
        <v/>
      </c>
      <c r="P92" s="243" t="str" cm="1">
        <f t="array" aca="1" ref="P92" ca="1">IFERROR(
  INDEX(Sequence[Dep. ID],
  MATCH(1, (Sequence[Actor Type]="CylinderUnits") * (Sequence[Row Type]&lt;&gt;"Start Conditions") *  (Sequence[Actor/Unit]=Cylinders[[#This Row],[Unit Name]]) * (Sequence[Dep. ID]&gt;Cylinders[[#This Row],[5th Motion]]), 0)), "")</f>
        <v/>
      </c>
      <c r="Q92" s="278"/>
      <c r="R92" s="282"/>
      <c r="S92" s="280"/>
      <c r="T92" s="280"/>
      <c r="U92" s="291"/>
      <c r="V92" s="280"/>
      <c r="W92" s="280"/>
      <c r="X92" s="280"/>
      <c r="Y92" s="280"/>
      <c r="Z92" s="278"/>
      <c r="AA92" s="278"/>
      <c r="AB92" s="274"/>
      <c r="AC92" s="246" t="str">
        <f>IF(AND(Cylinders[[#This Row],[Controls Manifold Name]]&lt;&gt;"",Cylinders[[#This Row],[Controls Valve Name]]&lt;&gt;"",Cylinders[[#This Row],[Unit Name]]&lt;&gt;""),_xlfn.CONCAT(U92,V92),"")</f>
        <v/>
      </c>
      <c r="AD92" s="245" t="str">
        <f>IF(AND(Cylinders[[#This Row],[Controls
Motion 
Group]]&lt;&gt;"",Cylinders[[#This Row],[Controls
Unit 
Name]]&lt;&gt;"",Cylinders[[#This Row],[Unit Name]]&lt;&gt;""),_xlfn.CONCAT(W92,X92),"")</f>
        <v/>
      </c>
    </row>
    <row r="93" spans="1:30" ht="18.600000000000001" customHeight="1">
      <c r="E93" s="282"/>
      <c r="F93" s="278"/>
      <c r="G93" s="279"/>
      <c r="H93" s="280"/>
      <c r="I93" s="280"/>
      <c r="J93" s="281"/>
      <c r="K93" s="243" t="str" cm="1">
        <f t="array" ref="K93">IFERROR(
INDEX(Sequence[Dep. ID],
MATCH(1, (Sequence[Actor Type]="CylinderUnits") * (Sequence[Row Type]&lt;&gt;"Start Conditions") * (Sequence[Actor/Unit]=Cylinders[[#This Row],[Unit Name]]), 0)), "")</f>
        <v/>
      </c>
      <c r="L93" s="243" t="str" cm="1">
        <f t="array" aca="1" ref="L93" ca="1">IFERROR(
  INDEX(Sequence[Dep. ID],
  MATCH(1, (Sequence[Actor Type]="CylinderUnits") * (Sequence[Row Type]&lt;&gt;"Start Conditions") *  (Sequence[Actor/Unit]=Cylinders[[#This Row],[Unit Name]]) * (Sequence[Dep. ID]&gt;Cylinders[[#This Row],[1st Motion]]), 0)), "")</f>
        <v/>
      </c>
      <c r="M93" s="243" t="str" cm="1">
        <f t="array" aca="1" ref="M93" ca="1">IFERROR(
  INDEX(Sequence[Dep. ID],
  MATCH(1, (Sequence[Actor Type]="CylinderUnits") * (Sequence[Row Type]&lt;&gt;"Start Conditions") *  (Sequence[Actor/Unit]=Cylinders[[#This Row],[Unit Name]]) * (Sequence[Dep. ID]&gt;Cylinders[[#This Row],[2nd Motion]]), 0)), "")</f>
        <v/>
      </c>
      <c r="N93" s="243" t="str" cm="1">
        <f t="array" aca="1" ref="N93" ca="1">IFERROR(
  INDEX(Sequence[Dep. ID],
  MATCH(1, (Sequence[Actor Type]="CylinderUnits") * (Sequence[Row Type]&lt;&gt;"Start Conditions") *  (Sequence[Actor/Unit]=Cylinders[[#This Row],[Unit Name]]) * (Sequence[Dep. ID]&gt;Cylinders[[#This Row],[3rd Motion]]), 0)), "")</f>
        <v/>
      </c>
      <c r="O93" s="243" t="str" cm="1">
        <f t="array" aca="1" ref="O93" ca="1">IFERROR(
  INDEX(Sequence[Dep. ID],
  MATCH(1, (Sequence[Actor Type]="CylinderUnits") * (Sequence[Row Type]&lt;&gt;"Start Conditions") *  (Sequence[Actor/Unit]=Cylinders[[#This Row],[Unit Name]]) * (Sequence[Dep. ID]&gt;Cylinders[[#This Row],[4th Motion]]), 0)), "")</f>
        <v/>
      </c>
      <c r="P93" s="243" t="str" cm="1">
        <f t="array" aca="1" ref="P93" ca="1">IFERROR(
  INDEX(Sequence[Dep. ID],
  MATCH(1, (Sequence[Actor Type]="CylinderUnits") * (Sequence[Row Type]&lt;&gt;"Start Conditions") *  (Sequence[Actor/Unit]=Cylinders[[#This Row],[Unit Name]]) * (Sequence[Dep. ID]&gt;Cylinders[[#This Row],[5th Motion]]), 0)), "")</f>
        <v/>
      </c>
      <c r="Q93" s="278"/>
      <c r="R93" s="282"/>
      <c r="S93" s="280"/>
      <c r="T93" s="280"/>
      <c r="U93" s="291"/>
      <c r="V93" s="280"/>
      <c r="W93" s="280"/>
      <c r="X93" s="280"/>
      <c r="Y93" s="280"/>
      <c r="Z93" s="278"/>
      <c r="AA93" s="278"/>
      <c r="AB93" s="274"/>
      <c r="AC93" s="246" t="str">
        <f>IF(AND(Cylinders[[#This Row],[Controls Manifold Name]]&lt;&gt;"",Cylinders[[#This Row],[Controls Valve Name]]&lt;&gt;"",Cylinders[[#This Row],[Unit Name]]&lt;&gt;""),_xlfn.CONCAT(U93,V93),"")</f>
        <v/>
      </c>
      <c r="AD93" s="245" t="str">
        <f>IF(AND(Cylinders[[#This Row],[Controls
Motion 
Group]]&lt;&gt;"",Cylinders[[#This Row],[Controls
Unit 
Name]]&lt;&gt;"",Cylinders[[#This Row],[Unit Name]]&lt;&gt;""),_xlfn.CONCAT(W93,X93),"")</f>
        <v/>
      </c>
    </row>
    <row r="94" spans="1:30" ht="18.600000000000001" customHeight="1">
      <c r="E94" s="282"/>
      <c r="F94" s="278"/>
      <c r="G94" s="279"/>
      <c r="H94" s="280"/>
      <c r="I94" s="280"/>
      <c r="J94" s="281"/>
      <c r="K94" s="243" t="str" cm="1">
        <f t="array" ref="K94">IFERROR(
INDEX(Sequence[Dep. ID],
MATCH(1, (Sequence[Actor Type]="CylinderUnits") * (Sequence[Row Type]&lt;&gt;"Start Conditions") * (Sequence[Actor/Unit]=Cylinders[[#This Row],[Unit Name]]), 0)), "")</f>
        <v/>
      </c>
      <c r="L94" s="243" t="str" cm="1">
        <f t="array" aca="1" ref="L94" ca="1">IFERROR(
  INDEX(Sequence[Dep. ID],
  MATCH(1, (Sequence[Actor Type]="CylinderUnits") * (Sequence[Row Type]&lt;&gt;"Start Conditions") *  (Sequence[Actor/Unit]=Cylinders[[#This Row],[Unit Name]]) * (Sequence[Dep. ID]&gt;Cylinders[[#This Row],[1st Motion]]), 0)), "")</f>
        <v/>
      </c>
      <c r="M94" s="243" t="str" cm="1">
        <f t="array" aca="1" ref="M94" ca="1">IFERROR(
  INDEX(Sequence[Dep. ID],
  MATCH(1, (Sequence[Actor Type]="CylinderUnits") * (Sequence[Row Type]&lt;&gt;"Start Conditions") *  (Sequence[Actor/Unit]=Cylinders[[#This Row],[Unit Name]]) * (Sequence[Dep. ID]&gt;Cylinders[[#This Row],[2nd Motion]]), 0)), "")</f>
        <v/>
      </c>
      <c r="N94" s="243" t="str" cm="1">
        <f t="array" aca="1" ref="N94" ca="1">IFERROR(
  INDEX(Sequence[Dep. ID],
  MATCH(1, (Sequence[Actor Type]="CylinderUnits") * (Sequence[Row Type]&lt;&gt;"Start Conditions") *  (Sequence[Actor/Unit]=Cylinders[[#This Row],[Unit Name]]) * (Sequence[Dep. ID]&gt;Cylinders[[#This Row],[3rd Motion]]), 0)), "")</f>
        <v/>
      </c>
      <c r="O94" s="243" t="str" cm="1">
        <f t="array" aca="1" ref="O94" ca="1">IFERROR(
  INDEX(Sequence[Dep. ID],
  MATCH(1, (Sequence[Actor Type]="CylinderUnits") * (Sequence[Row Type]&lt;&gt;"Start Conditions") *  (Sequence[Actor/Unit]=Cylinders[[#This Row],[Unit Name]]) * (Sequence[Dep. ID]&gt;Cylinders[[#This Row],[4th Motion]]), 0)), "")</f>
        <v/>
      </c>
      <c r="P94" s="243" t="str" cm="1">
        <f t="array" aca="1" ref="P94" ca="1">IFERROR(
  INDEX(Sequence[Dep. ID],
  MATCH(1, (Sequence[Actor Type]="CylinderUnits") * (Sequence[Row Type]&lt;&gt;"Start Conditions") *  (Sequence[Actor/Unit]=Cylinders[[#This Row],[Unit Name]]) * (Sequence[Dep. ID]&gt;Cylinders[[#This Row],[5th Motion]]), 0)), "")</f>
        <v/>
      </c>
      <c r="Q94" s="278"/>
      <c r="R94" s="282"/>
      <c r="S94" s="280"/>
      <c r="T94" s="280"/>
      <c r="U94" s="291"/>
      <c r="V94" s="280"/>
      <c r="W94" s="280"/>
      <c r="X94" s="280"/>
      <c r="Y94" s="280"/>
      <c r="Z94" s="278"/>
      <c r="AA94" s="278"/>
      <c r="AB94" s="274"/>
      <c r="AC94" s="246" t="str">
        <f>IF(AND(Cylinders[[#This Row],[Controls Manifold Name]]&lt;&gt;"",Cylinders[[#This Row],[Controls Valve Name]]&lt;&gt;"",Cylinders[[#This Row],[Unit Name]]&lt;&gt;""),_xlfn.CONCAT(U94,V94),"")</f>
        <v/>
      </c>
      <c r="AD94" s="245" t="str">
        <f>IF(AND(Cylinders[[#This Row],[Controls
Motion 
Group]]&lt;&gt;"",Cylinders[[#This Row],[Controls
Unit 
Name]]&lt;&gt;"",Cylinders[[#This Row],[Unit Name]]&lt;&gt;""),_xlfn.CONCAT(W94,X94),"")</f>
        <v/>
      </c>
    </row>
    <row r="95" spans="1:30" ht="18.600000000000001" customHeight="1">
      <c r="E95" s="282"/>
      <c r="F95" s="278"/>
      <c r="G95" s="279"/>
      <c r="H95" s="280"/>
      <c r="I95" s="280"/>
      <c r="J95" s="281"/>
      <c r="K95" s="243" t="str" cm="1">
        <f t="array" ref="K95">IFERROR(
INDEX(Sequence[Dep. ID],
MATCH(1, (Sequence[Actor Type]="CylinderUnits") * (Sequence[Row Type]&lt;&gt;"Start Conditions") * (Sequence[Actor/Unit]=Cylinders[[#This Row],[Unit Name]]), 0)), "")</f>
        <v/>
      </c>
      <c r="L95" s="243" t="str" cm="1">
        <f t="array" aca="1" ref="L95" ca="1">IFERROR(
  INDEX(Sequence[Dep. ID],
  MATCH(1, (Sequence[Actor Type]="CylinderUnits") * (Sequence[Row Type]&lt;&gt;"Start Conditions") *  (Sequence[Actor/Unit]=Cylinders[[#This Row],[Unit Name]]) * (Sequence[Dep. ID]&gt;Cylinders[[#This Row],[1st Motion]]), 0)), "")</f>
        <v/>
      </c>
      <c r="M95" s="243" t="str" cm="1">
        <f t="array" aca="1" ref="M95" ca="1">IFERROR(
  INDEX(Sequence[Dep. ID],
  MATCH(1, (Sequence[Actor Type]="CylinderUnits") * (Sequence[Row Type]&lt;&gt;"Start Conditions") *  (Sequence[Actor/Unit]=Cylinders[[#This Row],[Unit Name]]) * (Sequence[Dep. ID]&gt;Cylinders[[#This Row],[2nd Motion]]), 0)), "")</f>
        <v/>
      </c>
      <c r="N95" s="243" t="str" cm="1">
        <f t="array" aca="1" ref="N95" ca="1">IFERROR(
  INDEX(Sequence[Dep. ID],
  MATCH(1, (Sequence[Actor Type]="CylinderUnits") * (Sequence[Row Type]&lt;&gt;"Start Conditions") *  (Sequence[Actor/Unit]=Cylinders[[#This Row],[Unit Name]]) * (Sequence[Dep. ID]&gt;Cylinders[[#This Row],[3rd Motion]]), 0)), "")</f>
        <v/>
      </c>
      <c r="O95" s="243" t="str" cm="1">
        <f t="array" aca="1" ref="O95" ca="1">IFERROR(
  INDEX(Sequence[Dep. ID],
  MATCH(1, (Sequence[Actor Type]="CylinderUnits") * (Sequence[Row Type]&lt;&gt;"Start Conditions") *  (Sequence[Actor/Unit]=Cylinders[[#This Row],[Unit Name]]) * (Sequence[Dep. ID]&gt;Cylinders[[#This Row],[4th Motion]]), 0)), "")</f>
        <v/>
      </c>
      <c r="P95" s="243" t="str" cm="1">
        <f t="array" aca="1" ref="P95" ca="1">IFERROR(
  INDEX(Sequence[Dep. ID],
  MATCH(1, (Sequence[Actor Type]="CylinderUnits") * (Sequence[Row Type]&lt;&gt;"Start Conditions") *  (Sequence[Actor/Unit]=Cylinders[[#This Row],[Unit Name]]) * (Sequence[Dep. ID]&gt;Cylinders[[#This Row],[5th Motion]]), 0)), "")</f>
        <v/>
      </c>
      <c r="Q95" s="278"/>
      <c r="R95" s="282"/>
      <c r="S95" s="280"/>
      <c r="T95" s="280"/>
      <c r="U95" s="291"/>
      <c r="V95" s="280"/>
      <c r="W95" s="280"/>
      <c r="X95" s="280"/>
      <c r="Y95" s="280"/>
      <c r="Z95" s="278"/>
      <c r="AA95" s="278"/>
      <c r="AB95" s="274"/>
      <c r="AC95" s="246" t="str">
        <f>IF(AND(Cylinders[[#This Row],[Controls Manifold Name]]&lt;&gt;"",Cylinders[[#This Row],[Controls Valve Name]]&lt;&gt;"",Cylinders[[#This Row],[Unit Name]]&lt;&gt;""),_xlfn.CONCAT(U95,V95),"")</f>
        <v/>
      </c>
      <c r="AD95" s="245" t="str">
        <f>IF(AND(Cylinders[[#This Row],[Controls
Motion 
Group]]&lt;&gt;"",Cylinders[[#This Row],[Controls
Unit 
Name]]&lt;&gt;"",Cylinders[[#This Row],[Unit Name]]&lt;&gt;""),_xlfn.CONCAT(W95,X95),"")</f>
        <v/>
      </c>
    </row>
    <row r="96" spans="1:30" ht="18.600000000000001" customHeight="1">
      <c r="E96" s="282"/>
      <c r="F96" s="278"/>
      <c r="G96" s="279"/>
      <c r="H96" s="280"/>
      <c r="I96" s="280"/>
      <c r="J96" s="281"/>
      <c r="K96" s="243" t="str" cm="1">
        <f t="array" ref="K96">IFERROR(
INDEX(Sequence[Dep. ID],
MATCH(1, (Sequence[Actor Type]="CylinderUnits") * (Sequence[Row Type]&lt;&gt;"Start Conditions") * (Sequence[Actor/Unit]=Cylinders[[#This Row],[Unit Name]]), 0)), "")</f>
        <v/>
      </c>
      <c r="L96" s="243" t="str" cm="1">
        <f t="array" aca="1" ref="L96" ca="1">IFERROR(
  INDEX(Sequence[Dep. ID],
  MATCH(1, (Sequence[Actor Type]="CylinderUnits") * (Sequence[Row Type]&lt;&gt;"Start Conditions") *  (Sequence[Actor/Unit]=Cylinders[[#This Row],[Unit Name]]) * (Sequence[Dep. ID]&gt;Cylinders[[#This Row],[1st Motion]]), 0)), "")</f>
        <v/>
      </c>
      <c r="M96" s="243" t="str" cm="1">
        <f t="array" aca="1" ref="M96" ca="1">IFERROR(
  INDEX(Sequence[Dep. ID],
  MATCH(1, (Sequence[Actor Type]="CylinderUnits") * (Sequence[Row Type]&lt;&gt;"Start Conditions") *  (Sequence[Actor/Unit]=Cylinders[[#This Row],[Unit Name]]) * (Sequence[Dep. ID]&gt;Cylinders[[#This Row],[2nd Motion]]), 0)), "")</f>
        <v/>
      </c>
      <c r="N96" s="243" t="str" cm="1">
        <f t="array" aca="1" ref="N96" ca="1">IFERROR(
  INDEX(Sequence[Dep. ID],
  MATCH(1, (Sequence[Actor Type]="CylinderUnits") * (Sequence[Row Type]&lt;&gt;"Start Conditions") *  (Sequence[Actor/Unit]=Cylinders[[#This Row],[Unit Name]]) * (Sequence[Dep. ID]&gt;Cylinders[[#This Row],[3rd Motion]]), 0)), "")</f>
        <v/>
      </c>
      <c r="O96" s="243" t="str" cm="1">
        <f t="array" aca="1" ref="O96" ca="1">IFERROR(
  INDEX(Sequence[Dep. ID],
  MATCH(1, (Sequence[Actor Type]="CylinderUnits") * (Sequence[Row Type]&lt;&gt;"Start Conditions") *  (Sequence[Actor/Unit]=Cylinders[[#This Row],[Unit Name]]) * (Sequence[Dep. ID]&gt;Cylinders[[#This Row],[4th Motion]]), 0)), "")</f>
        <v/>
      </c>
      <c r="P96" s="243" t="str" cm="1">
        <f t="array" aca="1" ref="P96" ca="1">IFERROR(
  INDEX(Sequence[Dep. ID],
  MATCH(1, (Sequence[Actor Type]="CylinderUnits") * (Sequence[Row Type]&lt;&gt;"Start Conditions") *  (Sequence[Actor/Unit]=Cylinders[[#This Row],[Unit Name]]) * (Sequence[Dep. ID]&gt;Cylinders[[#This Row],[5th Motion]]), 0)), "")</f>
        <v/>
      </c>
      <c r="Q96" s="278"/>
      <c r="R96" s="282"/>
      <c r="S96" s="280"/>
      <c r="T96" s="280"/>
      <c r="U96" s="291"/>
      <c r="V96" s="280"/>
      <c r="W96" s="280"/>
      <c r="X96" s="280"/>
      <c r="Y96" s="280"/>
      <c r="Z96" s="278"/>
      <c r="AA96" s="278"/>
      <c r="AB96" s="274"/>
      <c r="AC96" s="246" t="str">
        <f>IF(AND(Cylinders[[#This Row],[Controls Manifold Name]]&lt;&gt;"",Cylinders[[#This Row],[Controls Valve Name]]&lt;&gt;"",Cylinders[[#This Row],[Unit Name]]&lt;&gt;""),_xlfn.CONCAT(U96,V96),"")</f>
        <v/>
      </c>
      <c r="AD96" s="245" t="str">
        <f>IF(AND(Cylinders[[#This Row],[Controls
Motion 
Group]]&lt;&gt;"",Cylinders[[#This Row],[Controls
Unit 
Name]]&lt;&gt;"",Cylinders[[#This Row],[Unit Name]]&lt;&gt;""),_xlfn.CONCAT(W96,X96),"")</f>
        <v/>
      </c>
    </row>
    <row r="97" spans="5:30" ht="18.600000000000001" customHeight="1">
      <c r="E97" s="282"/>
      <c r="F97" s="278"/>
      <c r="G97" s="279"/>
      <c r="H97" s="280"/>
      <c r="I97" s="280"/>
      <c r="J97" s="281"/>
      <c r="K97" s="243" t="str" cm="1">
        <f t="array" ref="K97">IFERROR(
INDEX(Sequence[Dep. ID],
MATCH(1, (Sequence[Actor Type]="CylinderUnits") * (Sequence[Row Type]&lt;&gt;"Start Conditions") * (Sequence[Actor/Unit]=Cylinders[[#This Row],[Unit Name]]), 0)), "")</f>
        <v/>
      </c>
      <c r="L97" s="243" t="str" cm="1">
        <f t="array" aca="1" ref="L97" ca="1">IFERROR(
  INDEX(Sequence[Dep. ID],
  MATCH(1, (Sequence[Actor Type]="CylinderUnits") * (Sequence[Row Type]&lt;&gt;"Start Conditions") *  (Sequence[Actor/Unit]=Cylinders[[#This Row],[Unit Name]]) * (Sequence[Dep. ID]&gt;Cylinders[[#This Row],[1st Motion]]), 0)), "")</f>
        <v/>
      </c>
      <c r="M97" s="243" t="str" cm="1">
        <f t="array" aca="1" ref="M97" ca="1">IFERROR(
  INDEX(Sequence[Dep. ID],
  MATCH(1, (Sequence[Actor Type]="CylinderUnits") * (Sequence[Row Type]&lt;&gt;"Start Conditions") *  (Sequence[Actor/Unit]=Cylinders[[#This Row],[Unit Name]]) * (Sequence[Dep. ID]&gt;Cylinders[[#This Row],[2nd Motion]]), 0)), "")</f>
        <v/>
      </c>
      <c r="N97" s="243" t="str" cm="1">
        <f t="array" aca="1" ref="N97" ca="1">IFERROR(
  INDEX(Sequence[Dep. ID],
  MATCH(1, (Sequence[Actor Type]="CylinderUnits") * (Sequence[Row Type]&lt;&gt;"Start Conditions") *  (Sequence[Actor/Unit]=Cylinders[[#This Row],[Unit Name]]) * (Sequence[Dep. ID]&gt;Cylinders[[#This Row],[3rd Motion]]), 0)), "")</f>
        <v/>
      </c>
      <c r="O97" s="243" t="str" cm="1">
        <f t="array" aca="1" ref="O97" ca="1">IFERROR(
  INDEX(Sequence[Dep. ID],
  MATCH(1, (Sequence[Actor Type]="CylinderUnits") * (Sequence[Row Type]&lt;&gt;"Start Conditions") *  (Sequence[Actor/Unit]=Cylinders[[#This Row],[Unit Name]]) * (Sequence[Dep. ID]&gt;Cylinders[[#This Row],[4th Motion]]), 0)), "")</f>
        <v/>
      </c>
      <c r="P97" s="243" t="str" cm="1">
        <f t="array" aca="1" ref="P97" ca="1">IFERROR(
  INDEX(Sequence[Dep. ID],
  MATCH(1, (Sequence[Actor Type]="CylinderUnits") * (Sequence[Row Type]&lt;&gt;"Start Conditions") *  (Sequence[Actor/Unit]=Cylinders[[#This Row],[Unit Name]]) * (Sequence[Dep. ID]&gt;Cylinders[[#This Row],[5th Motion]]), 0)), "")</f>
        <v/>
      </c>
      <c r="Q97" s="278"/>
      <c r="R97" s="282"/>
      <c r="S97" s="280"/>
      <c r="T97" s="280"/>
      <c r="U97" s="291"/>
      <c r="V97" s="280"/>
      <c r="W97" s="280"/>
      <c r="X97" s="280"/>
      <c r="Y97" s="280"/>
      <c r="Z97" s="278"/>
      <c r="AA97" s="278"/>
      <c r="AB97" s="274"/>
      <c r="AC97" s="246" t="str">
        <f>IF(AND(Cylinders[[#This Row],[Controls Manifold Name]]&lt;&gt;"",Cylinders[[#This Row],[Controls Valve Name]]&lt;&gt;"",Cylinders[[#This Row],[Unit Name]]&lt;&gt;""),_xlfn.CONCAT(U97,V97),"")</f>
        <v/>
      </c>
      <c r="AD97" s="245" t="str">
        <f>IF(AND(Cylinders[[#This Row],[Controls
Motion 
Group]]&lt;&gt;"",Cylinders[[#This Row],[Controls
Unit 
Name]]&lt;&gt;"",Cylinders[[#This Row],[Unit Name]]&lt;&gt;""),_xlfn.CONCAT(W97,X97),"")</f>
        <v/>
      </c>
    </row>
    <row r="98" spans="5:30" ht="18.600000000000001" customHeight="1">
      <c r="E98" s="282"/>
      <c r="F98" s="278"/>
      <c r="G98" s="279"/>
      <c r="H98" s="280"/>
      <c r="I98" s="280"/>
      <c r="J98" s="281"/>
      <c r="K98" s="243" t="str" cm="1">
        <f t="array" ref="K98">IFERROR(
INDEX(Sequence[Dep. ID],
MATCH(1, (Sequence[Actor Type]="CylinderUnits") * (Sequence[Row Type]&lt;&gt;"Start Conditions") * (Sequence[Actor/Unit]=Cylinders[[#This Row],[Unit Name]]), 0)), "")</f>
        <v/>
      </c>
      <c r="L98" s="243" t="str" cm="1">
        <f t="array" aca="1" ref="L98" ca="1">IFERROR(
  INDEX(Sequence[Dep. ID],
  MATCH(1, (Sequence[Actor Type]="CylinderUnits") * (Sequence[Row Type]&lt;&gt;"Start Conditions") *  (Sequence[Actor/Unit]=Cylinders[[#This Row],[Unit Name]]) * (Sequence[Dep. ID]&gt;Cylinders[[#This Row],[1st Motion]]), 0)), "")</f>
        <v/>
      </c>
      <c r="M98" s="243" t="str" cm="1">
        <f t="array" aca="1" ref="M98" ca="1">IFERROR(
  INDEX(Sequence[Dep. ID],
  MATCH(1, (Sequence[Actor Type]="CylinderUnits") * (Sequence[Row Type]&lt;&gt;"Start Conditions") *  (Sequence[Actor/Unit]=Cylinders[[#This Row],[Unit Name]]) * (Sequence[Dep. ID]&gt;Cylinders[[#This Row],[2nd Motion]]), 0)), "")</f>
        <v/>
      </c>
      <c r="N98" s="243" t="str" cm="1">
        <f t="array" aca="1" ref="N98" ca="1">IFERROR(
  INDEX(Sequence[Dep. ID],
  MATCH(1, (Sequence[Actor Type]="CylinderUnits") * (Sequence[Row Type]&lt;&gt;"Start Conditions") *  (Sequence[Actor/Unit]=Cylinders[[#This Row],[Unit Name]]) * (Sequence[Dep. ID]&gt;Cylinders[[#This Row],[3rd Motion]]), 0)), "")</f>
        <v/>
      </c>
      <c r="O98" s="243" t="str" cm="1">
        <f t="array" aca="1" ref="O98" ca="1">IFERROR(
  INDEX(Sequence[Dep. ID],
  MATCH(1, (Sequence[Actor Type]="CylinderUnits") * (Sequence[Row Type]&lt;&gt;"Start Conditions") *  (Sequence[Actor/Unit]=Cylinders[[#This Row],[Unit Name]]) * (Sequence[Dep. ID]&gt;Cylinders[[#This Row],[4th Motion]]), 0)), "")</f>
        <v/>
      </c>
      <c r="P98" s="243" t="str" cm="1">
        <f t="array" aca="1" ref="P98" ca="1">IFERROR(
  INDEX(Sequence[Dep. ID],
  MATCH(1, (Sequence[Actor Type]="CylinderUnits") * (Sequence[Row Type]&lt;&gt;"Start Conditions") *  (Sequence[Actor/Unit]=Cylinders[[#This Row],[Unit Name]]) * (Sequence[Dep. ID]&gt;Cylinders[[#This Row],[5th Motion]]), 0)), "")</f>
        <v/>
      </c>
      <c r="Q98" s="278"/>
      <c r="R98" s="282"/>
      <c r="S98" s="280"/>
      <c r="T98" s="280"/>
      <c r="U98" s="291"/>
      <c r="V98" s="280"/>
      <c r="W98" s="280"/>
      <c r="X98" s="280"/>
      <c r="Y98" s="280"/>
      <c r="Z98" s="278"/>
      <c r="AA98" s="278"/>
      <c r="AB98" s="274"/>
      <c r="AC98" s="246" t="str">
        <f>IF(AND(Cylinders[[#This Row],[Controls Manifold Name]]&lt;&gt;"",Cylinders[[#This Row],[Controls Valve Name]]&lt;&gt;"",Cylinders[[#This Row],[Unit Name]]&lt;&gt;""),_xlfn.CONCAT(U98,V98),"")</f>
        <v/>
      </c>
      <c r="AD98" s="245" t="str">
        <f>IF(AND(Cylinders[[#This Row],[Controls
Motion 
Group]]&lt;&gt;"",Cylinders[[#This Row],[Controls
Unit 
Name]]&lt;&gt;"",Cylinders[[#This Row],[Unit Name]]&lt;&gt;""),_xlfn.CONCAT(W98,X98),"")</f>
        <v/>
      </c>
    </row>
    <row r="99" spans="5:30" ht="18.600000000000001" customHeight="1">
      <c r="E99" s="282"/>
      <c r="F99" s="278"/>
      <c r="G99" s="279"/>
      <c r="H99" s="280"/>
      <c r="I99" s="280"/>
      <c r="J99" s="281"/>
      <c r="K99" s="243" t="str" cm="1">
        <f t="array" ref="K99">IFERROR(
INDEX(Sequence[Dep. ID],
MATCH(1, (Sequence[Actor Type]="CylinderUnits") * (Sequence[Row Type]&lt;&gt;"Start Conditions") * (Sequence[Actor/Unit]=Cylinders[[#This Row],[Unit Name]]), 0)), "")</f>
        <v/>
      </c>
      <c r="L99" s="243" t="str" cm="1">
        <f t="array" aca="1" ref="L99" ca="1">IFERROR(
  INDEX(Sequence[Dep. ID],
  MATCH(1, (Sequence[Actor Type]="CylinderUnits") * (Sequence[Row Type]&lt;&gt;"Start Conditions") *  (Sequence[Actor/Unit]=Cylinders[[#This Row],[Unit Name]]) * (Sequence[Dep. ID]&gt;Cylinders[[#This Row],[1st Motion]]), 0)), "")</f>
        <v/>
      </c>
      <c r="M99" s="243" t="str" cm="1">
        <f t="array" aca="1" ref="M99" ca="1">IFERROR(
  INDEX(Sequence[Dep. ID],
  MATCH(1, (Sequence[Actor Type]="CylinderUnits") * (Sequence[Row Type]&lt;&gt;"Start Conditions") *  (Sequence[Actor/Unit]=Cylinders[[#This Row],[Unit Name]]) * (Sequence[Dep. ID]&gt;Cylinders[[#This Row],[2nd Motion]]), 0)), "")</f>
        <v/>
      </c>
      <c r="N99" s="243" t="str" cm="1">
        <f t="array" aca="1" ref="N99" ca="1">IFERROR(
  INDEX(Sequence[Dep. ID],
  MATCH(1, (Sequence[Actor Type]="CylinderUnits") * (Sequence[Row Type]&lt;&gt;"Start Conditions") *  (Sequence[Actor/Unit]=Cylinders[[#This Row],[Unit Name]]) * (Sequence[Dep. ID]&gt;Cylinders[[#This Row],[3rd Motion]]), 0)), "")</f>
        <v/>
      </c>
      <c r="O99" s="243" t="str" cm="1">
        <f t="array" aca="1" ref="O99" ca="1">IFERROR(
  INDEX(Sequence[Dep. ID],
  MATCH(1, (Sequence[Actor Type]="CylinderUnits") * (Sequence[Row Type]&lt;&gt;"Start Conditions") *  (Sequence[Actor/Unit]=Cylinders[[#This Row],[Unit Name]]) * (Sequence[Dep. ID]&gt;Cylinders[[#This Row],[4th Motion]]), 0)), "")</f>
        <v/>
      </c>
      <c r="P99" s="243" t="str" cm="1">
        <f t="array" aca="1" ref="P99" ca="1">IFERROR(
  INDEX(Sequence[Dep. ID],
  MATCH(1, (Sequence[Actor Type]="CylinderUnits") * (Sequence[Row Type]&lt;&gt;"Start Conditions") *  (Sequence[Actor/Unit]=Cylinders[[#This Row],[Unit Name]]) * (Sequence[Dep. ID]&gt;Cylinders[[#This Row],[5th Motion]]), 0)), "")</f>
        <v/>
      </c>
      <c r="Q99" s="278"/>
      <c r="R99" s="282"/>
      <c r="S99" s="280"/>
      <c r="T99" s="280"/>
      <c r="U99" s="291"/>
      <c r="V99" s="280"/>
      <c r="W99" s="280"/>
      <c r="X99" s="280"/>
      <c r="Y99" s="280"/>
      <c r="Z99" s="278"/>
      <c r="AA99" s="278"/>
      <c r="AB99" s="274"/>
      <c r="AC99" s="246" t="str">
        <f>IF(AND(Cylinders[[#This Row],[Controls Manifold Name]]&lt;&gt;"",Cylinders[[#This Row],[Controls Valve Name]]&lt;&gt;"",Cylinders[[#This Row],[Unit Name]]&lt;&gt;""),_xlfn.CONCAT(U99,V99),"")</f>
        <v/>
      </c>
      <c r="AD99" s="245" t="str">
        <f>IF(AND(Cylinders[[#This Row],[Controls
Motion 
Group]]&lt;&gt;"",Cylinders[[#This Row],[Controls
Unit 
Name]]&lt;&gt;"",Cylinders[[#This Row],[Unit Name]]&lt;&gt;""),_xlfn.CONCAT(W99,X99),"")</f>
        <v/>
      </c>
    </row>
    <row r="100" spans="5:30" ht="18.600000000000001" customHeight="1">
      <c r="E100" s="282"/>
      <c r="F100" s="278"/>
      <c r="G100" s="279"/>
      <c r="H100" s="280"/>
      <c r="I100" s="280"/>
      <c r="J100" s="281"/>
      <c r="K100" s="243" t="str" cm="1">
        <f t="array" ref="K100">IFERROR(
INDEX(Sequence[Dep. ID],
MATCH(1, (Sequence[Actor Type]="CylinderUnits") * (Sequence[Row Type]&lt;&gt;"Start Conditions") * (Sequence[Actor/Unit]=Cylinders[[#This Row],[Unit Name]]), 0)), "")</f>
        <v/>
      </c>
      <c r="L100" s="243" t="str" cm="1">
        <f t="array" aca="1" ref="L100" ca="1">IFERROR(
  INDEX(Sequence[Dep. ID],
  MATCH(1, (Sequence[Actor Type]="CylinderUnits") * (Sequence[Row Type]&lt;&gt;"Start Conditions") *  (Sequence[Actor/Unit]=Cylinders[[#This Row],[Unit Name]]) * (Sequence[Dep. ID]&gt;Cylinders[[#This Row],[1st Motion]]), 0)), "")</f>
        <v/>
      </c>
      <c r="M100" s="243" t="str" cm="1">
        <f t="array" aca="1" ref="M100" ca="1">IFERROR(
  INDEX(Sequence[Dep. ID],
  MATCH(1, (Sequence[Actor Type]="CylinderUnits") * (Sequence[Row Type]&lt;&gt;"Start Conditions") *  (Sequence[Actor/Unit]=Cylinders[[#This Row],[Unit Name]]) * (Sequence[Dep. ID]&gt;Cylinders[[#This Row],[2nd Motion]]), 0)), "")</f>
        <v/>
      </c>
      <c r="N100" s="243" t="str" cm="1">
        <f t="array" aca="1" ref="N100" ca="1">IFERROR(
  INDEX(Sequence[Dep. ID],
  MATCH(1, (Sequence[Actor Type]="CylinderUnits") * (Sequence[Row Type]&lt;&gt;"Start Conditions") *  (Sequence[Actor/Unit]=Cylinders[[#This Row],[Unit Name]]) * (Sequence[Dep. ID]&gt;Cylinders[[#This Row],[3rd Motion]]), 0)), "")</f>
        <v/>
      </c>
      <c r="O100" s="243" t="str" cm="1">
        <f t="array" aca="1" ref="O100" ca="1">IFERROR(
  INDEX(Sequence[Dep. ID],
  MATCH(1, (Sequence[Actor Type]="CylinderUnits") * (Sequence[Row Type]&lt;&gt;"Start Conditions") *  (Sequence[Actor/Unit]=Cylinders[[#This Row],[Unit Name]]) * (Sequence[Dep. ID]&gt;Cylinders[[#This Row],[4th Motion]]), 0)), "")</f>
        <v/>
      </c>
      <c r="P100" s="243" t="str" cm="1">
        <f t="array" aca="1" ref="P100" ca="1">IFERROR(
  INDEX(Sequence[Dep. ID],
  MATCH(1, (Sequence[Actor Type]="CylinderUnits") * (Sequence[Row Type]&lt;&gt;"Start Conditions") *  (Sequence[Actor/Unit]=Cylinders[[#This Row],[Unit Name]]) * (Sequence[Dep. ID]&gt;Cylinders[[#This Row],[5th Motion]]), 0)), "")</f>
        <v/>
      </c>
      <c r="Q100" s="278"/>
      <c r="R100" s="282"/>
      <c r="S100" s="280"/>
      <c r="T100" s="280"/>
      <c r="U100" s="291"/>
      <c r="V100" s="280"/>
      <c r="W100" s="280"/>
      <c r="X100" s="280"/>
      <c r="Y100" s="280"/>
      <c r="Z100" s="278"/>
      <c r="AA100" s="278"/>
      <c r="AB100" s="274"/>
      <c r="AC100" s="246" t="str">
        <f>IF(AND(Cylinders[[#This Row],[Controls Manifold Name]]&lt;&gt;"",Cylinders[[#This Row],[Controls Valve Name]]&lt;&gt;"",Cylinders[[#This Row],[Unit Name]]&lt;&gt;""),_xlfn.CONCAT(U100,V100),"")</f>
        <v/>
      </c>
      <c r="AD100" s="245" t="str">
        <f>IF(AND(Cylinders[[#This Row],[Controls
Motion 
Group]]&lt;&gt;"",Cylinders[[#This Row],[Controls
Unit 
Name]]&lt;&gt;"",Cylinders[[#This Row],[Unit Name]]&lt;&gt;""),_xlfn.CONCAT(W100,X100),"")</f>
        <v/>
      </c>
    </row>
    <row r="101" spans="5:30" ht="18.600000000000001" customHeight="1">
      <c r="E101" s="282"/>
      <c r="F101" s="278"/>
      <c r="G101" s="279"/>
      <c r="H101" s="280"/>
      <c r="I101" s="280"/>
      <c r="J101" s="281"/>
      <c r="K101" s="243" t="str" cm="1">
        <f t="array" ref="K101">IFERROR(
INDEX(Sequence[Dep. ID],
MATCH(1, (Sequence[Actor Type]="CylinderUnits") * (Sequence[Row Type]&lt;&gt;"Start Conditions") * (Sequence[Actor/Unit]=Cylinders[[#This Row],[Unit Name]]), 0)), "")</f>
        <v/>
      </c>
      <c r="L101" s="243" t="str" cm="1">
        <f t="array" aca="1" ref="L101" ca="1">IFERROR(
  INDEX(Sequence[Dep. ID],
  MATCH(1, (Sequence[Actor Type]="CylinderUnits") * (Sequence[Row Type]&lt;&gt;"Start Conditions") *  (Sequence[Actor/Unit]=Cylinders[[#This Row],[Unit Name]]) * (Sequence[Dep. ID]&gt;Cylinders[[#This Row],[1st Motion]]), 0)), "")</f>
        <v/>
      </c>
      <c r="M101" s="243" t="str" cm="1">
        <f t="array" aca="1" ref="M101" ca="1">IFERROR(
  INDEX(Sequence[Dep. ID],
  MATCH(1, (Sequence[Actor Type]="CylinderUnits") * (Sequence[Row Type]&lt;&gt;"Start Conditions") *  (Sequence[Actor/Unit]=Cylinders[[#This Row],[Unit Name]]) * (Sequence[Dep. ID]&gt;Cylinders[[#This Row],[2nd Motion]]), 0)), "")</f>
        <v/>
      </c>
      <c r="N101" s="243" t="str" cm="1">
        <f t="array" aca="1" ref="N101" ca="1">IFERROR(
  INDEX(Sequence[Dep. ID],
  MATCH(1, (Sequence[Actor Type]="CylinderUnits") * (Sequence[Row Type]&lt;&gt;"Start Conditions") *  (Sequence[Actor/Unit]=Cylinders[[#This Row],[Unit Name]]) * (Sequence[Dep. ID]&gt;Cylinders[[#This Row],[3rd Motion]]), 0)), "")</f>
        <v/>
      </c>
      <c r="O101" s="243" t="str" cm="1">
        <f t="array" aca="1" ref="O101" ca="1">IFERROR(
  INDEX(Sequence[Dep. ID],
  MATCH(1, (Sequence[Actor Type]="CylinderUnits") * (Sequence[Row Type]&lt;&gt;"Start Conditions") *  (Sequence[Actor/Unit]=Cylinders[[#This Row],[Unit Name]]) * (Sequence[Dep. ID]&gt;Cylinders[[#This Row],[4th Motion]]), 0)), "")</f>
        <v/>
      </c>
      <c r="P101" s="243" t="str" cm="1">
        <f t="array" aca="1" ref="P101" ca="1">IFERROR(
  INDEX(Sequence[Dep. ID],
  MATCH(1, (Sequence[Actor Type]="CylinderUnits") * (Sequence[Row Type]&lt;&gt;"Start Conditions") *  (Sequence[Actor/Unit]=Cylinders[[#This Row],[Unit Name]]) * (Sequence[Dep. ID]&gt;Cylinders[[#This Row],[5th Motion]]), 0)), "")</f>
        <v/>
      </c>
      <c r="Q101" s="278"/>
      <c r="R101" s="282"/>
      <c r="S101" s="280"/>
      <c r="T101" s="280"/>
      <c r="U101" s="291"/>
      <c r="V101" s="280"/>
      <c r="W101" s="280"/>
      <c r="X101" s="280"/>
      <c r="Y101" s="280"/>
      <c r="Z101" s="278"/>
      <c r="AA101" s="278"/>
      <c r="AB101" s="274"/>
      <c r="AC101" s="246" t="str">
        <f>IF(AND(Cylinders[[#This Row],[Controls Manifold Name]]&lt;&gt;"",Cylinders[[#This Row],[Controls Valve Name]]&lt;&gt;"",Cylinders[[#This Row],[Unit Name]]&lt;&gt;""),_xlfn.CONCAT(U101,V101),"")</f>
        <v/>
      </c>
      <c r="AD101" s="245" t="str">
        <f>IF(AND(Cylinders[[#This Row],[Controls
Motion 
Group]]&lt;&gt;"",Cylinders[[#This Row],[Controls
Unit 
Name]]&lt;&gt;"",Cylinders[[#This Row],[Unit Name]]&lt;&gt;""),_xlfn.CONCAT(W101,X101),"")</f>
        <v/>
      </c>
    </row>
    <row r="102" spans="5:30" ht="18.600000000000001" customHeight="1">
      <c r="E102" s="282"/>
      <c r="F102" s="278"/>
      <c r="G102" s="279"/>
      <c r="H102" s="280"/>
      <c r="I102" s="280"/>
      <c r="J102" s="281"/>
      <c r="K102" s="243" t="str" cm="1">
        <f t="array" ref="K102">IFERROR(
INDEX(Sequence[Dep. ID],
MATCH(1, (Sequence[Actor Type]="CylinderUnits") * (Sequence[Row Type]&lt;&gt;"Start Conditions") * (Sequence[Actor/Unit]=Cylinders[[#This Row],[Unit Name]]), 0)), "")</f>
        <v/>
      </c>
      <c r="L102" s="243" t="str" cm="1">
        <f t="array" aca="1" ref="L102" ca="1">IFERROR(
  INDEX(Sequence[Dep. ID],
  MATCH(1, (Sequence[Actor Type]="CylinderUnits") * (Sequence[Row Type]&lt;&gt;"Start Conditions") *  (Sequence[Actor/Unit]=Cylinders[[#This Row],[Unit Name]]) * (Sequence[Dep. ID]&gt;Cylinders[[#This Row],[1st Motion]]), 0)), "")</f>
        <v/>
      </c>
      <c r="M102" s="243" t="str" cm="1">
        <f t="array" aca="1" ref="M102" ca="1">IFERROR(
  INDEX(Sequence[Dep. ID],
  MATCH(1, (Sequence[Actor Type]="CylinderUnits") * (Sequence[Row Type]&lt;&gt;"Start Conditions") *  (Sequence[Actor/Unit]=Cylinders[[#This Row],[Unit Name]]) * (Sequence[Dep. ID]&gt;Cylinders[[#This Row],[2nd Motion]]), 0)), "")</f>
        <v/>
      </c>
      <c r="N102" s="243" t="str" cm="1">
        <f t="array" aca="1" ref="N102" ca="1">IFERROR(
  INDEX(Sequence[Dep. ID],
  MATCH(1, (Sequence[Actor Type]="CylinderUnits") * (Sequence[Row Type]&lt;&gt;"Start Conditions") *  (Sequence[Actor/Unit]=Cylinders[[#This Row],[Unit Name]]) * (Sequence[Dep. ID]&gt;Cylinders[[#This Row],[3rd Motion]]), 0)), "")</f>
        <v/>
      </c>
      <c r="O102" s="243" t="str" cm="1">
        <f t="array" aca="1" ref="O102" ca="1">IFERROR(
  INDEX(Sequence[Dep. ID],
  MATCH(1, (Sequence[Actor Type]="CylinderUnits") * (Sequence[Row Type]&lt;&gt;"Start Conditions") *  (Sequence[Actor/Unit]=Cylinders[[#This Row],[Unit Name]]) * (Sequence[Dep. ID]&gt;Cylinders[[#This Row],[4th Motion]]), 0)), "")</f>
        <v/>
      </c>
      <c r="P102" s="243" t="str" cm="1">
        <f t="array" aca="1" ref="P102" ca="1">IFERROR(
  INDEX(Sequence[Dep. ID],
  MATCH(1, (Sequence[Actor Type]="CylinderUnits") * (Sequence[Row Type]&lt;&gt;"Start Conditions") *  (Sequence[Actor/Unit]=Cylinders[[#This Row],[Unit Name]]) * (Sequence[Dep. ID]&gt;Cylinders[[#This Row],[5th Motion]]), 0)), "")</f>
        <v/>
      </c>
      <c r="Q102" s="278"/>
      <c r="R102" s="282"/>
      <c r="S102" s="280"/>
      <c r="T102" s="280"/>
      <c r="U102" s="291"/>
      <c r="V102" s="280"/>
      <c r="W102" s="280"/>
      <c r="X102" s="280"/>
      <c r="Y102" s="280"/>
      <c r="Z102" s="278"/>
      <c r="AA102" s="278"/>
      <c r="AB102" s="274"/>
      <c r="AC102" s="246" t="str">
        <f>IF(AND(Cylinders[[#This Row],[Controls Manifold Name]]&lt;&gt;"",Cylinders[[#This Row],[Controls Valve Name]]&lt;&gt;"",Cylinders[[#This Row],[Unit Name]]&lt;&gt;""),_xlfn.CONCAT(U102,V102),"")</f>
        <v/>
      </c>
      <c r="AD102" s="245" t="str">
        <f>IF(AND(Cylinders[[#This Row],[Controls
Motion 
Group]]&lt;&gt;"",Cylinders[[#This Row],[Controls
Unit 
Name]]&lt;&gt;"",Cylinders[[#This Row],[Unit Name]]&lt;&gt;""),_xlfn.CONCAT(W102,X102),"")</f>
        <v/>
      </c>
    </row>
    <row r="103" spans="5:30" ht="18.600000000000001" customHeight="1">
      <c r="E103" s="283"/>
      <c r="F103" s="284"/>
      <c r="G103" s="285"/>
      <c r="H103" s="286"/>
      <c r="I103" s="286"/>
      <c r="J103" s="287"/>
      <c r="K103" s="244" t="str" cm="1">
        <f t="array" ref="K103">IFERROR(
INDEX(Sequence[Dep. ID],
MATCH(1, (Sequence[Actor Type]="CylinderUnits") * (Sequence[Row Type]&lt;&gt;"Start Conditions") * (Sequence[Actor/Unit]=Cylinders[[#This Row],[Unit Name]]), 0)), "")</f>
        <v/>
      </c>
      <c r="L103" s="244" t="str" cm="1">
        <f t="array" aca="1" ref="L103" ca="1">IFERROR(
  INDEX(Sequence[Dep. ID],
  MATCH(1, (Sequence[Actor Type]="CylinderUnits") * (Sequence[Row Type]&lt;&gt;"Start Conditions") *  (Sequence[Actor/Unit]=Cylinders[[#This Row],[Unit Name]]) * (Sequence[Dep. ID]&gt;Cylinders[[#This Row],[1st Motion]]), 0)), "")</f>
        <v/>
      </c>
      <c r="M103" s="244" t="str" cm="1">
        <f t="array" aca="1" ref="M103" ca="1">IFERROR(
  INDEX(Sequence[Dep. ID],
  MATCH(1, (Sequence[Actor Type]="CylinderUnits") * (Sequence[Row Type]&lt;&gt;"Start Conditions") *  (Sequence[Actor/Unit]=Cylinders[[#This Row],[Unit Name]]) * (Sequence[Dep. ID]&gt;Cylinders[[#This Row],[2nd Motion]]), 0)), "")</f>
        <v/>
      </c>
      <c r="N103" s="244" t="str" cm="1">
        <f t="array" aca="1" ref="N103" ca="1">IFERROR(
  INDEX(Sequence[Dep. ID],
  MATCH(1, (Sequence[Actor Type]="CylinderUnits") * (Sequence[Row Type]&lt;&gt;"Start Conditions") *  (Sequence[Actor/Unit]=Cylinders[[#This Row],[Unit Name]]) * (Sequence[Dep. ID]&gt;Cylinders[[#This Row],[3rd Motion]]), 0)), "")</f>
        <v/>
      </c>
      <c r="O103" s="244" t="str" cm="1">
        <f t="array" aca="1" ref="O103" ca="1">IFERROR(
  INDEX(Sequence[Dep. ID],
  MATCH(1, (Sequence[Actor Type]="CylinderUnits") * (Sequence[Row Type]&lt;&gt;"Start Conditions") *  (Sequence[Actor/Unit]=Cylinders[[#This Row],[Unit Name]]) * (Sequence[Dep. ID]&gt;Cylinders[[#This Row],[4th Motion]]), 0)), "")</f>
        <v/>
      </c>
      <c r="P103" s="244" t="str" cm="1">
        <f t="array" aca="1" ref="P103" ca="1">IFERROR(
  INDEX(Sequence[Dep. ID],
  MATCH(1, (Sequence[Actor Type]="CylinderUnits") * (Sequence[Row Type]&lt;&gt;"Start Conditions") *  (Sequence[Actor/Unit]=Cylinders[[#This Row],[Unit Name]]) * (Sequence[Dep. ID]&gt;Cylinders[[#This Row],[5th Motion]]), 0)), "")</f>
        <v/>
      </c>
      <c r="Q103" s="284"/>
      <c r="R103" s="283"/>
      <c r="S103" s="286"/>
      <c r="T103" s="286"/>
      <c r="U103" s="292"/>
      <c r="V103" s="286"/>
      <c r="W103" s="286"/>
      <c r="X103" s="286"/>
      <c r="Y103" s="286"/>
      <c r="Z103" s="284"/>
      <c r="AA103" s="284"/>
      <c r="AB103" s="293"/>
      <c r="AC103" s="248" t="str">
        <f>IF(AND(Cylinders[[#This Row],[Controls Manifold Name]]&lt;&gt;"",Cylinders[[#This Row],[Controls Valve Name]]&lt;&gt;"",Cylinders[[#This Row],[Unit Name]]&lt;&gt;""),_xlfn.CONCAT(U103,V103),"")</f>
        <v/>
      </c>
      <c r="AD103" s="245" t="str">
        <f>IF(AND(Cylinders[[#This Row],[Controls
Motion 
Group]]&lt;&gt;"",Cylinders[[#This Row],[Controls
Unit 
Name]]&lt;&gt;"",Cylinders[[#This Row],[Unit Name]]&lt;&gt;""),_xlfn.CONCAT(W103,X103),"")</f>
        <v/>
      </c>
    </row>
    <row r="104" spans="5:30" ht="17.100000000000001" customHeight="1"/>
    <row r="105" spans="5:30" ht="17.100000000000001" customHeight="1"/>
    <row r="106" spans="5:30" ht="17.100000000000001" customHeight="1"/>
    <row r="107" spans="5:30" ht="17.100000000000001" customHeight="1"/>
    <row r="108" spans="5:30" ht="17.100000000000001" customHeight="1"/>
    <row r="109" spans="5:30" ht="17.100000000000001" customHeight="1"/>
    <row r="110" spans="5:30" ht="17.100000000000001" customHeight="1"/>
    <row r="111" spans="5:30" ht="17.100000000000001" customHeight="1"/>
    <row r="112" spans="5:30" ht="17.100000000000001" customHeight="1"/>
    <row r="113" spans="5:19" ht="17.100000000000001" customHeight="1"/>
    <row r="114" spans="5:19" ht="17.100000000000001" customHeight="1"/>
    <row r="115" spans="5:19" ht="17.100000000000001" customHeight="1"/>
    <row r="116" spans="5:19" ht="17.100000000000001" customHeight="1"/>
    <row r="117" spans="5:19" ht="17.100000000000001" customHeight="1"/>
    <row r="118" spans="5:19" ht="17.100000000000001" customHeight="1"/>
    <row r="119" spans="5:19" ht="17.100000000000001" customHeight="1"/>
    <row r="120" spans="5:19" ht="17.100000000000001" customHeight="1"/>
    <row r="121" spans="5:19" ht="17.100000000000001" customHeight="1"/>
    <row r="122" spans="5:19" ht="17.100000000000001" customHeight="1"/>
    <row r="123" spans="5:19" ht="17.100000000000001" customHeight="1"/>
    <row r="124" spans="5:19" ht="17.100000000000001" customHeight="1"/>
    <row r="125" spans="5:19" ht="17.100000000000001" customHeight="1">
      <c r="E125" s="121"/>
      <c r="S125" s="100"/>
    </row>
    <row r="126" spans="5:19" ht="17.100000000000001" customHeight="1"/>
    <row r="127" spans="5:19" ht="17.100000000000001" customHeight="1"/>
    <row r="128" spans="5:19" ht="17.100000000000001" customHeight="1"/>
    <row r="129" ht="17.100000000000001" customHeight="1"/>
    <row r="130" ht="17.100000000000001" customHeight="1"/>
    <row r="131" ht="17.100000000000001" customHeight="1"/>
    <row r="132" ht="17.100000000000001" customHeight="1"/>
    <row r="133" ht="17.100000000000001" customHeight="1"/>
    <row r="134" ht="17.100000000000001" customHeight="1"/>
    <row r="135" ht="17.100000000000001" customHeight="1"/>
    <row r="136" ht="17.100000000000001" customHeight="1"/>
    <row r="137" ht="17.100000000000001" customHeight="1"/>
    <row r="138" ht="17.100000000000001" customHeight="1"/>
    <row r="139" ht="17.100000000000001" customHeight="1"/>
    <row r="140" ht="17.100000000000001" customHeight="1"/>
    <row r="141" ht="17.100000000000001" customHeight="1"/>
    <row r="142" ht="17.100000000000001" customHeight="1"/>
    <row r="143" ht="17.100000000000001" customHeight="1"/>
    <row r="144" ht="17.100000000000001" customHeight="1"/>
    <row r="145" spans="5:19" ht="17.100000000000001" customHeight="1"/>
    <row r="146" spans="5:19" ht="17.100000000000001" customHeight="1"/>
    <row r="147" spans="5:19" ht="17.100000000000001" customHeight="1"/>
    <row r="148" spans="5:19" ht="17.100000000000001" customHeight="1"/>
    <row r="149" spans="5:19" ht="17.100000000000001" customHeight="1"/>
    <row r="150" spans="5:19" ht="17.100000000000001" customHeight="1"/>
    <row r="151" spans="5:19" ht="17.100000000000001" customHeight="1"/>
    <row r="152" spans="5:19" ht="17.100000000000001" customHeight="1"/>
    <row r="153" spans="5:19" ht="17.100000000000001" customHeight="1"/>
    <row r="154" spans="5:19" ht="17.100000000000001" customHeight="1"/>
    <row r="155" spans="5:19" ht="17.100000000000001" customHeight="1">
      <c r="E155" s="121"/>
      <c r="S155" s="100"/>
    </row>
    <row r="156" spans="5:19" ht="17.100000000000001" customHeight="1"/>
    <row r="157" spans="5:19" ht="17.100000000000001" customHeight="1"/>
    <row r="158" spans="5:19" ht="17.100000000000001" customHeight="1"/>
    <row r="159" spans="5:19" ht="17.100000000000001" customHeight="1"/>
    <row r="160" spans="5:19" ht="17.100000000000001" customHeight="1"/>
    <row r="161" ht="17.100000000000001" customHeight="1"/>
    <row r="162" ht="17.100000000000001" customHeight="1"/>
    <row r="163" ht="17.100000000000001" customHeight="1"/>
    <row r="164" ht="17.100000000000001" customHeight="1"/>
    <row r="165" ht="17.100000000000001" customHeight="1"/>
    <row r="166" ht="17.100000000000001" customHeight="1"/>
    <row r="167" ht="17.100000000000001" customHeight="1"/>
    <row r="168" ht="17.100000000000001" customHeight="1"/>
    <row r="169" ht="17.100000000000001" customHeight="1"/>
    <row r="170" ht="17.100000000000001" customHeight="1"/>
    <row r="171" ht="17.100000000000001" customHeight="1"/>
    <row r="172" ht="17.100000000000001" customHeight="1"/>
    <row r="173" ht="17.100000000000001" customHeight="1"/>
    <row r="174" ht="17.100000000000001" customHeight="1"/>
    <row r="175" ht="17.100000000000001" customHeight="1"/>
    <row r="176" ht="17.100000000000001" customHeight="1"/>
    <row r="177" ht="17.100000000000001" customHeight="1"/>
    <row r="178" ht="17.100000000000001" customHeight="1"/>
    <row r="179" ht="17.100000000000001" customHeight="1"/>
    <row r="180" ht="17.100000000000001" customHeight="1"/>
    <row r="181" ht="17.100000000000001" customHeight="1"/>
    <row r="182" ht="17.100000000000001" customHeight="1"/>
    <row r="183" ht="17.100000000000001" customHeight="1"/>
    <row r="184" ht="17.100000000000001" customHeight="1"/>
    <row r="185" ht="17.100000000000001" customHeight="1"/>
    <row r="186" ht="17.100000000000001" customHeight="1"/>
    <row r="187" ht="17.100000000000001" customHeight="1"/>
    <row r="188" ht="17.100000000000001" customHeight="1"/>
    <row r="189" ht="17.100000000000001" customHeight="1"/>
    <row r="190" ht="17.100000000000001" customHeight="1"/>
    <row r="191" ht="17.100000000000001" customHeight="1"/>
    <row r="192" ht="17.100000000000001" customHeight="1"/>
    <row r="193" ht="17.100000000000001" customHeight="1"/>
    <row r="194" ht="17.100000000000001" customHeight="1"/>
    <row r="195" ht="17.100000000000001" customHeight="1"/>
    <row r="196" ht="17.100000000000001" customHeight="1"/>
    <row r="197" ht="17.100000000000001" customHeight="1"/>
    <row r="198" ht="17.100000000000001" customHeight="1"/>
    <row r="199" ht="17.100000000000001" customHeight="1"/>
  </sheetData>
  <sheetProtection algorithmName="SHA-512" hashValue="xtmVxBG4+XPeZwiywj3BZRM2KIifuYbwpH9vUqD4f6Iy2hwcs8y3bcymysksBDLoIFVE8hKiVFi1+MTl7ulXqg==" saltValue="vs4stRYRSVT6Loo3BV/YqA==" spinCount="100000" sheet="1" objects="1" scenarios="1" sort="0" autoFilter="0"/>
  <mergeCells count="5">
    <mergeCell ref="Q2:T2"/>
    <mergeCell ref="U2:AB2"/>
    <mergeCell ref="B3:C3"/>
    <mergeCell ref="K2:P2"/>
    <mergeCell ref="F2:J2"/>
  </mergeCells>
  <phoneticPr fontId="24" type="noConversion"/>
  <conditionalFormatting sqref="C4:C8 C11:C19">
    <cfRule type="expression" dxfId="103" priority="1">
      <formula>OR(C4="", C4=0)</formula>
    </cfRule>
  </conditionalFormatting>
  <conditionalFormatting sqref="Q4:R103 E4:J103 U4:AB103">
    <cfRule type="expression" dxfId="102" priority="21">
      <formula>AND(LEN(E4)=0, COUNTIF($E4:$J4,"&lt;&gt;") &gt; 0, COUNTIF($Q4:$AB4,"&lt;&gt;") &gt; 0)</formula>
    </cfRule>
  </conditionalFormatting>
  <conditionalFormatting sqref="S4:T103">
    <cfRule type="expression" dxfId="101" priority="4">
      <formula>NOT(ISNUMBER(FIND("external",$F4)))</formula>
    </cfRule>
    <cfRule type="expression" dxfId="100" priority="5">
      <formula>AND(ISNUMBER(FIND("external",$F4)), LEN(S4)=0)</formula>
    </cfRule>
  </conditionalFormatting>
  <dataValidations count="2">
    <dataValidation operator="greaterThan" allowBlank="1" showInputMessage="1" showErrorMessage="1" sqref="X4:X103" xr:uid="{0445362F-DA3B-4C5C-9178-B4DD4026A7E4}"/>
    <dataValidation type="list" allowBlank="1" showInputMessage="1" showErrorMessage="1" sqref="G4:G103" xr:uid="{F56F3874-0AFE-42AC-B8B4-F5707285D84E}">
      <formula1>StyleDescriptions</formula1>
    </dataValidation>
  </dataValidations>
  <printOptions horizontalCentered="1"/>
  <pageMargins left="0.25" right="0.25" top="0.4" bottom="0.4" header="0.5" footer="0.25"/>
  <pageSetup scale="60" fitToHeight="5" orientation="portrait" r:id="rId1"/>
  <headerFooter>
    <oddFooter>&amp;L&amp;D&amp;CPage &amp;P of &amp;N&amp;REquipment Vendor Safety Buyoff - Rev 1</oddFooter>
  </headerFooter>
  <drawing r:id="rId2"/>
  <legacyDrawing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715C5B58-F5D1-4337-A621-36C30078DBBE}">
          <x14:formula1>
            <xm:f>Dropdown_Lists!$D$2:$D$37</xm:f>
          </x14:formula1>
          <xm:sqref>F4:F103</xm:sqref>
        </x14:dataValidation>
        <x14:dataValidation type="list" allowBlank="1" showInputMessage="1" showErrorMessage="1" xr:uid="{F6099071-5436-4108-90EA-79BCED91BDC4}">
          <x14:formula1>
            <xm:f>Dropdown_Lists!$I$2:$I$3</xm:f>
          </x14:formula1>
          <xm:sqref>R4:R103</xm:sqref>
        </x14:dataValidation>
        <x14:dataValidation type="list" allowBlank="1" showInputMessage="1" showErrorMessage="1" xr:uid="{75191904-5608-4F79-A97F-C7AE4A62A4BE}">
          <x14:formula1>
            <xm:f>Dropdown_Lists!$C$2:$C$20</xm:f>
          </x14:formula1>
          <xm:sqref>Z4:Z103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6E31F-B0C5-4E0A-AEDC-22F32F0A3C56}">
  <sheetPr codeName="Sheet5"/>
  <dimension ref="A1:DW145"/>
  <sheetViews>
    <sheetView zoomScale="115" zoomScaleNormal="115" zoomScaleSheetLayoutView="86" workbookViewId="0">
      <pane ySplit="3" topLeftCell="A4" activePane="bottomLeft" state="frozen"/>
      <selection pane="bottomLeft" activeCell="I11" sqref="I11"/>
    </sheetView>
  </sheetViews>
  <sheetFormatPr defaultColWidth="8.625" defaultRowHeight="12" customHeight="1"/>
  <cols>
    <col min="1" max="1" width="5.375" style="42" customWidth="1"/>
    <col min="2" max="2" width="25.75" style="105" customWidth="1"/>
    <col min="3" max="3" width="21.25" style="105" customWidth="1"/>
    <col min="4" max="4" width="1.75" style="42" customWidth="1"/>
    <col min="5" max="5" width="9.5" style="42" customWidth="1"/>
    <col min="6" max="6" width="9.75" style="42" bestFit="1" customWidth="1"/>
    <col min="7" max="7" width="9.75" style="120" customWidth="1"/>
    <col min="8" max="8" width="15.75" style="42" bestFit="1" customWidth="1"/>
    <col min="9" max="9" width="19.875" style="42" bestFit="1" customWidth="1"/>
    <col min="10" max="10" width="28" style="177" bestFit="1" customWidth="1"/>
    <col min="11" max="11" width="14.5" style="78" bestFit="1" customWidth="1"/>
    <col min="12" max="12" width="14.875" style="105" bestFit="1" customWidth="1"/>
    <col min="13" max="13" width="9.25" style="78" bestFit="1" customWidth="1"/>
    <col min="14" max="14" width="8" style="42" bestFit="1" customWidth="1"/>
    <col min="15" max="15" width="8.125" style="78" bestFit="1" customWidth="1"/>
    <col min="16" max="16" width="8.5" style="78" bestFit="1" customWidth="1"/>
    <col min="17" max="17" width="9.5" style="42" bestFit="1" customWidth="1"/>
    <col min="18" max="260" width="8.625" style="42"/>
    <col min="261" max="261" width="5.625" style="42" customWidth="1"/>
    <col min="262" max="262" width="10.625" style="42" customWidth="1"/>
    <col min="263" max="263" width="45.625" style="42" customWidth="1"/>
    <col min="264" max="264" width="48.625" style="42" customWidth="1"/>
    <col min="265" max="267" width="5.625" style="42" customWidth="1"/>
    <col min="268" max="268" width="21.625" style="42" customWidth="1"/>
    <col min="269" max="269" width="22.625" style="42" customWidth="1"/>
    <col min="270" max="516" width="8.625" style="42"/>
    <col min="517" max="517" width="5.625" style="42" customWidth="1"/>
    <col min="518" max="518" width="10.625" style="42" customWidth="1"/>
    <col min="519" max="519" width="45.625" style="42" customWidth="1"/>
    <col min="520" max="520" width="48.625" style="42" customWidth="1"/>
    <col min="521" max="523" width="5.625" style="42" customWidth="1"/>
    <col min="524" max="524" width="21.625" style="42" customWidth="1"/>
    <col min="525" max="525" width="22.625" style="42" customWidth="1"/>
    <col min="526" max="772" width="8.625" style="42"/>
    <col min="773" max="773" width="5.625" style="42" customWidth="1"/>
    <col min="774" max="774" width="10.625" style="42" customWidth="1"/>
    <col min="775" max="775" width="45.625" style="42" customWidth="1"/>
    <col min="776" max="776" width="48.625" style="42" customWidth="1"/>
    <col min="777" max="779" width="5.625" style="42" customWidth="1"/>
    <col min="780" max="780" width="21.625" style="42" customWidth="1"/>
    <col min="781" max="781" width="22.625" style="42" customWidth="1"/>
    <col min="782" max="1028" width="8.625" style="42"/>
    <col min="1029" max="1029" width="5.625" style="42" customWidth="1"/>
    <col min="1030" max="1030" width="10.625" style="42" customWidth="1"/>
    <col min="1031" max="1031" width="45.625" style="42" customWidth="1"/>
    <col min="1032" max="1032" width="48.625" style="42" customWidth="1"/>
    <col min="1033" max="1035" width="5.625" style="42" customWidth="1"/>
    <col min="1036" max="1036" width="21.625" style="42" customWidth="1"/>
    <col min="1037" max="1037" width="22.625" style="42" customWidth="1"/>
    <col min="1038" max="1284" width="8.625" style="42"/>
    <col min="1285" max="1285" width="5.625" style="42" customWidth="1"/>
    <col min="1286" max="1286" width="10.625" style="42" customWidth="1"/>
    <col min="1287" max="1287" width="45.625" style="42" customWidth="1"/>
    <col min="1288" max="1288" width="48.625" style="42" customWidth="1"/>
    <col min="1289" max="1291" width="5.625" style="42" customWidth="1"/>
    <col min="1292" max="1292" width="21.625" style="42" customWidth="1"/>
    <col min="1293" max="1293" width="22.625" style="42" customWidth="1"/>
    <col min="1294" max="1540" width="8.625" style="42"/>
    <col min="1541" max="1541" width="5.625" style="42" customWidth="1"/>
    <col min="1542" max="1542" width="10.625" style="42" customWidth="1"/>
    <col min="1543" max="1543" width="45.625" style="42" customWidth="1"/>
    <col min="1544" max="1544" width="48.625" style="42" customWidth="1"/>
    <col min="1545" max="1547" width="5.625" style="42" customWidth="1"/>
    <col min="1548" max="1548" width="21.625" style="42" customWidth="1"/>
    <col min="1549" max="1549" width="22.625" style="42" customWidth="1"/>
    <col min="1550" max="1796" width="8.625" style="42"/>
    <col min="1797" max="1797" width="5.625" style="42" customWidth="1"/>
    <col min="1798" max="1798" width="10.625" style="42" customWidth="1"/>
    <col min="1799" max="1799" width="45.625" style="42" customWidth="1"/>
    <col min="1800" max="1800" width="48.625" style="42" customWidth="1"/>
    <col min="1801" max="1803" width="5.625" style="42" customWidth="1"/>
    <col min="1804" max="1804" width="21.625" style="42" customWidth="1"/>
    <col min="1805" max="1805" width="22.625" style="42" customWidth="1"/>
    <col min="1806" max="2052" width="8.625" style="42"/>
    <col min="2053" max="2053" width="5.625" style="42" customWidth="1"/>
    <col min="2054" max="2054" width="10.625" style="42" customWidth="1"/>
    <col min="2055" max="2055" width="45.625" style="42" customWidth="1"/>
    <col min="2056" max="2056" width="48.625" style="42" customWidth="1"/>
    <col min="2057" max="2059" width="5.625" style="42" customWidth="1"/>
    <col min="2060" max="2060" width="21.625" style="42" customWidth="1"/>
    <col min="2061" max="2061" width="22.625" style="42" customWidth="1"/>
    <col min="2062" max="2308" width="8.625" style="42"/>
    <col min="2309" max="2309" width="5.625" style="42" customWidth="1"/>
    <col min="2310" max="2310" width="10.625" style="42" customWidth="1"/>
    <col min="2311" max="2311" width="45.625" style="42" customWidth="1"/>
    <col min="2312" max="2312" width="48.625" style="42" customWidth="1"/>
    <col min="2313" max="2315" width="5.625" style="42" customWidth="1"/>
    <col min="2316" max="2316" width="21.625" style="42" customWidth="1"/>
    <col min="2317" max="2317" width="22.625" style="42" customWidth="1"/>
    <col min="2318" max="2564" width="8.625" style="42"/>
    <col min="2565" max="2565" width="5.625" style="42" customWidth="1"/>
    <col min="2566" max="2566" width="10.625" style="42" customWidth="1"/>
    <col min="2567" max="2567" width="45.625" style="42" customWidth="1"/>
    <col min="2568" max="2568" width="48.625" style="42" customWidth="1"/>
    <col min="2569" max="2571" width="5.625" style="42" customWidth="1"/>
    <col min="2572" max="2572" width="21.625" style="42" customWidth="1"/>
    <col min="2573" max="2573" width="22.625" style="42" customWidth="1"/>
    <col min="2574" max="2820" width="8.625" style="42"/>
    <col min="2821" max="2821" width="5.625" style="42" customWidth="1"/>
    <col min="2822" max="2822" width="10.625" style="42" customWidth="1"/>
    <col min="2823" max="2823" width="45.625" style="42" customWidth="1"/>
    <col min="2824" max="2824" width="48.625" style="42" customWidth="1"/>
    <col min="2825" max="2827" width="5.625" style="42" customWidth="1"/>
    <col min="2828" max="2828" width="21.625" style="42" customWidth="1"/>
    <col min="2829" max="2829" width="22.625" style="42" customWidth="1"/>
    <col min="2830" max="3076" width="8.625" style="42"/>
    <col min="3077" max="3077" width="5.625" style="42" customWidth="1"/>
    <col min="3078" max="3078" width="10.625" style="42" customWidth="1"/>
    <col min="3079" max="3079" width="45.625" style="42" customWidth="1"/>
    <col min="3080" max="3080" width="48.625" style="42" customWidth="1"/>
    <col min="3081" max="3083" width="5.625" style="42" customWidth="1"/>
    <col min="3084" max="3084" width="21.625" style="42" customWidth="1"/>
    <col min="3085" max="3085" width="22.625" style="42" customWidth="1"/>
    <col min="3086" max="3332" width="8.625" style="42"/>
    <col min="3333" max="3333" width="5.625" style="42" customWidth="1"/>
    <col min="3334" max="3334" width="10.625" style="42" customWidth="1"/>
    <col min="3335" max="3335" width="45.625" style="42" customWidth="1"/>
    <col min="3336" max="3336" width="48.625" style="42" customWidth="1"/>
    <col min="3337" max="3339" width="5.625" style="42" customWidth="1"/>
    <col min="3340" max="3340" width="21.625" style="42" customWidth="1"/>
    <col min="3341" max="3341" width="22.625" style="42" customWidth="1"/>
    <col min="3342" max="3588" width="8.625" style="42"/>
    <col min="3589" max="3589" width="5.625" style="42" customWidth="1"/>
    <col min="3590" max="3590" width="10.625" style="42" customWidth="1"/>
    <col min="3591" max="3591" width="45.625" style="42" customWidth="1"/>
    <col min="3592" max="3592" width="48.625" style="42" customWidth="1"/>
    <col min="3593" max="3595" width="5.625" style="42" customWidth="1"/>
    <col min="3596" max="3596" width="21.625" style="42" customWidth="1"/>
    <col min="3597" max="3597" width="22.625" style="42" customWidth="1"/>
    <col min="3598" max="3844" width="8.625" style="42"/>
    <col min="3845" max="3845" width="5.625" style="42" customWidth="1"/>
    <col min="3846" max="3846" width="10.625" style="42" customWidth="1"/>
    <col min="3847" max="3847" width="45.625" style="42" customWidth="1"/>
    <col min="3848" max="3848" width="48.625" style="42" customWidth="1"/>
    <col min="3849" max="3851" width="5.625" style="42" customWidth="1"/>
    <col min="3852" max="3852" width="21.625" style="42" customWidth="1"/>
    <col min="3853" max="3853" width="22.625" style="42" customWidth="1"/>
    <col min="3854" max="4100" width="8.625" style="42"/>
    <col min="4101" max="4101" width="5.625" style="42" customWidth="1"/>
    <col min="4102" max="4102" width="10.625" style="42" customWidth="1"/>
    <col min="4103" max="4103" width="45.625" style="42" customWidth="1"/>
    <col min="4104" max="4104" width="48.625" style="42" customWidth="1"/>
    <col min="4105" max="4107" width="5.625" style="42" customWidth="1"/>
    <col min="4108" max="4108" width="21.625" style="42" customWidth="1"/>
    <col min="4109" max="4109" width="22.625" style="42" customWidth="1"/>
    <col min="4110" max="4356" width="8.625" style="42"/>
    <col min="4357" max="4357" width="5.625" style="42" customWidth="1"/>
    <col min="4358" max="4358" width="10.625" style="42" customWidth="1"/>
    <col min="4359" max="4359" width="45.625" style="42" customWidth="1"/>
    <col min="4360" max="4360" width="48.625" style="42" customWidth="1"/>
    <col min="4361" max="4363" width="5.625" style="42" customWidth="1"/>
    <col min="4364" max="4364" width="21.625" style="42" customWidth="1"/>
    <col min="4365" max="4365" width="22.625" style="42" customWidth="1"/>
    <col min="4366" max="4612" width="8.625" style="42"/>
    <col min="4613" max="4613" width="5.625" style="42" customWidth="1"/>
    <col min="4614" max="4614" width="10.625" style="42" customWidth="1"/>
    <col min="4615" max="4615" width="45.625" style="42" customWidth="1"/>
    <col min="4616" max="4616" width="48.625" style="42" customWidth="1"/>
    <col min="4617" max="4619" width="5.625" style="42" customWidth="1"/>
    <col min="4620" max="4620" width="21.625" style="42" customWidth="1"/>
    <col min="4621" max="4621" width="22.625" style="42" customWidth="1"/>
    <col min="4622" max="4868" width="8.625" style="42"/>
    <col min="4869" max="4869" width="5.625" style="42" customWidth="1"/>
    <col min="4870" max="4870" width="10.625" style="42" customWidth="1"/>
    <col min="4871" max="4871" width="45.625" style="42" customWidth="1"/>
    <col min="4872" max="4872" width="48.625" style="42" customWidth="1"/>
    <col min="4873" max="4875" width="5.625" style="42" customWidth="1"/>
    <col min="4876" max="4876" width="21.625" style="42" customWidth="1"/>
    <col min="4877" max="4877" width="22.625" style="42" customWidth="1"/>
    <col min="4878" max="5124" width="8.625" style="42"/>
    <col min="5125" max="5125" width="5.625" style="42" customWidth="1"/>
    <col min="5126" max="5126" width="10.625" style="42" customWidth="1"/>
    <col min="5127" max="5127" width="45.625" style="42" customWidth="1"/>
    <col min="5128" max="5128" width="48.625" style="42" customWidth="1"/>
    <col min="5129" max="5131" width="5.625" style="42" customWidth="1"/>
    <col min="5132" max="5132" width="21.625" style="42" customWidth="1"/>
    <col min="5133" max="5133" width="22.625" style="42" customWidth="1"/>
    <col min="5134" max="5380" width="8.625" style="42"/>
    <col min="5381" max="5381" width="5.625" style="42" customWidth="1"/>
    <col min="5382" max="5382" width="10.625" style="42" customWidth="1"/>
    <col min="5383" max="5383" width="45.625" style="42" customWidth="1"/>
    <col min="5384" max="5384" width="48.625" style="42" customWidth="1"/>
    <col min="5385" max="5387" width="5.625" style="42" customWidth="1"/>
    <col min="5388" max="5388" width="21.625" style="42" customWidth="1"/>
    <col min="5389" max="5389" width="22.625" style="42" customWidth="1"/>
    <col min="5390" max="5636" width="8.625" style="42"/>
    <col min="5637" max="5637" width="5.625" style="42" customWidth="1"/>
    <col min="5638" max="5638" width="10.625" style="42" customWidth="1"/>
    <col min="5639" max="5639" width="45.625" style="42" customWidth="1"/>
    <col min="5640" max="5640" width="48.625" style="42" customWidth="1"/>
    <col min="5641" max="5643" width="5.625" style="42" customWidth="1"/>
    <col min="5644" max="5644" width="21.625" style="42" customWidth="1"/>
    <col min="5645" max="5645" width="22.625" style="42" customWidth="1"/>
    <col min="5646" max="5892" width="8.625" style="42"/>
    <col min="5893" max="5893" width="5.625" style="42" customWidth="1"/>
    <col min="5894" max="5894" width="10.625" style="42" customWidth="1"/>
    <col min="5895" max="5895" width="45.625" style="42" customWidth="1"/>
    <col min="5896" max="5896" width="48.625" style="42" customWidth="1"/>
    <col min="5897" max="5899" width="5.625" style="42" customWidth="1"/>
    <col min="5900" max="5900" width="21.625" style="42" customWidth="1"/>
    <col min="5901" max="5901" width="22.625" style="42" customWidth="1"/>
    <col min="5902" max="6148" width="8.625" style="42"/>
    <col min="6149" max="6149" width="5.625" style="42" customWidth="1"/>
    <col min="6150" max="6150" width="10.625" style="42" customWidth="1"/>
    <col min="6151" max="6151" width="45.625" style="42" customWidth="1"/>
    <col min="6152" max="6152" width="48.625" style="42" customWidth="1"/>
    <col min="6153" max="6155" width="5.625" style="42" customWidth="1"/>
    <col min="6156" max="6156" width="21.625" style="42" customWidth="1"/>
    <col min="6157" max="6157" width="22.625" style="42" customWidth="1"/>
    <col min="6158" max="6404" width="8.625" style="42"/>
    <col min="6405" max="6405" width="5.625" style="42" customWidth="1"/>
    <col min="6406" max="6406" width="10.625" style="42" customWidth="1"/>
    <col min="6407" max="6407" width="45.625" style="42" customWidth="1"/>
    <col min="6408" max="6408" width="48.625" style="42" customWidth="1"/>
    <col min="6409" max="6411" width="5.625" style="42" customWidth="1"/>
    <col min="6412" max="6412" width="21.625" style="42" customWidth="1"/>
    <col min="6413" max="6413" width="22.625" style="42" customWidth="1"/>
    <col min="6414" max="6660" width="8.625" style="42"/>
    <col min="6661" max="6661" width="5.625" style="42" customWidth="1"/>
    <col min="6662" max="6662" width="10.625" style="42" customWidth="1"/>
    <col min="6663" max="6663" width="45.625" style="42" customWidth="1"/>
    <col min="6664" max="6664" width="48.625" style="42" customWidth="1"/>
    <col min="6665" max="6667" width="5.625" style="42" customWidth="1"/>
    <col min="6668" max="6668" width="21.625" style="42" customWidth="1"/>
    <col min="6669" max="6669" width="22.625" style="42" customWidth="1"/>
    <col min="6670" max="6916" width="8.625" style="42"/>
    <col min="6917" max="6917" width="5.625" style="42" customWidth="1"/>
    <col min="6918" max="6918" width="10.625" style="42" customWidth="1"/>
    <col min="6919" max="6919" width="45.625" style="42" customWidth="1"/>
    <col min="6920" max="6920" width="48.625" style="42" customWidth="1"/>
    <col min="6921" max="6923" width="5.625" style="42" customWidth="1"/>
    <col min="6924" max="6924" width="21.625" style="42" customWidth="1"/>
    <col min="6925" max="6925" width="22.625" style="42" customWidth="1"/>
    <col min="6926" max="7172" width="8.625" style="42"/>
    <col min="7173" max="7173" width="5.625" style="42" customWidth="1"/>
    <col min="7174" max="7174" width="10.625" style="42" customWidth="1"/>
    <col min="7175" max="7175" width="45.625" style="42" customWidth="1"/>
    <col min="7176" max="7176" width="48.625" style="42" customWidth="1"/>
    <col min="7177" max="7179" width="5.625" style="42" customWidth="1"/>
    <col min="7180" max="7180" width="21.625" style="42" customWidth="1"/>
    <col min="7181" max="7181" width="22.625" style="42" customWidth="1"/>
    <col min="7182" max="7428" width="8.625" style="42"/>
    <col min="7429" max="7429" width="5.625" style="42" customWidth="1"/>
    <col min="7430" max="7430" width="10.625" style="42" customWidth="1"/>
    <col min="7431" max="7431" width="45.625" style="42" customWidth="1"/>
    <col min="7432" max="7432" width="48.625" style="42" customWidth="1"/>
    <col min="7433" max="7435" width="5.625" style="42" customWidth="1"/>
    <col min="7436" max="7436" width="21.625" style="42" customWidth="1"/>
    <col min="7437" max="7437" width="22.625" style="42" customWidth="1"/>
    <col min="7438" max="7684" width="8.625" style="42"/>
    <col min="7685" max="7685" width="5.625" style="42" customWidth="1"/>
    <col min="7686" max="7686" width="10.625" style="42" customWidth="1"/>
    <col min="7687" max="7687" width="45.625" style="42" customWidth="1"/>
    <col min="7688" max="7688" width="48.625" style="42" customWidth="1"/>
    <col min="7689" max="7691" width="5.625" style="42" customWidth="1"/>
    <col min="7692" max="7692" width="21.625" style="42" customWidth="1"/>
    <col min="7693" max="7693" width="22.625" style="42" customWidth="1"/>
    <col min="7694" max="7940" width="8.625" style="42"/>
    <col min="7941" max="7941" width="5.625" style="42" customWidth="1"/>
    <col min="7942" max="7942" width="10.625" style="42" customWidth="1"/>
    <col min="7943" max="7943" width="45.625" style="42" customWidth="1"/>
    <col min="7944" max="7944" width="48.625" style="42" customWidth="1"/>
    <col min="7945" max="7947" width="5.625" style="42" customWidth="1"/>
    <col min="7948" max="7948" width="21.625" style="42" customWidth="1"/>
    <col min="7949" max="7949" width="22.625" style="42" customWidth="1"/>
    <col min="7950" max="8196" width="8.625" style="42"/>
    <col min="8197" max="8197" width="5.625" style="42" customWidth="1"/>
    <col min="8198" max="8198" width="10.625" style="42" customWidth="1"/>
    <col min="8199" max="8199" width="45.625" style="42" customWidth="1"/>
    <col min="8200" max="8200" width="48.625" style="42" customWidth="1"/>
    <col min="8201" max="8203" width="5.625" style="42" customWidth="1"/>
    <col min="8204" max="8204" width="21.625" style="42" customWidth="1"/>
    <col min="8205" max="8205" width="22.625" style="42" customWidth="1"/>
    <col min="8206" max="8452" width="8.625" style="42"/>
    <col min="8453" max="8453" width="5.625" style="42" customWidth="1"/>
    <col min="8454" max="8454" width="10.625" style="42" customWidth="1"/>
    <col min="8455" max="8455" width="45.625" style="42" customWidth="1"/>
    <col min="8456" max="8456" width="48.625" style="42" customWidth="1"/>
    <col min="8457" max="8459" width="5.625" style="42" customWidth="1"/>
    <col min="8460" max="8460" width="21.625" style="42" customWidth="1"/>
    <col min="8461" max="8461" width="22.625" style="42" customWidth="1"/>
    <col min="8462" max="8708" width="8.625" style="42"/>
    <col min="8709" max="8709" width="5.625" style="42" customWidth="1"/>
    <col min="8710" max="8710" width="10.625" style="42" customWidth="1"/>
    <col min="8711" max="8711" width="45.625" style="42" customWidth="1"/>
    <col min="8712" max="8712" width="48.625" style="42" customWidth="1"/>
    <col min="8713" max="8715" width="5.625" style="42" customWidth="1"/>
    <col min="8716" max="8716" width="21.625" style="42" customWidth="1"/>
    <col min="8717" max="8717" width="22.625" style="42" customWidth="1"/>
    <col min="8718" max="8964" width="8.625" style="42"/>
    <col min="8965" max="8965" width="5.625" style="42" customWidth="1"/>
    <col min="8966" max="8966" width="10.625" style="42" customWidth="1"/>
    <col min="8967" max="8967" width="45.625" style="42" customWidth="1"/>
    <col min="8968" max="8968" width="48.625" style="42" customWidth="1"/>
    <col min="8969" max="8971" width="5.625" style="42" customWidth="1"/>
    <col min="8972" max="8972" width="21.625" style="42" customWidth="1"/>
    <col min="8973" max="8973" width="22.625" style="42" customWidth="1"/>
    <col min="8974" max="9220" width="8.625" style="42"/>
    <col min="9221" max="9221" width="5.625" style="42" customWidth="1"/>
    <col min="9222" max="9222" width="10.625" style="42" customWidth="1"/>
    <col min="9223" max="9223" width="45.625" style="42" customWidth="1"/>
    <col min="9224" max="9224" width="48.625" style="42" customWidth="1"/>
    <col min="9225" max="9227" width="5.625" style="42" customWidth="1"/>
    <col min="9228" max="9228" width="21.625" style="42" customWidth="1"/>
    <col min="9229" max="9229" width="22.625" style="42" customWidth="1"/>
    <col min="9230" max="9476" width="8.625" style="42"/>
    <col min="9477" max="9477" width="5.625" style="42" customWidth="1"/>
    <col min="9478" max="9478" width="10.625" style="42" customWidth="1"/>
    <col min="9479" max="9479" width="45.625" style="42" customWidth="1"/>
    <col min="9480" max="9480" width="48.625" style="42" customWidth="1"/>
    <col min="9481" max="9483" width="5.625" style="42" customWidth="1"/>
    <col min="9484" max="9484" width="21.625" style="42" customWidth="1"/>
    <col min="9485" max="9485" width="22.625" style="42" customWidth="1"/>
    <col min="9486" max="9732" width="8.625" style="42"/>
    <col min="9733" max="9733" width="5.625" style="42" customWidth="1"/>
    <col min="9734" max="9734" width="10.625" style="42" customWidth="1"/>
    <col min="9735" max="9735" width="45.625" style="42" customWidth="1"/>
    <col min="9736" max="9736" width="48.625" style="42" customWidth="1"/>
    <col min="9737" max="9739" width="5.625" style="42" customWidth="1"/>
    <col min="9740" max="9740" width="21.625" style="42" customWidth="1"/>
    <col min="9741" max="9741" width="22.625" style="42" customWidth="1"/>
    <col min="9742" max="9988" width="8.625" style="42"/>
    <col min="9989" max="9989" width="5.625" style="42" customWidth="1"/>
    <col min="9990" max="9990" width="10.625" style="42" customWidth="1"/>
    <col min="9991" max="9991" width="45.625" style="42" customWidth="1"/>
    <col min="9992" max="9992" width="48.625" style="42" customWidth="1"/>
    <col min="9993" max="9995" width="5.625" style="42" customWidth="1"/>
    <col min="9996" max="9996" width="21.625" style="42" customWidth="1"/>
    <col min="9997" max="9997" width="22.625" style="42" customWidth="1"/>
    <col min="9998" max="10244" width="8.625" style="42"/>
    <col min="10245" max="10245" width="5.625" style="42" customWidth="1"/>
    <col min="10246" max="10246" width="10.625" style="42" customWidth="1"/>
    <col min="10247" max="10247" width="45.625" style="42" customWidth="1"/>
    <col min="10248" max="10248" width="48.625" style="42" customWidth="1"/>
    <col min="10249" max="10251" width="5.625" style="42" customWidth="1"/>
    <col min="10252" max="10252" width="21.625" style="42" customWidth="1"/>
    <col min="10253" max="10253" width="22.625" style="42" customWidth="1"/>
    <col min="10254" max="10500" width="8.625" style="42"/>
    <col min="10501" max="10501" width="5.625" style="42" customWidth="1"/>
    <col min="10502" max="10502" width="10.625" style="42" customWidth="1"/>
    <col min="10503" max="10503" width="45.625" style="42" customWidth="1"/>
    <col min="10504" max="10504" width="48.625" style="42" customWidth="1"/>
    <col min="10505" max="10507" width="5.625" style="42" customWidth="1"/>
    <col min="10508" max="10508" width="21.625" style="42" customWidth="1"/>
    <col min="10509" max="10509" width="22.625" style="42" customWidth="1"/>
    <col min="10510" max="10756" width="8.625" style="42"/>
    <col min="10757" max="10757" width="5.625" style="42" customWidth="1"/>
    <col min="10758" max="10758" width="10.625" style="42" customWidth="1"/>
    <col min="10759" max="10759" width="45.625" style="42" customWidth="1"/>
    <col min="10760" max="10760" width="48.625" style="42" customWidth="1"/>
    <col min="10761" max="10763" width="5.625" style="42" customWidth="1"/>
    <col min="10764" max="10764" width="21.625" style="42" customWidth="1"/>
    <col min="10765" max="10765" width="22.625" style="42" customWidth="1"/>
    <col min="10766" max="11012" width="8.625" style="42"/>
    <col min="11013" max="11013" width="5.625" style="42" customWidth="1"/>
    <col min="11014" max="11014" width="10.625" style="42" customWidth="1"/>
    <col min="11015" max="11015" width="45.625" style="42" customWidth="1"/>
    <col min="11016" max="11016" width="48.625" style="42" customWidth="1"/>
    <col min="11017" max="11019" width="5.625" style="42" customWidth="1"/>
    <col min="11020" max="11020" width="21.625" style="42" customWidth="1"/>
    <col min="11021" max="11021" width="22.625" style="42" customWidth="1"/>
    <col min="11022" max="11268" width="8.625" style="42"/>
    <col min="11269" max="11269" width="5.625" style="42" customWidth="1"/>
    <col min="11270" max="11270" width="10.625" style="42" customWidth="1"/>
    <col min="11271" max="11271" width="45.625" style="42" customWidth="1"/>
    <col min="11272" max="11272" width="48.625" style="42" customWidth="1"/>
    <col min="11273" max="11275" width="5.625" style="42" customWidth="1"/>
    <col min="11276" max="11276" width="21.625" style="42" customWidth="1"/>
    <col min="11277" max="11277" width="22.625" style="42" customWidth="1"/>
    <col min="11278" max="11524" width="8.625" style="42"/>
    <col min="11525" max="11525" width="5.625" style="42" customWidth="1"/>
    <col min="11526" max="11526" width="10.625" style="42" customWidth="1"/>
    <col min="11527" max="11527" width="45.625" style="42" customWidth="1"/>
    <col min="11528" max="11528" width="48.625" style="42" customWidth="1"/>
    <col min="11529" max="11531" width="5.625" style="42" customWidth="1"/>
    <col min="11532" max="11532" width="21.625" style="42" customWidth="1"/>
    <col min="11533" max="11533" width="22.625" style="42" customWidth="1"/>
    <col min="11534" max="11780" width="8.625" style="42"/>
    <col min="11781" max="11781" width="5.625" style="42" customWidth="1"/>
    <col min="11782" max="11782" width="10.625" style="42" customWidth="1"/>
    <col min="11783" max="11783" width="45.625" style="42" customWidth="1"/>
    <col min="11784" max="11784" width="48.625" style="42" customWidth="1"/>
    <col min="11785" max="11787" width="5.625" style="42" customWidth="1"/>
    <col min="11788" max="11788" width="21.625" style="42" customWidth="1"/>
    <col min="11789" max="11789" width="22.625" style="42" customWidth="1"/>
    <col min="11790" max="12036" width="8.625" style="42"/>
    <col min="12037" max="12037" width="5.625" style="42" customWidth="1"/>
    <col min="12038" max="12038" width="10.625" style="42" customWidth="1"/>
    <col min="12039" max="12039" width="45.625" style="42" customWidth="1"/>
    <col min="12040" max="12040" width="48.625" style="42" customWidth="1"/>
    <col min="12041" max="12043" width="5.625" style="42" customWidth="1"/>
    <col min="12044" max="12044" width="21.625" style="42" customWidth="1"/>
    <col min="12045" max="12045" width="22.625" style="42" customWidth="1"/>
    <col min="12046" max="12292" width="8.625" style="42"/>
    <col min="12293" max="12293" width="5.625" style="42" customWidth="1"/>
    <col min="12294" max="12294" width="10.625" style="42" customWidth="1"/>
    <col min="12295" max="12295" width="45.625" style="42" customWidth="1"/>
    <col min="12296" max="12296" width="48.625" style="42" customWidth="1"/>
    <col min="12297" max="12299" width="5.625" style="42" customWidth="1"/>
    <col min="12300" max="12300" width="21.625" style="42" customWidth="1"/>
    <col min="12301" max="12301" width="22.625" style="42" customWidth="1"/>
    <col min="12302" max="12548" width="8.625" style="42"/>
    <col min="12549" max="12549" width="5.625" style="42" customWidth="1"/>
    <col min="12550" max="12550" width="10.625" style="42" customWidth="1"/>
    <col min="12551" max="12551" width="45.625" style="42" customWidth="1"/>
    <col min="12552" max="12552" width="48.625" style="42" customWidth="1"/>
    <col min="12553" max="12555" width="5.625" style="42" customWidth="1"/>
    <col min="12556" max="12556" width="21.625" style="42" customWidth="1"/>
    <col min="12557" max="12557" width="22.625" style="42" customWidth="1"/>
    <col min="12558" max="12804" width="8.625" style="42"/>
    <col min="12805" max="12805" width="5.625" style="42" customWidth="1"/>
    <col min="12806" max="12806" width="10.625" style="42" customWidth="1"/>
    <col min="12807" max="12807" width="45.625" style="42" customWidth="1"/>
    <col min="12808" max="12808" width="48.625" style="42" customWidth="1"/>
    <col min="12809" max="12811" width="5.625" style="42" customWidth="1"/>
    <col min="12812" max="12812" width="21.625" style="42" customWidth="1"/>
    <col min="12813" max="12813" width="22.625" style="42" customWidth="1"/>
    <col min="12814" max="13060" width="8.625" style="42"/>
    <col min="13061" max="13061" width="5.625" style="42" customWidth="1"/>
    <col min="13062" max="13062" width="10.625" style="42" customWidth="1"/>
    <col min="13063" max="13063" width="45.625" style="42" customWidth="1"/>
    <col min="13064" max="13064" width="48.625" style="42" customWidth="1"/>
    <col min="13065" max="13067" width="5.625" style="42" customWidth="1"/>
    <col min="13068" max="13068" width="21.625" style="42" customWidth="1"/>
    <col min="13069" max="13069" width="22.625" style="42" customWidth="1"/>
    <col min="13070" max="13316" width="8.625" style="42"/>
    <col min="13317" max="13317" width="5.625" style="42" customWidth="1"/>
    <col min="13318" max="13318" width="10.625" style="42" customWidth="1"/>
    <col min="13319" max="13319" width="45.625" style="42" customWidth="1"/>
    <col min="13320" max="13320" width="48.625" style="42" customWidth="1"/>
    <col min="13321" max="13323" width="5.625" style="42" customWidth="1"/>
    <col min="13324" max="13324" width="21.625" style="42" customWidth="1"/>
    <col min="13325" max="13325" width="22.625" style="42" customWidth="1"/>
    <col min="13326" max="13572" width="8.625" style="42"/>
    <col min="13573" max="13573" width="5.625" style="42" customWidth="1"/>
    <col min="13574" max="13574" width="10.625" style="42" customWidth="1"/>
    <col min="13575" max="13575" width="45.625" style="42" customWidth="1"/>
    <col min="13576" max="13576" width="48.625" style="42" customWidth="1"/>
    <col min="13577" max="13579" width="5.625" style="42" customWidth="1"/>
    <col min="13580" max="13580" width="21.625" style="42" customWidth="1"/>
    <col min="13581" max="13581" width="22.625" style="42" customWidth="1"/>
    <col min="13582" max="13828" width="8.625" style="42"/>
    <col min="13829" max="13829" width="5.625" style="42" customWidth="1"/>
    <col min="13830" max="13830" width="10.625" style="42" customWidth="1"/>
    <col min="13831" max="13831" width="45.625" style="42" customWidth="1"/>
    <col min="13832" max="13832" width="48.625" style="42" customWidth="1"/>
    <col min="13833" max="13835" width="5.625" style="42" customWidth="1"/>
    <col min="13836" max="13836" width="21.625" style="42" customWidth="1"/>
    <col min="13837" max="13837" width="22.625" style="42" customWidth="1"/>
    <col min="13838" max="14084" width="8.625" style="42"/>
    <col min="14085" max="14085" width="5.625" style="42" customWidth="1"/>
    <col min="14086" max="14086" width="10.625" style="42" customWidth="1"/>
    <col min="14087" max="14087" width="45.625" style="42" customWidth="1"/>
    <col min="14088" max="14088" width="48.625" style="42" customWidth="1"/>
    <col min="14089" max="14091" width="5.625" style="42" customWidth="1"/>
    <col min="14092" max="14092" width="21.625" style="42" customWidth="1"/>
    <col min="14093" max="14093" width="22.625" style="42" customWidth="1"/>
    <col min="14094" max="14340" width="8.625" style="42"/>
    <col min="14341" max="14341" width="5.625" style="42" customWidth="1"/>
    <col min="14342" max="14342" width="10.625" style="42" customWidth="1"/>
    <col min="14343" max="14343" width="45.625" style="42" customWidth="1"/>
    <col min="14344" max="14344" width="48.625" style="42" customWidth="1"/>
    <col min="14345" max="14347" width="5.625" style="42" customWidth="1"/>
    <col min="14348" max="14348" width="21.625" style="42" customWidth="1"/>
    <col min="14349" max="14349" width="22.625" style="42" customWidth="1"/>
    <col min="14350" max="14596" width="8.625" style="42"/>
    <col min="14597" max="14597" width="5.625" style="42" customWidth="1"/>
    <col min="14598" max="14598" width="10.625" style="42" customWidth="1"/>
    <col min="14599" max="14599" width="45.625" style="42" customWidth="1"/>
    <col min="14600" max="14600" width="48.625" style="42" customWidth="1"/>
    <col min="14601" max="14603" width="5.625" style="42" customWidth="1"/>
    <col min="14604" max="14604" width="21.625" style="42" customWidth="1"/>
    <col min="14605" max="14605" width="22.625" style="42" customWidth="1"/>
    <col min="14606" max="14852" width="8.625" style="42"/>
    <col min="14853" max="14853" width="5.625" style="42" customWidth="1"/>
    <col min="14854" max="14854" width="10.625" style="42" customWidth="1"/>
    <col min="14855" max="14855" width="45.625" style="42" customWidth="1"/>
    <col min="14856" max="14856" width="48.625" style="42" customWidth="1"/>
    <col min="14857" max="14859" width="5.625" style="42" customWidth="1"/>
    <col min="14860" max="14860" width="21.625" style="42" customWidth="1"/>
    <col min="14861" max="14861" width="22.625" style="42" customWidth="1"/>
    <col min="14862" max="15108" width="8.625" style="42"/>
    <col min="15109" max="15109" width="5.625" style="42" customWidth="1"/>
    <col min="15110" max="15110" width="10.625" style="42" customWidth="1"/>
    <col min="15111" max="15111" width="45.625" style="42" customWidth="1"/>
    <col min="15112" max="15112" width="48.625" style="42" customWidth="1"/>
    <col min="15113" max="15115" width="5.625" style="42" customWidth="1"/>
    <col min="15116" max="15116" width="21.625" style="42" customWidth="1"/>
    <col min="15117" max="15117" width="22.625" style="42" customWidth="1"/>
    <col min="15118" max="15364" width="8.625" style="42"/>
    <col min="15365" max="15365" width="5.625" style="42" customWidth="1"/>
    <col min="15366" max="15366" width="10.625" style="42" customWidth="1"/>
    <col min="15367" max="15367" width="45.625" style="42" customWidth="1"/>
    <col min="15368" max="15368" width="48.625" style="42" customWidth="1"/>
    <col min="15369" max="15371" width="5.625" style="42" customWidth="1"/>
    <col min="15372" max="15372" width="21.625" style="42" customWidth="1"/>
    <col min="15373" max="15373" width="22.625" style="42" customWidth="1"/>
    <col min="15374" max="15620" width="8.625" style="42"/>
    <col min="15621" max="15621" width="5.625" style="42" customWidth="1"/>
    <col min="15622" max="15622" width="10.625" style="42" customWidth="1"/>
    <col min="15623" max="15623" width="45.625" style="42" customWidth="1"/>
    <col min="15624" max="15624" width="48.625" style="42" customWidth="1"/>
    <col min="15625" max="15627" width="5.625" style="42" customWidth="1"/>
    <col min="15628" max="15628" width="21.625" style="42" customWidth="1"/>
    <col min="15629" max="15629" width="22.625" style="42" customWidth="1"/>
    <col min="15630" max="15876" width="8.625" style="42"/>
    <col min="15877" max="15877" width="5.625" style="42" customWidth="1"/>
    <col min="15878" max="15878" width="10.625" style="42" customWidth="1"/>
    <col min="15879" max="15879" width="45.625" style="42" customWidth="1"/>
    <col min="15880" max="15880" width="48.625" style="42" customWidth="1"/>
    <col min="15881" max="15883" width="5.625" style="42" customWidth="1"/>
    <col min="15884" max="15884" width="21.625" style="42" customWidth="1"/>
    <col min="15885" max="15885" width="22.625" style="42" customWidth="1"/>
    <col min="15886" max="16132" width="8.625" style="42"/>
    <col min="16133" max="16133" width="5.625" style="42" customWidth="1"/>
    <col min="16134" max="16134" width="10.625" style="42" customWidth="1"/>
    <col min="16135" max="16135" width="45.625" style="42" customWidth="1"/>
    <col min="16136" max="16136" width="48.625" style="42" customWidth="1"/>
    <col min="16137" max="16139" width="5.625" style="42" customWidth="1"/>
    <col min="16140" max="16140" width="21.625" style="42" customWidth="1"/>
    <col min="16141" max="16141" width="22.625" style="42" customWidth="1"/>
    <col min="16142" max="16384" width="8.625" style="42"/>
  </cols>
  <sheetData>
    <row r="1" spans="1:127" ht="25.5">
      <c r="A1" s="40" t="e" vm="1">
        <v>#VALUE!</v>
      </c>
      <c r="B1" s="101" t="s">
        <v>0</v>
      </c>
      <c r="C1" s="102"/>
      <c r="D1" s="40"/>
    </row>
    <row r="2" spans="1:127" ht="16.149999999999999" customHeight="1">
      <c r="A2" s="54"/>
      <c r="B2" s="103" t="s">
        <v>1</v>
      </c>
      <c r="C2" s="104"/>
      <c r="D2" s="54"/>
      <c r="M2" s="136"/>
    </row>
    <row r="3" spans="1:127" ht="42" customHeight="1">
      <c r="B3" s="334" t="str" cm="1">
        <f t="array" aca="1" ref="B3" ca="1">_xlfn.TEXTAFTER(CELL("filename",A1),"]")</f>
        <v>Sensor Detail</v>
      </c>
      <c r="C3" s="334"/>
      <c r="D3" s="86"/>
      <c r="E3" s="138" t="s">
        <v>452</v>
      </c>
      <c r="F3" s="119" t="s">
        <v>453</v>
      </c>
      <c r="G3" s="133" t="s">
        <v>454</v>
      </c>
      <c r="H3" s="98" t="s">
        <v>439</v>
      </c>
      <c r="I3" s="98" t="s">
        <v>154</v>
      </c>
      <c r="J3" s="118" t="s">
        <v>419</v>
      </c>
      <c r="K3" s="119" t="s">
        <v>32</v>
      </c>
      <c r="L3" s="117" t="s">
        <v>33</v>
      </c>
      <c r="M3" s="133" t="s">
        <v>34</v>
      </c>
      <c r="N3" s="119" t="s">
        <v>440</v>
      </c>
      <c r="O3" s="137" t="s">
        <v>441</v>
      </c>
      <c r="P3" s="172" t="s">
        <v>451</v>
      </c>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row>
    <row r="4" spans="1:127" ht="17.100000000000001" customHeight="1">
      <c r="A4" s="64"/>
      <c r="B4" s="65" t="s">
        <v>2</v>
      </c>
      <c r="C4" s="87" t="str">
        <f>IF(Shop &lt;&gt; "", Shop, "")</f>
        <v>BL03</v>
      </c>
      <c r="D4" s="88"/>
      <c r="E4" s="298" t="s">
        <v>579</v>
      </c>
      <c r="F4" s="298" t="s">
        <v>220</v>
      </c>
      <c r="G4" s="299" t="s">
        <v>319</v>
      </c>
      <c r="H4" s="300" t="s">
        <v>625</v>
      </c>
      <c r="I4" s="300" t="s">
        <v>625</v>
      </c>
      <c r="J4" s="301">
        <v>264611</v>
      </c>
      <c r="K4" s="302" t="s">
        <v>194</v>
      </c>
      <c r="L4" s="303" t="s">
        <v>198</v>
      </c>
      <c r="M4" s="302"/>
      <c r="N4" s="300">
        <v>8</v>
      </c>
      <c r="O4" s="302" t="s">
        <v>495</v>
      </c>
      <c r="P4" s="249" t="str">
        <f>IF(AND(Sensors[[#This Row],[Mechanical Unit Name]]&lt;&gt;"",Sensors[[#This Row],[Controls Sensor Group]]&lt;&gt;"",Sensors[[#This Row],[Controls Unit Name]]&lt;&gt;""),_xlfn.CONCAT("=",Sensors[[#This Row],[Controls Sensor Group]],"-",Sensors[[#This Row],[Controls Unit Name]]),"")</f>
        <v>=BG1-BGB1</v>
      </c>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row>
    <row r="5" spans="1:127" ht="17.100000000000001" customHeight="1">
      <c r="B5" s="65" t="s">
        <v>6</v>
      </c>
      <c r="C5" s="87" t="str">
        <f>IF(Line &lt;&gt; "", Line, "")</f>
        <v>FFLR</v>
      </c>
      <c r="D5" s="88"/>
      <c r="E5" s="298" t="s">
        <v>581</v>
      </c>
      <c r="F5" s="298" t="s">
        <v>220</v>
      </c>
      <c r="G5" s="299" t="s">
        <v>320</v>
      </c>
      <c r="H5" s="300" t="s">
        <v>625</v>
      </c>
      <c r="I5" s="300" t="s">
        <v>625</v>
      </c>
      <c r="J5" s="301">
        <v>264611</v>
      </c>
      <c r="K5" s="302" t="s">
        <v>194</v>
      </c>
      <c r="L5" s="303" t="s">
        <v>198</v>
      </c>
      <c r="M5" s="302"/>
      <c r="N5" s="300">
        <v>8</v>
      </c>
      <c r="O5" s="302" t="s">
        <v>495</v>
      </c>
      <c r="P5" s="250" t="str">
        <f>IF(AND(Sensors[[#This Row],[Mechanical Unit Name]]&lt;&gt;"",Sensors[[#This Row],[Controls Sensor Group]]&lt;&gt;"",Sensors[[#This Row],[Controls Unit Name]]&lt;&gt;""),_xlfn.CONCAT("=",Sensors[[#This Row],[Controls Sensor Group]],"-",Sensors[[#This Row],[Controls Unit Name]]),"")</f>
        <v>=BG1-BGB2</v>
      </c>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row>
    <row r="6" spans="1:127" ht="17.100000000000001" customHeight="1">
      <c r="B6" s="65" t="s">
        <v>4</v>
      </c>
      <c r="C6" s="89" t="str">
        <f>IF(LineDescription&lt;&gt;"",LineDescription,"")</f>
        <v>Front Floor</v>
      </c>
      <c r="D6" s="88"/>
      <c r="E6" s="298" t="s">
        <v>600</v>
      </c>
      <c r="F6" s="298" t="s">
        <v>221</v>
      </c>
      <c r="G6" s="299" t="s">
        <v>319</v>
      </c>
      <c r="H6" s="300" t="s">
        <v>627</v>
      </c>
      <c r="I6" s="300" t="s">
        <v>627</v>
      </c>
      <c r="J6" s="301">
        <v>264611</v>
      </c>
      <c r="K6" s="302" t="s">
        <v>194</v>
      </c>
      <c r="L6" s="303" t="s">
        <v>198</v>
      </c>
      <c r="M6" s="302"/>
      <c r="N6" s="300">
        <v>8</v>
      </c>
      <c r="O6" s="302" t="s">
        <v>495</v>
      </c>
      <c r="P6" s="250" t="str">
        <f>IF(AND(Sensors[[#This Row],[Mechanical Unit Name]]&lt;&gt;"",Sensors[[#This Row],[Controls Sensor Group]]&lt;&gt;"",Sensors[[#This Row],[Controls Unit Name]]&lt;&gt;""),_xlfn.CONCAT("=",Sensors[[#This Row],[Controls Sensor Group]],"-",Sensors[[#This Row],[Controls Unit Name]]),"")</f>
        <v>=BG2-BGB1</v>
      </c>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row>
    <row r="7" spans="1:127" ht="17.100000000000001" customHeight="1">
      <c r="B7" s="65" t="s">
        <v>8</v>
      </c>
      <c r="C7" s="89" t="str">
        <f>IF(Station &lt;&gt; "", Station, "")</f>
        <v>010</v>
      </c>
      <c r="D7" s="88"/>
      <c r="E7" s="298" t="s">
        <v>602</v>
      </c>
      <c r="F7" s="298" t="s">
        <v>221</v>
      </c>
      <c r="G7" s="299" t="s">
        <v>320</v>
      </c>
      <c r="H7" s="300" t="s">
        <v>627</v>
      </c>
      <c r="I7" s="300" t="s">
        <v>627</v>
      </c>
      <c r="J7" s="301">
        <v>264611</v>
      </c>
      <c r="K7" s="302" t="s">
        <v>194</v>
      </c>
      <c r="L7" s="303" t="s">
        <v>198</v>
      </c>
      <c r="M7" s="302"/>
      <c r="N7" s="300">
        <v>8</v>
      </c>
      <c r="O7" s="302" t="s">
        <v>495</v>
      </c>
      <c r="P7" s="250" t="str">
        <f>IF(AND(Sensors[[#This Row],[Mechanical Unit Name]]&lt;&gt;"",Sensors[[#This Row],[Controls Sensor Group]]&lt;&gt;"",Sensors[[#This Row],[Controls Unit Name]]&lt;&gt;""),_xlfn.CONCAT("=",Sensors[[#This Row],[Controls Sensor Group]],"-",Sensors[[#This Row],[Controls Unit Name]]),"")</f>
        <v>=BG2-BGB2</v>
      </c>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row>
    <row r="8" spans="1:127" ht="17.100000000000001" customHeight="1">
      <c r="B8" s="65" t="s">
        <v>10</v>
      </c>
      <c r="C8" s="89" t="str">
        <f>StationDescription</f>
        <v>Station 010</v>
      </c>
      <c r="D8" s="88"/>
      <c r="E8" s="298" t="s">
        <v>583</v>
      </c>
      <c r="F8" s="298" t="s">
        <v>222</v>
      </c>
      <c r="G8" s="304" t="s">
        <v>620</v>
      </c>
      <c r="H8" s="300" t="s">
        <v>626</v>
      </c>
      <c r="I8" s="300" t="s">
        <v>626</v>
      </c>
      <c r="J8" s="301">
        <v>264611</v>
      </c>
      <c r="K8" s="302" t="s">
        <v>194</v>
      </c>
      <c r="L8" s="303" t="s">
        <v>198</v>
      </c>
      <c r="M8" s="302"/>
      <c r="N8" s="300">
        <v>8</v>
      </c>
      <c r="O8" s="302" t="s">
        <v>495</v>
      </c>
      <c r="P8" s="250" t="str">
        <f>IF(AND(Sensors[[#This Row],[Mechanical Unit Name]]&lt;&gt;"",Sensors[[#This Row],[Controls Sensor Group]]&lt;&gt;"",Sensors[[#This Row],[Controls Unit Name]]&lt;&gt;""),_xlfn.CONCAT("=",Sensors[[#This Row],[Controls Sensor Group]],"-",Sensors[[#This Row],[Controls Unit Name]]),"")</f>
        <v>=BG3-BGB1</v>
      </c>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row>
    <row r="9" spans="1:127" ht="17.100000000000001" customHeight="1">
      <c r="B9" s="65" t="s">
        <v>12</v>
      </c>
      <c r="C9" s="89" t="str">
        <f>IF(System &lt;&gt; "", System, "")</f>
        <v/>
      </c>
      <c r="D9" s="88"/>
      <c r="E9" s="298" t="s">
        <v>585</v>
      </c>
      <c r="F9" s="298" t="s">
        <v>222</v>
      </c>
      <c r="G9" s="299" t="s">
        <v>320</v>
      </c>
      <c r="H9" s="300" t="s">
        <v>626</v>
      </c>
      <c r="I9" s="300" t="s">
        <v>626</v>
      </c>
      <c r="J9" s="301">
        <v>264611</v>
      </c>
      <c r="K9" s="302" t="s">
        <v>194</v>
      </c>
      <c r="L9" s="303" t="s">
        <v>198</v>
      </c>
      <c r="M9" s="302"/>
      <c r="N9" s="300">
        <v>8</v>
      </c>
      <c r="O9" s="302" t="s">
        <v>495</v>
      </c>
      <c r="P9" s="250" t="str">
        <f>IF(AND(Sensors[[#This Row],[Mechanical Unit Name]]&lt;&gt;"",Sensors[[#This Row],[Controls Sensor Group]]&lt;&gt;"",Sensors[[#This Row],[Controls Unit Name]]&lt;&gt;""),_xlfn.CONCAT("=",Sensors[[#This Row],[Controls Sensor Group]],"-",Sensors[[#This Row],[Controls Unit Name]]),"")</f>
        <v>=BG3-BGB2</v>
      </c>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row>
    <row r="10" spans="1:127" ht="17.100000000000001" customHeight="1">
      <c r="B10" s="65" t="s">
        <v>428</v>
      </c>
      <c r="C10" s="89" t="str">
        <f>IF(SystemDescription &lt;&gt; "", SystemDescription, "")</f>
        <v/>
      </c>
      <c r="D10" s="90"/>
      <c r="E10" s="298"/>
      <c r="F10" s="298"/>
      <c r="G10" s="299"/>
      <c r="H10" s="300"/>
      <c r="I10" s="300"/>
      <c r="J10" s="301"/>
      <c r="K10" s="302"/>
      <c r="L10" s="303"/>
      <c r="M10" s="302"/>
      <c r="N10" s="300"/>
      <c r="O10" s="302"/>
      <c r="P10" s="250" t="str">
        <f>IF(AND(Sensors[[#This Row],[Mechanical Unit Name]]&lt;&gt;"",Sensors[[#This Row],[Controls Sensor Group]]&lt;&gt;"",Sensors[[#This Row],[Controls Unit Name]]&lt;&gt;""),_xlfn.CONCAT("=",Sensors[[#This Row],[Controls Sensor Group]],"-",Sensors[[#This Row],[Controls Unit Name]]),"")</f>
        <v/>
      </c>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row>
    <row r="11" spans="1:127" ht="17.100000000000001" customHeight="1">
      <c r="B11" s="71" t="s">
        <v>13</v>
      </c>
      <c r="C11" s="87" t="str">
        <f>IF(Tool &lt;&gt; "", Tool, "")</f>
        <v>UA1</v>
      </c>
      <c r="D11" s="91"/>
      <c r="E11" s="298"/>
      <c r="F11" s="298"/>
      <c r="G11" s="299"/>
      <c r="H11" s="300"/>
      <c r="I11" s="300"/>
      <c r="J11" s="301"/>
      <c r="K11" s="302"/>
      <c r="L11" s="303"/>
      <c r="M11" s="302"/>
      <c r="N11" s="300"/>
      <c r="O11" s="302"/>
      <c r="P11" s="250" t="str">
        <f>IF(AND(Sensors[[#This Row],[Mechanical Unit Name]]&lt;&gt;"",Sensors[[#This Row],[Controls Sensor Group]]&lt;&gt;"",Sensors[[#This Row],[Controls Unit Name]]&lt;&gt;""),_xlfn.CONCAT("=",Sensors[[#This Row],[Controls Sensor Group]],"-",Sensors[[#This Row],[Controls Unit Name]]),"")</f>
        <v/>
      </c>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row>
    <row r="12" spans="1:127" ht="17.100000000000001" customHeight="1">
      <c r="B12" s="65" t="s">
        <v>16</v>
      </c>
      <c r="C12" s="87" t="str">
        <f>IF(ToolDescription &lt;&gt; "", ToolDescription, "")</f>
        <v>Fixture</v>
      </c>
      <c r="D12" s="88"/>
      <c r="E12" s="298"/>
      <c r="F12" s="298"/>
      <c r="G12" s="299"/>
      <c r="H12" s="300"/>
      <c r="I12" s="300"/>
      <c r="J12" s="301"/>
      <c r="K12" s="302"/>
      <c r="L12" s="303"/>
      <c r="M12" s="302"/>
      <c r="N12" s="300"/>
      <c r="O12" s="302"/>
      <c r="P12" s="250" t="str">
        <f>IF(AND(Sensors[[#This Row],[Mechanical Unit Name]]&lt;&gt;"",Sensors[[#This Row],[Controls Sensor Group]]&lt;&gt;"",Sensors[[#This Row],[Controls Unit Name]]&lt;&gt;""),_xlfn.CONCAT("=",Sensors[[#This Row],[Controls Sensor Group]],"-",Sensors[[#This Row],[Controls Unit Name]]),"")</f>
        <v/>
      </c>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row>
    <row r="13" spans="1:127" ht="17.100000000000001" customHeight="1">
      <c r="B13" s="65" t="s">
        <v>3</v>
      </c>
      <c r="C13" s="89" t="str">
        <f>IF(Integrator &lt;&gt; "", Integrator, "")</f>
        <v>Mino</v>
      </c>
      <c r="D13" s="88"/>
      <c r="E13" s="298"/>
      <c r="F13" s="298"/>
      <c r="G13" s="299"/>
      <c r="H13" s="300"/>
      <c r="I13" s="300"/>
      <c r="J13" s="301"/>
      <c r="K13" s="302"/>
      <c r="L13" s="303"/>
      <c r="M13" s="302"/>
      <c r="N13" s="300"/>
      <c r="O13" s="302"/>
      <c r="P13" s="250" t="str">
        <f>IF(AND(Sensors[[#This Row],[Mechanical Unit Name]]&lt;&gt;"",Sensors[[#This Row],[Controls Sensor Group]]&lt;&gt;"",Sensors[[#This Row],[Controls Unit Name]]&lt;&gt;""),_xlfn.CONCAT("=",Sensors[[#This Row],[Controls Sensor Group]],"-",Sensors[[#This Row],[Controls Unit Name]]),"")</f>
        <v/>
      </c>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row>
    <row r="14" spans="1:127" ht="17.100000000000001" customHeight="1">
      <c r="B14" s="65" t="s">
        <v>7</v>
      </c>
      <c r="C14" s="94">
        <f>IF(DesignStatus &lt;&gt; "", DesignStatus, "")</f>
        <v>1</v>
      </c>
      <c r="E14" s="298"/>
      <c r="F14" s="298"/>
      <c r="G14" s="299"/>
      <c r="H14" s="300"/>
      <c r="I14" s="300"/>
      <c r="J14" s="301"/>
      <c r="K14" s="302"/>
      <c r="L14" s="303"/>
      <c r="M14" s="302"/>
      <c r="N14" s="300"/>
      <c r="O14" s="302"/>
      <c r="P14" s="250" t="str">
        <f>IF(AND(Sensors[[#This Row],[Mechanical Unit Name]]&lt;&gt;"",Sensors[[#This Row],[Controls Sensor Group]]&lt;&gt;"",Sensors[[#This Row],[Controls Unit Name]]&lt;&gt;""),_xlfn.CONCAT("=",Sensors[[#This Row],[Controls Sensor Group]],"-",Sensors[[#This Row],[Controls Unit Name]]),"")</f>
        <v/>
      </c>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row>
    <row r="15" spans="1:127" ht="17.100000000000001" customHeight="1">
      <c r="B15" s="65" t="s">
        <v>5</v>
      </c>
      <c r="C15" s="95" t="str">
        <f>IF(Date &lt;&gt; "", Date, "")</f>
        <v>1/15/2025</v>
      </c>
      <c r="E15" s="298"/>
      <c r="F15" s="298"/>
      <c r="G15" s="299"/>
      <c r="H15" s="300"/>
      <c r="I15" s="300"/>
      <c r="J15" s="301"/>
      <c r="K15" s="302"/>
      <c r="L15" s="303"/>
      <c r="M15" s="302"/>
      <c r="N15" s="300"/>
      <c r="O15" s="302"/>
      <c r="P15" s="250" t="str">
        <f>IF(AND(Sensors[[#This Row],[Mechanical Unit Name]]&lt;&gt;"",Sensors[[#This Row],[Controls Sensor Group]]&lt;&gt;"",Sensors[[#This Row],[Controls Unit Name]]&lt;&gt;""),_xlfn.CONCAT("=",Sensors[[#This Row],[Controls Sensor Group]],"-",Sensors[[#This Row],[Controls Unit Name]]),"")</f>
        <v/>
      </c>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row>
    <row r="16" spans="1:127" ht="17.100000000000001" customHeight="1">
      <c r="B16" s="65" t="s">
        <v>9</v>
      </c>
      <c r="C16" s="89" t="str">
        <f>IF(IntegratorResponsibleEngineer &lt;&gt; "", IntegratorResponsibleEngineer, "")</f>
        <v>wei  jiang</v>
      </c>
      <c r="E16" s="298"/>
      <c r="F16" s="298"/>
      <c r="G16" s="299"/>
      <c r="H16" s="300"/>
      <c r="I16" s="300"/>
      <c r="J16" s="301"/>
      <c r="K16" s="302"/>
      <c r="L16" s="303"/>
      <c r="M16" s="302"/>
      <c r="N16" s="300"/>
      <c r="O16" s="302"/>
      <c r="P16" s="250" t="str">
        <f>IF(AND(Sensors[[#This Row],[Mechanical Unit Name]]&lt;&gt;"",Sensors[[#This Row],[Controls Sensor Group]]&lt;&gt;"",Sensors[[#This Row],[Controls Unit Name]]&lt;&gt;""),_xlfn.CONCAT("=",Sensors[[#This Row],[Controls Sensor Group]],"-",Sensors[[#This Row],[Controls Unit Name]]),"")</f>
        <v/>
      </c>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row>
    <row r="17" spans="2:127" ht="17.100000000000001" customHeight="1">
      <c r="B17" s="65" t="s">
        <v>11</v>
      </c>
      <c r="C17" s="89" t="str">
        <f>IF(RivianResponsibleEngineer &lt;&gt; "", RivianResponsibleEngineer, "")</f>
        <v>Abraham Reyes</v>
      </c>
      <c r="E17" s="298"/>
      <c r="F17" s="298"/>
      <c r="G17" s="299"/>
      <c r="H17" s="300"/>
      <c r="I17" s="300"/>
      <c r="J17" s="301"/>
      <c r="K17" s="302"/>
      <c r="L17" s="303"/>
      <c r="M17" s="302"/>
      <c r="N17" s="300"/>
      <c r="O17" s="302"/>
      <c r="P17" s="250" t="str">
        <f>IF(AND(Sensors[[#This Row],[Mechanical Unit Name]]&lt;&gt;"",Sensors[[#This Row],[Controls Sensor Group]]&lt;&gt;"",Sensors[[#This Row],[Controls Unit Name]]&lt;&gt;""),_xlfn.CONCAT("=",Sensors[[#This Row],[Controls Sensor Group]],"-",Sensors[[#This Row],[Controls Unit Name]]),"")</f>
        <v/>
      </c>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row>
    <row r="18" spans="2:127" ht="17.100000000000001" customHeight="1">
      <c r="B18" s="65" t="s">
        <v>14</v>
      </c>
      <c r="C18" s="89" t="str">
        <f>IF(ManifoldConnection &lt;&gt; "", ManifoldConnection, "")</f>
        <v>M12 5-Pin</v>
      </c>
      <c r="E18" s="298"/>
      <c r="F18" s="298"/>
      <c r="G18" s="299"/>
      <c r="H18" s="300"/>
      <c r="I18" s="300"/>
      <c r="J18" s="301"/>
      <c r="K18" s="302"/>
      <c r="L18" s="303"/>
      <c r="M18" s="302"/>
      <c r="N18" s="300"/>
      <c r="O18" s="302"/>
      <c r="P18" s="250" t="str">
        <f>IF(AND(Sensors[[#This Row],[Mechanical Unit Name]]&lt;&gt;"",Sensors[[#This Row],[Controls Sensor Group]]&lt;&gt;"",Sensors[[#This Row],[Controls Unit Name]]&lt;&gt;""),_xlfn.CONCAT("=",Sensors[[#This Row],[Controls Sensor Group]],"-",Sensors[[#This Row],[Controls Unit Name]]),"")</f>
        <v/>
      </c>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row>
    <row r="19" spans="2:127" ht="17.100000000000001" customHeight="1">
      <c r="B19" s="65" t="s">
        <v>17</v>
      </c>
      <c r="C19" s="89" t="str">
        <f>IF(ToolType &lt;&gt; "", ToolType, "")</f>
        <v>Fixture</v>
      </c>
      <c r="E19" s="298"/>
      <c r="F19" s="298"/>
      <c r="G19" s="299"/>
      <c r="H19" s="300"/>
      <c r="I19" s="300"/>
      <c r="J19" s="301"/>
      <c r="K19" s="302"/>
      <c r="L19" s="303"/>
      <c r="M19" s="302"/>
      <c r="N19" s="300"/>
      <c r="O19" s="302"/>
      <c r="P19" s="250" t="str">
        <f>IF(AND(Sensors[[#This Row],[Mechanical Unit Name]]&lt;&gt;"",Sensors[[#This Row],[Controls Sensor Group]]&lt;&gt;"",Sensors[[#This Row],[Controls Unit Name]]&lt;&gt;""),_xlfn.CONCAT("=",Sensors[[#This Row],[Controls Sensor Group]],"-",Sensors[[#This Row],[Controls Unit Name]]),"")</f>
        <v/>
      </c>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row>
    <row r="20" spans="2:127" ht="17.100000000000001" customHeight="1">
      <c r="E20" s="298"/>
      <c r="F20" s="298"/>
      <c r="G20" s="299"/>
      <c r="H20" s="300"/>
      <c r="I20" s="300"/>
      <c r="J20" s="301"/>
      <c r="K20" s="302"/>
      <c r="L20" s="303"/>
      <c r="M20" s="302"/>
      <c r="N20" s="300"/>
      <c r="O20" s="302"/>
      <c r="P20" s="250" t="str">
        <f>IF(AND(Sensors[[#This Row],[Mechanical Unit Name]]&lt;&gt;"",Sensors[[#This Row],[Controls Sensor Group]]&lt;&gt;"",Sensors[[#This Row],[Controls Unit Name]]&lt;&gt;""),_xlfn.CONCAT("=",Sensors[[#This Row],[Controls Sensor Group]],"-",Sensors[[#This Row],[Controls Unit Name]]),"")</f>
        <v/>
      </c>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row>
    <row r="21" spans="2:127" ht="17.100000000000001" customHeight="1">
      <c r="B21" s="106"/>
      <c r="E21" s="298"/>
      <c r="F21" s="298"/>
      <c r="G21" s="299"/>
      <c r="H21" s="300"/>
      <c r="I21" s="300"/>
      <c r="J21" s="301"/>
      <c r="K21" s="302"/>
      <c r="L21" s="303"/>
      <c r="M21" s="302"/>
      <c r="N21" s="300"/>
      <c r="O21" s="302"/>
      <c r="P21" s="250" t="str">
        <f>IF(AND(Sensors[[#This Row],[Mechanical Unit Name]]&lt;&gt;"",Sensors[[#This Row],[Controls Sensor Group]]&lt;&gt;"",Sensors[[#This Row],[Controls Unit Name]]&lt;&gt;""),_xlfn.CONCAT("=",Sensors[[#This Row],[Controls Sensor Group]],"-",Sensors[[#This Row],[Controls Unit Name]]),"")</f>
        <v/>
      </c>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row>
    <row r="22" spans="2:127" ht="17.100000000000001" customHeight="1">
      <c r="E22" s="298"/>
      <c r="F22" s="298"/>
      <c r="G22" s="299"/>
      <c r="H22" s="300"/>
      <c r="I22" s="300"/>
      <c r="J22" s="301"/>
      <c r="K22" s="302"/>
      <c r="L22" s="303"/>
      <c r="M22" s="302"/>
      <c r="N22" s="300"/>
      <c r="O22" s="302"/>
      <c r="P22" s="250" t="str">
        <f>IF(AND(Sensors[[#This Row],[Mechanical Unit Name]]&lt;&gt;"",Sensors[[#This Row],[Controls Sensor Group]]&lt;&gt;"",Sensors[[#This Row],[Controls Unit Name]]&lt;&gt;""),_xlfn.CONCAT("=",Sensors[[#This Row],[Controls Sensor Group]],"-",Sensors[[#This Row],[Controls Unit Name]]),"")</f>
        <v/>
      </c>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row>
    <row r="23" spans="2:127" ht="17.100000000000001" customHeight="1">
      <c r="B23" s="78"/>
      <c r="E23" s="305"/>
      <c r="F23" s="305"/>
      <c r="G23" s="306"/>
      <c r="H23" s="307"/>
      <c r="I23" s="307"/>
      <c r="J23" s="308"/>
      <c r="K23" s="309"/>
      <c r="L23" s="310"/>
      <c r="M23" s="309"/>
      <c r="N23" s="307"/>
      <c r="O23" s="309"/>
      <c r="P23" s="250" t="str">
        <f>IF(AND(Sensors[[#This Row],[Mechanical Unit Name]]&lt;&gt;"",Sensors[[#This Row],[Controls Sensor Group]]&lt;&gt;"",Sensors[[#This Row],[Controls Unit Name]]&lt;&gt;""),_xlfn.CONCAT("=",Sensors[[#This Row],[Controls Sensor Group]],"-",Sensors[[#This Row],[Controls Unit Name]]),"")</f>
        <v/>
      </c>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row>
    <row r="24" spans="2:127" ht="17.100000000000001" customHeight="1">
      <c r="B24" s="78"/>
      <c r="E24" s="279"/>
      <c r="F24" s="279"/>
      <c r="G24" s="304"/>
      <c r="H24" s="279"/>
      <c r="I24" s="279"/>
      <c r="J24" s="301"/>
      <c r="K24" s="311"/>
      <c r="L24" s="312"/>
      <c r="M24" s="311"/>
      <c r="N24" s="279"/>
      <c r="O24" s="311"/>
      <c r="P24" s="250" t="str">
        <f>IF(AND(Sensors[[#This Row],[Mechanical Unit Name]]&lt;&gt;"",Sensors[[#This Row],[Controls Sensor Group]]&lt;&gt;"",Sensors[[#This Row],[Controls Unit Name]]&lt;&gt;""),_xlfn.CONCAT("=",Sensors[[#This Row],[Controls Sensor Group]],"-",Sensors[[#This Row],[Controls Unit Name]]),"")</f>
        <v/>
      </c>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row>
    <row r="25" spans="2:127" ht="17.100000000000001" customHeight="1">
      <c r="B25" s="78"/>
      <c r="E25" s="279"/>
      <c r="F25" s="279"/>
      <c r="G25" s="304"/>
      <c r="H25" s="279"/>
      <c r="I25" s="279"/>
      <c r="J25" s="301"/>
      <c r="K25" s="311"/>
      <c r="L25" s="312"/>
      <c r="M25" s="311"/>
      <c r="N25" s="279"/>
      <c r="O25" s="311"/>
      <c r="P25" s="250" t="str">
        <f>IF(AND(Sensors[[#This Row],[Mechanical Unit Name]]&lt;&gt;"",Sensors[[#This Row],[Controls Sensor Group]]&lt;&gt;"",Sensors[[#This Row],[Controls Unit Name]]&lt;&gt;""),_xlfn.CONCAT("=",Sensors[[#This Row],[Controls Sensor Group]],"-",Sensors[[#This Row],[Controls Unit Name]]),"")</f>
        <v/>
      </c>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row>
    <row r="26" spans="2:127" ht="17.100000000000001" customHeight="1">
      <c r="B26" s="78"/>
      <c r="E26" s="279"/>
      <c r="F26" s="279"/>
      <c r="G26" s="304"/>
      <c r="H26" s="279"/>
      <c r="I26" s="279"/>
      <c r="J26" s="301"/>
      <c r="K26" s="311"/>
      <c r="L26" s="312"/>
      <c r="M26" s="311"/>
      <c r="N26" s="279"/>
      <c r="O26" s="311"/>
      <c r="P26" s="250" t="str">
        <f>IF(AND(Sensors[[#This Row],[Mechanical Unit Name]]&lt;&gt;"",Sensors[[#This Row],[Controls Sensor Group]]&lt;&gt;"",Sensors[[#This Row],[Controls Unit Name]]&lt;&gt;""),_xlfn.CONCAT("=",Sensors[[#This Row],[Controls Sensor Group]],"-",Sensors[[#This Row],[Controls Unit Name]]),"")</f>
        <v/>
      </c>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row>
    <row r="27" spans="2:127" ht="17.100000000000001" customHeight="1">
      <c r="B27" s="78"/>
      <c r="E27" s="279"/>
      <c r="F27" s="279"/>
      <c r="G27" s="304"/>
      <c r="H27" s="279"/>
      <c r="I27" s="279"/>
      <c r="J27" s="301"/>
      <c r="K27" s="311"/>
      <c r="L27" s="312"/>
      <c r="M27" s="311"/>
      <c r="N27" s="279"/>
      <c r="O27" s="311"/>
      <c r="P27" s="250" t="str">
        <f>IF(AND(Sensors[[#This Row],[Mechanical Unit Name]]&lt;&gt;"",Sensors[[#This Row],[Controls Sensor Group]]&lt;&gt;"",Sensors[[#This Row],[Controls Unit Name]]&lt;&gt;""),_xlfn.CONCAT("=",Sensors[[#This Row],[Controls Sensor Group]],"-",Sensors[[#This Row],[Controls Unit Name]]),"")</f>
        <v/>
      </c>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row>
    <row r="28" spans="2:127" ht="17.100000000000001" customHeight="1">
      <c r="B28" s="78"/>
      <c r="E28" s="279"/>
      <c r="F28" s="279"/>
      <c r="G28" s="304"/>
      <c r="H28" s="279"/>
      <c r="I28" s="279"/>
      <c r="J28" s="301"/>
      <c r="K28" s="311"/>
      <c r="L28" s="312"/>
      <c r="M28" s="311"/>
      <c r="N28" s="279"/>
      <c r="O28" s="311"/>
      <c r="P28" s="250" t="str">
        <f>IF(AND(Sensors[[#This Row],[Mechanical Unit Name]]&lt;&gt;"",Sensors[[#This Row],[Controls Sensor Group]]&lt;&gt;"",Sensors[[#This Row],[Controls Unit Name]]&lt;&gt;""),_xlfn.CONCAT("=",Sensors[[#This Row],[Controls Sensor Group]],"-",Sensors[[#This Row],[Controls Unit Name]]),"")</f>
        <v/>
      </c>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row>
    <row r="29" spans="2:127" ht="17.100000000000001" customHeight="1">
      <c r="B29" s="78"/>
      <c r="E29" s="279"/>
      <c r="F29" s="279"/>
      <c r="G29" s="304"/>
      <c r="H29" s="279"/>
      <c r="I29" s="279"/>
      <c r="J29" s="301"/>
      <c r="K29" s="311"/>
      <c r="L29" s="312"/>
      <c r="M29" s="311"/>
      <c r="N29" s="279"/>
      <c r="O29" s="311"/>
      <c r="P29" s="250" t="str">
        <f>IF(AND(Sensors[[#This Row],[Mechanical Unit Name]]&lt;&gt;"",Sensors[[#This Row],[Controls Sensor Group]]&lt;&gt;"",Sensors[[#This Row],[Controls Unit Name]]&lt;&gt;""),_xlfn.CONCAT("=",Sensors[[#This Row],[Controls Sensor Group]],"-",Sensors[[#This Row],[Controls Unit Name]]),"")</f>
        <v/>
      </c>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row>
    <row r="30" spans="2:127" ht="17.100000000000001" customHeight="1">
      <c r="E30" s="279"/>
      <c r="F30" s="279"/>
      <c r="G30" s="304"/>
      <c r="H30" s="279"/>
      <c r="I30" s="279"/>
      <c r="J30" s="301"/>
      <c r="K30" s="311"/>
      <c r="L30" s="312"/>
      <c r="M30" s="311"/>
      <c r="N30" s="279"/>
      <c r="O30" s="311"/>
      <c r="P30" s="250" t="str">
        <f>IF(AND(Sensors[[#This Row],[Mechanical Unit Name]]&lt;&gt;"",Sensors[[#This Row],[Controls Sensor Group]]&lt;&gt;"",Sensors[[#This Row],[Controls Unit Name]]&lt;&gt;""),_xlfn.CONCAT("=",Sensors[[#This Row],[Controls Sensor Group]],"-",Sensors[[#This Row],[Controls Unit Name]]),"")</f>
        <v/>
      </c>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row>
    <row r="31" spans="2:127" ht="17.100000000000001" customHeight="1">
      <c r="E31" s="279"/>
      <c r="F31" s="279"/>
      <c r="G31" s="304"/>
      <c r="H31" s="279"/>
      <c r="I31" s="279"/>
      <c r="J31" s="301"/>
      <c r="K31" s="311"/>
      <c r="L31" s="312"/>
      <c r="M31" s="311"/>
      <c r="N31" s="279"/>
      <c r="O31" s="311"/>
      <c r="P31" s="250" t="str">
        <f>IF(AND(Sensors[[#This Row],[Mechanical Unit Name]]&lt;&gt;"",Sensors[[#This Row],[Controls Sensor Group]]&lt;&gt;"",Sensors[[#This Row],[Controls Unit Name]]&lt;&gt;""),_xlfn.CONCAT("=",Sensors[[#This Row],[Controls Sensor Group]],"-",Sensors[[#This Row],[Controls Unit Name]]),"")</f>
        <v/>
      </c>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row>
    <row r="32" spans="2:127" ht="17.100000000000001" customHeight="1">
      <c r="E32" s="279"/>
      <c r="F32" s="279"/>
      <c r="G32" s="304"/>
      <c r="H32" s="279"/>
      <c r="I32" s="279"/>
      <c r="J32" s="301"/>
      <c r="K32" s="311"/>
      <c r="L32" s="312"/>
      <c r="M32" s="311"/>
      <c r="N32" s="279"/>
      <c r="O32" s="311"/>
      <c r="P32" s="250" t="str">
        <f>IF(AND(Sensors[[#This Row],[Mechanical Unit Name]]&lt;&gt;"",Sensors[[#This Row],[Controls Sensor Group]]&lt;&gt;"",Sensors[[#This Row],[Controls Unit Name]]&lt;&gt;""),_xlfn.CONCAT("=",Sensors[[#This Row],[Controls Sensor Group]],"-",Sensors[[#This Row],[Controls Unit Name]]),"")</f>
        <v/>
      </c>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row>
    <row r="33" spans="2:127" ht="17.100000000000001" customHeight="1">
      <c r="E33" s="279"/>
      <c r="F33" s="279"/>
      <c r="G33" s="304"/>
      <c r="H33" s="279"/>
      <c r="I33" s="279"/>
      <c r="J33" s="301"/>
      <c r="K33" s="311"/>
      <c r="L33" s="312"/>
      <c r="M33" s="311"/>
      <c r="N33" s="279"/>
      <c r="O33" s="311"/>
      <c r="P33" s="250" t="str">
        <f>IF(AND(Sensors[[#This Row],[Mechanical Unit Name]]&lt;&gt;"",Sensors[[#This Row],[Controls Sensor Group]]&lt;&gt;"",Sensors[[#This Row],[Controls Unit Name]]&lt;&gt;""),_xlfn.CONCAT("=",Sensors[[#This Row],[Controls Sensor Group]],"-",Sensors[[#This Row],[Controls Unit Name]]),"")</f>
        <v/>
      </c>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row>
    <row r="34" spans="2:127" ht="17.100000000000001" customHeight="1">
      <c r="B34" s="107"/>
      <c r="E34" s="279"/>
      <c r="F34" s="279"/>
      <c r="G34" s="313"/>
      <c r="H34" s="279"/>
      <c r="I34" s="279"/>
      <c r="J34" s="301"/>
      <c r="K34" s="311"/>
      <c r="L34" s="312"/>
      <c r="M34" s="311"/>
      <c r="N34" s="279"/>
      <c r="O34" s="311"/>
      <c r="P34" s="250" t="str">
        <f>IF(AND(Sensors[[#This Row],[Mechanical Unit Name]]&lt;&gt;"",Sensors[[#This Row],[Controls Sensor Group]]&lt;&gt;"",Sensors[[#This Row],[Controls Unit Name]]&lt;&gt;""),_xlfn.CONCAT("=",Sensors[[#This Row],[Controls Sensor Group]],"-",Sensors[[#This Row],[Controls Unit Name]]),"")</f>
        <v/>
      </c>
    </row>
    <row r="35" spans="2:127" ht="16.899999999999999" customHeight="1">
      <c r="B35" s="78"/>
      <c r="E35" s="279"/>
      <c r="F35" s="279"/>
      <c r="G35" s="304"/>
      <c r="H35" s="279"/>
      <c r="I35" s="279"/>
      <c r="J35" s="301"/>
      <c r="K35" s="311"/>
      <c r="L35" s="312"/>
      <c r="M35" s="311"/>
      <c r="N35" s="279"/>
      <c r="O35" s="311"/>
      <c r="P35" s="250" t="str">
        <f>IF(AND(Sensors[[#This Row],[Mechanical Unit Name]]&lt;&gt;"",Sensors[[#This Row],[Controls Sensor Group]]&lt;&gt;"",Sensors[[#This Row],[Controls Unit Name]]&lt;&gt;""),_xlfn.CONCAT("=",Sensors[[#This Row],[Controls Sensor Group]],"-",Sensors[[#This Row],[Controls Unit Name]]),"")</f>
        <v/>
      </c>
    </row>
    <row r="36" spans="2:127" ht="17.100000000000001" customHeight="1">
      <c r="E36" s="279"/>
      <c r="F36" s="279"/>
      <c r="G36" s="304"/>
      <c r="H36" s="279"/>
      <c r="I36" s="279"/>
      <c r="J36" s="301"/>
      <c r="K36" s="311"/>
      <c r="L36" s="312"/>
      <c r="M36" s="311"/>
      <c r="N36" s="279"/>
      <c r="O36" s="311"/>
      <c r="P36" s="250" t="str">
        <f>IF(AND(Sensors[[#This Row],[Mechanical Unit Name]]&lt;&gt;"",Sensors[[#This Row],[Controls Sensor Group]]&lt;&gt;"",Sensors[[#This Row],[Controls Unit Name]]&lt;&gt;""),_xlfn.CONCAT("=",Sensors[[#This Row],[Controls Sensor Group]],"-",Sensors[[#This Row],[Controls Unit Name]]),"")</f>
        <v/>
      </c>
    </row>
    <row r="37" spans="2:127" ht="17.100000000000001" customHeight="1">
      <c r="E37" s="279"/>
      <c r="F37" s="279"/>
      <c r="G37" s="304"/>
      <c r="H37" s="279"/>
      <c r="I37" s="279"/>
      <c r="J37" s="301"/>
      <c r="K37" s="311"/>
      <c r="L37" s="312"/>
      <c r="M37" s="311"/>
      <c r="N37" s="279"/>
      <c r="O37" s="311"/>
      <c r="P37" s="250" t="str">
        <f>IF(AND(Sensors[[#This Row],[Mechanical Unit Name]]&lt;&gt;"",Sensors[[#This Row],[Controls Sensor Group]]&lt;&gt;"",Sensors[[#This Row],[Controls Unit Name]]&lt;&gt;""),_xlfn.CONCAT("=",Sensors[[#This Row],[Controls Sensor Group]],"-",Sensors[[#This Row],[Controls Unit Name]]),"")</f>
        <v/>
      </c>
    </row>
    <row r="38" spans="2:127" ht="17.100000000000001" customHeight="1">
      <c r="E38" s="279"/>
      <c r="F38" s="279"/>
      <c r="G38" s="304"/>
      <c r="H38" s="279"/>
      <c r="I38" s="279"/>
      <c r="J38" s="301"/>
      <c r="K38" s="311"/>
      <c r="L38" s="312"/>
      <c r="M38" s="311"/>
      <c r="N38" s="279"/>
      <c r="O38" s="311"/>
      <c r="P38" s="250" t="str">
        <f>IF(AND(Sensors[[#This Row],[Mechanical Unit Name]]&lt;&gt;"",Sensors[[#This Row],[Controls Sensor Group]]&lt;&gt;"",Sensors[[#This Row],[Controls Unit Name]]&lt;&gt;""),_xlfn.CONCAT("=",Sensors[[#This Row],[Controls Sensor Group]],"-",Sensors[[#This Row],[Controls Unit Name]]),"")</f>
        <v/>
      </c>
    </row>
    <row r="39" spans="2:127" ht="17.100000000000001" customHeight="1">
      <c r="E39" s="279"/>
      <c r="F39" s="279"/>
      <c r="G39" s="304"/>
      <c r="H39" s="279"/>
      <c r="I39" s="279"/>
      <c r="J39" s="301"/>
      <c r="K39" s="311"/>
      <c r="L39" s="312"/>
      <c r="M39" s="311"/>
      <c r="N39" s="279"/>
      <c r="O39" s="311"/>
      <c r="P39" s="250" t="str">
        <f>IF(AND(Sensors[[#This Row],[Mechanical Unit Name]]&lt;&gt;"",Sensors[[#This Row],[Controls Sensor Group]]&lt;&gt;"",Sensors[[#This Row],[Controls Unit Name]]&lt;&gt;""),_xlfn.CONCAT("=",Sensors[[#This Row],[Controls Sensor Group]],"-",Sensors[[#This Row],[Controls Unit Name]]),"")</f>
        <v/>
      </c>
    </row>
    <row r="40" spans="2:127" ht="17.100000000000001" customHeight="1">
      <c r="B40" s="78"/>
      <c r="E40" s="279"/>
      <c r="F40" s="279"/>
      <c r="G40" s="304"/>
      <c r="H40" s="279"/>
      <c r="I40" s="279"/>
      <c r="J40" s="301"/>
      <c r="K40" s="311"/>
      <c r="L40" s="312"/>
      <c r="M40" s="311"/>
      <c r="N40" s="279"/>
      <c r="O40" s="311"/>
      <c r="P40" s="250" t="str">
        <f>IF(AND(Sensors[[#This Row],[Mechanical Unit Name]]&lt;&gt;"",Sensors[[#This Row],[Controls Sensor Group]]&lt;&gt;"",Sensors[[#This Row],[Controls Unit Name]]&lt;&gt;""),_xlfn.CONCAT("=",Sensors[[#This Row],[Controls Sensor Group]],"-",Sensors[[#This Row],[Controls Unit Name]]),"")</f>
        <v/>
      </c>
    </row>
    <row r="41" spans="2:127" ht="17.100000000000001" customHeight="1">
      <c r="B41" s="78"/>
      <c r="E41" s="279"/>
      <c r="F41" s="279"/>
      <c r="G41" s="304"/>
      <c r="H41" s="279"/>
      <c r="I41" s="279"/>
      <c r="J41" s="301"/>
      <c r="K41" s="311"/>
      <c r="L41" s="312"/>
      <c r="M41" s="311"/>
      <c r="N41" s="279"/>
      <c r="O41" s="311"/>
      <c r="P41" s="250" t="str">
        <f>IF(AND(Sensors[[#This Row],[Mechanical Unit Name]]&lt;&gt;"",Sensors[[#This Row],[Controls Sensor Group]]&lt;&gt;"",Sensors[[#This Row],[Controls Unit Name]]&lt;&gt;""),_xlfn.CONCAT("=",Sensors[[#This Row],[Controls Sensor Group]],"-",Sensors[[#This Row],[Controls Unit Name]]),"")</f>
        <v/>
      </c>
    </row>
    <row r="42" spans="2:127" ht="17.100000000000001" customHeight="1">
      <c r="B42" s="78"/>
      <c r="E42" s="279"/>
      <c r="F42" s="279"/>
      <c r="G42" s="304"/>
      <c r="H42" s="279"/>
      <c r="I42" s="279"/>
      <c r="J42" s="301"/>
      <c r="K42" s="311"/>
      <c r="L42" s="312"/>
      <c r="M42" s="311"/>
      <c r="N42" s="279"/>
      <c r="O42" s="311"/>
      <c r="P42" s="250" t="str">
        <f>IF(AND(Sensors[[#This Row],[Mechanical Unit Name]]&lt;&gt;"",Sensors[[#This Row],[Controls Sensor Group]]&lt;&gt;"",Sensors[[#This Row],[Controls Unit Name]]&lt;&gt;""),_xlfn.CONCAT("=",Sensors[[#This Row],[Controls Sensor Group]],"-",Sensors[[#This Row],[Controls Unit Name]]),"")</f>
        <v/>
      </c>
    </row>
    <row r="43" spans="2:127" ht="17.100000000000001" customHeight="1">
      <c r="B43" s="78"/>
      <c r="E43" s="279"/>
      <c r="F43" s="279"/>
      <c r="G43" s="304"/>
      <c r="H43" s="279"/>
      <c r="I43" s="279"/>
      <c r="J43" s="301"/>
      <c r="K43" s="311"/>
      <c r="L43" s="312"/>
      <c r="M43" s="311"/>
      <c r="N43" s="279"/>
      <c r="O43" s="311"/>
      <c r="P43" s="250" t="str">
        <f>IF(AND(Sensors[[#This Row],[Mechanical Unit Name]]&lt;&gt;"",Sensors[[#This Row],[Controls Sensor Group]]&lt;&gt;"",Sensors[[#This Row],[Controls Unit Name]]&lt;&gt;""),_xlfn.CONCAT("=",Sensors[[#This Row],[Controls Sensor Group]],"-",Sensors[[#This Row],[Controls Unit Name]]),"")</f>
        <v/>
      </c>
    </row>
    <row r="44" spans="2:127" ht="17.100000000000001" customHeight="1">
      <c r="E44" s="279"/>
      <c r="F44" s="279"/>
      <c r="G44" s="304"/>
      <c r="H44" s="279"/>
      <c r="I44" s="279"/>
      <c r="J44" s="301"/>
      <c r="K44" s="311"/>
      <c r="L44" s="312"/>
      <c r="M44" s="311"/>
      <c r="N44" s="279"/>
      <c r="O44" s="311"/>
      <c r="P44" s="250" t="str">
        <f>IF(AND(Sensors[[#This Row],[Mechanical Unit Name]]&lt;&gt;"",Sensors[[#This Row],[Controls Sensor Group]]&lt;&gt;"",Sensors[[#This Row],[Controls Unit Name]]&lt;&gt;""),_xlfn.CONCAT("=",Sensors[[#This Row],[Controls Sensor Group]],"-",Sensors[[#This Row],[Controls Unit Name]]),"")</f>
        <v/>
      </c>
    </row>
    <row r="45" spans="2:127" ht="17.100000000000001" customHeight="1">
      <c r="E45" s="279"/>
      <c r="F45" s="279"/>
      <c r="G45" s="304"/>
      <c r="H45" s="279"/>
      <c r="I45" s="279"/>
      <c r="J45" s="301"/>
      <c r="K45" s="311"/>
      <c r="L45" s="312"/>
      <c r="M45" s="311"/>
      <c r="N45" s="279"/>
      <c r="O45" s="311"/>
      <c r="P45" s="250" t="str">
        <f>IF(AND(Sensors[[#This Row],[Mechanical Unit Name]]&lt;&gt;"",Sensors[[#This Row],[Controls Sensor Group]]&lt;&gt;"",Sensors[[#This Row],[Controls Unit Name]]&lt;&gt;""),_xlfn.CONCAT("=",Sensors[[#This Row],[Controls Sensor Group]],"-",Sensors[[#This Row],[Controls Unit Name]]),"")</f>
        <v/>
      </c>
    </row>
    <row r="46" spans="2:127" ht="17.100000000000001" customHeight="1">
      <c r="E46" s="279"/>
      <c r="F46" s="279"/>
      <c r="G46" s="304"/>
      <c r="H46" s="279"/>
      <c r="I46" s="279"/>
      <c r="J46" s="301"/>
      <c r="K46" s="311"/>
      <c r="L46" s="312"/>
      <c r="M46" s="311"/>
      <c r="N46" s="279"/>
      <c r="O46" s="311"/>
      <c r="P46" s="250" t="str">
        <f>IF(AND(Sensors[[#This Row],[Mechanical Unit Name]]&lt;&gt;"",Sensors[[#This Row],[Controls Sensor Group]]&lt;&gt;"",Sensors[[#This Row],[Controls Unit Name]]&lt;&gt;""),_xlfn.CONCAT("=",Sensors[[#This Row],[Controls Sensor Group]],"-",Sensors[[#This Row],[Controls Unit Name]]),"")</f>
        <v/>
      </c>
    </row>
    <row r="47" spans="2:127" ht="17.100000000000001" customHeight="1">
      <c r="E47" s="279"/>
      <c r="F47" s="279"/>
      <c r="G47" s="304"/>
      <c r="H47" s="279"/>
      <c r="I47" s="279"/>
      <c r="J47" s="301"/>
      <c r="K47" s="311"/>
      <c r="L47" s="312"/>
      <c r="M47" s="311"/>
      <c r="N47" s="279"/>
      <c r="O47" s="311"/>
      <c r="P47" s="250" t="str">
        <f>IF(AND(Sensors[[#This Row],[Mechanical Unit Name]]&lt;&gt;"",Sensors[[#This Row],[Controls Sensor Group]]&lt;&gt;"",Sensors[[#This Row],[Controls Unit Name]]&lt;&gt;""),_xlfn.CONCAT("=",Sensors[[#This Row],[Controls Sensor Group]],"-",Sensors[[#This Row],[Controls Unit Name]]),"")</f>
        <v/>
      </c>
    </row>
    <row r="48" spans="2:127" ht="17.100000000000001" customHeight="1">
      <c r="E48" s="279"/>
      <c r="F48" s="279"/>
      <c r="G48" s="304"/>
      <c r="H48" s="279"/>
      <c r="I48" s="279"/>
      <c r="J48" s="301"/>
      <c r="K48" s="311"/>
      <c r="L48" s="312"/>
      <c r="M48" s="311"/>
      <c r="N48" s="279"/>
      <c r="O48" s="311"/>
      <c r="P48" s="250" t="str">
        <f>IF(AND(Sensors[[#This Row],[Mechanical Unit Name]]&lt;&gt;"",Sensors[[#This Row],[Controls Sensor Group]]&lt;&gt;"",Sensors[[#This Row],[Controls Unit Name]]&lt;&gt;""),_xlfn.CONCAT("=",Sensors[[#This Row],[Controls Sensor Group]],"-",Sensors[[#This Row],[Controls Unit Name]]),"")</f>
        <v/>
      </c>
    </row>
    <row r="49" spans="5:16" ht="17.100000000000001" customHeight="1">
      <c r="E49" s="279"/>
      <c r="F49" s="279"/>
      <c r="G49" s="304"/>
      <c r="H49" s="279"/>
      <c r="I49" s="279"/>
      <c r="J49" s="301"/>
      <c r="K49" s="311"/>
      <c r="L49" s="312"/>
      <c r="M49" s="311"/>
      <c r="N49" s="279"/>
      <c r="O49" s="311"/>
      <c r="P49" s="250" t="str">
        <f>IF(AND(Sensors[[#This Row],[Mechanical Unit Name]]&lt;&gt;"",Sensors[[#This Row],[Controls Sensor Group]]&lt;&gt;"",Sensors[[#This Row],[Controls Unit Name]]&lt;&gt;""),_xlfn.CONCAT("=",Sensors[[#This Row],[Controls Sensor Group]],"-",Sensors[[#This Row],[Controls Unit Name]]),"")</f>
        <v/>
      </c>
    </row>
    <row r="50" spans="5:16" ht="17.100000000000001" customHeight="1">
      <c r="E50" s="279"/>
      <c r="F50" s="279"/>
      <c r="G50" s="304"/>
      <c r="H50" s="279"/>
      <c r="I50" s="279"/>
      <c r="J50" s="301"/>
      <c r="K50" s="311"/>
      <c r="L50" s="312"/>
      <c r="M50" s="311"/>
      <c r="N50" s="279"/>
      <c r="O50" s="311"/>
      <c r="P50" s="250" t="str">
        <f>IF(AND(Sensors[[#This Row],[Mechanical Unit Name]]&lt;&gt;"",Sensors[[#This Row],[Controls Sensor Group]]&lt;&gt;"",Sensors[[#This Row],[Controls Unit Name]]&lt;&gt;""),_xlfn.CONCAT("=",Sensors[[#This Row],[Controls Sensor Group]],"-",Sensors[[#This Row],[Controls Unit Name]]),"")</f>
        <v/>
      </c>
    </row>
    <row r="51" spans="5:16" ht="17.100000000000001" customHeight="1">
      <c r="E51" s="279"/>
      <c r="F51" s="279"/>
      <c r="G51" s="304"/>
      <c r="H51" s="279"/>
      <c r="I51" s="279"/>
      <c r="J51" s="301"/>
      <c r="K51" s="311"/>
      <c r="L51" s="312"/>
      <c r="M51" s="311"/>
      <c r="N51" s="279"/>
      <c r="O51" s="311"/>
      <c r="P51" s="250" t="str">
        <f>IF(AND(Sensors[[#This Row],[Mechanical Unit Name]]&lt;&gt;"",Sensors[[#This Row],[Controls Sensor Group]]&lt;&gt;"",Sensors[[#This Row],[Controls Unit Name]]&lt;&gt;""),_xlfn.CONCAT("=",Sensors[[#This Row],[Controls Sensor Group]],"-",Sensors[[#This Row],[Controls Unit Name]]),"")</f>
        <v/>
      </c>
    </row>
    <row r="52" spans="5:16" ht="17.100000000000001" customHeight="1">
      <c r="E52" s="279"/>
      <c r="F52" s="279"/>
      <c r="G52" s="304"/>
      <c r="H52" s="279"/>
      <c r="I52" s="279"/>
      <c r="J52" s="301"/>
      <c r="K52" s="311"/>
      <c r="L52" s="312"/>
      <c r="M52" s="311"/>
      <c r="N52" s="279"/>
      <c r="O52" s="311"/>
      <c r="P52" s="250" t="str">
        <f>IF(AND(Sensors[[#This Row],[Mechanical Unit Name]]&lt;&gt;"",Sensors[[#This Row],[Controls Sensor Group]]&lt;&gt;"",Sensors[[#This Row],[Controls Unit Name]]&lt;&gt;""),_xlfn.CONCAT("=",Sensors[[#This Row],[Controls Sensor Group]],"-",Sensors[[#This Row],[Controls Unit Name]]),"")</f>
        <v/>
      </c>
    </row>
    <row r="53" spans="5:16" ht="17.100000000000001" customHeight="1">
      <c r="E53" s="279"/>
      <c r="F53" s="279"/>
      <c r="G53" s="304"/>
      <c r="H53" s="279"/>
      <c r="I53" s="279"/>
      <c r="J53" s="301"/>
      <c r="K53" s="311"/>
      <c r="L53" s="312"/>
      <c r="M53" s="311"/>
      <c r="N53" s="279"/>
      <c r="O53" s="311"/>
      <c r="P53" s="250" t="str">
        <f>IF(AND(Sensors[[#This Row],[Mechanical Unit Name]]&lt;&gt;"",Sensors[[#This Row],[Controls Sensor Group]]&lt;&gt;"",Sensors[[#This Row],[Controls Unit Name]]&lt;&gt;""),_xlfn.CONCAT("=",Sensors[[#This Row],[Controls Sensor Group]],"-",Sensors[[#This Row],[Controls Unit Name]]),"")</f>
        <v/>
      </c>
    </row>
    <row r="54" spans="5:16" ht="17.100000000000001" customHeight="1">
      <c r="E54" s="279"/>
      <c r="F54" s="279"/>
      <c r="G54" s="304"/>
      <c r="H54" s="279"/>
      <c r="I54" s="279"/>
      <c r="J54" s="301"/>
      <c r="K54" s="311"/>
      <c r="L54" s="312"/>
      <c r="M54" s="311"/>
      <c r="N54" s="279"/>
      <c r="O54" s="311"/>
      <c r="P54" s="250" t="str">
        <f>IF(AND(Sensors[[#This Row],[Mechanical Unit Name]]&lt;&gt;"",Sensors[[#This Row],[Controls Sensor Group]]&lt;&gt;"",Sensors[[#This Row],[Controls Unit Name]]&lt;&gt;""),_xlfn.CONCAT("=",Sensors[[#This Row],[Controls Sensor Group]],"-",Sensors[[#This Row],[Controls Unit Name]]),"")</f>
        <v/>
      </c>
    </row>
    <row r="55" spans="5:16" ht="17.100000000000001" customHeight="1">
      <c r="E55" s="279"/>
      <c r="F55" s="279"/>
      <c r="G55" s="304"/>
      <c r="H55" s="279"/>
      <c r="I55" s="279"/>
      <c r="J55" s="301"/>
      <c r="K55" s="311"/>
      <c r="L55" s="312"/>
      <c r="M55" s="311"/>
      <c r="N55" s="279"/>
      <c r="O55" s="311"/>
      <c r="P55" s="250" t="str">
        <f>IF(AND(Sensors[[#This Row],[Mechanical Unit Name]]&lt;&gt;"",Sensors[[#This Row],[Controls Sensor Group]]&lt;&gt;"",Sensors[[#This Row],[Controls Unit Name]]&lt;&gt;""),_xlfn.CONCAT("=",Sensors[[#This Row],[Controls Sensor Group]],"-",Sensors[[#This Row],[Controls Unit Name]]),"")</f>
        <v/>
      </c>
    </row>
    <row r="56" spans="5:16" ht="17.100000000000001" customHeight="1">
      <c r="E56" s="279"/>
      <c r="F56" s="279"/>
      <c r="G56" s="304"/>
      <c r="H56" s="279"/>
      <c r="I56" s="279"/>
      <c r="J56" s="301"/>
      <c r="K56" s="311"/>
      <c r="L56" s="312"/>
      <c r="M56" s="311"/>
      <c r="N56" s="279"/>
      <c r="O56" s="311"/>
      <c r="P56" s="250" t="str">
        <f>IF(AND(Sensors[[#This Row],[Mechanical Unit Name]]&lt;&gt;"",Sensors[[#This Row],[Controls Sensor Group]]&lt;&gt;"",Sensors[[#This Row],[Controls Unit Name]]&lt;&gt;""),_xlfn.CONCAT("=",Sensors[[#This Row],[Controls Sensor Group]],"-",Sensors[[#This Row],[Controls Unit Name]]),"")</f>
        <v/>
      </c>
    </row>
    <row r="57" spans="5:16" ht="17.100000000000001" customHeight="1">
      <c r="E57" s="279"/>
      <c r="F57" s="279"/>
      <c r="G57" s="304"/>
      <c r="H57" s="279"/>
      <c r="I57" s="279"/>
      <c r="J57" s="301"/>
      <c r="K57" s="311"/>
      <c r="L57" s="312"/>
      <c r="M57" s="311"/>
      <c r="N57" s="279"/>
      <c r="O57" s="311"/>
      <c r="P57" s="250" t="str">
        <f>IF(AND(Sensors[[#This Row],[Mechanical Unit Name]]&lt;&gt;"",Sensors[[#This Row],[Controls Sensor Group]]&lt;&gt;"",Sensors[[#This Row],[Controls Unit Name]]&lt;&gt;""),_xlfn.CONCAT("=",Sensors[[#This Row],[Controls Sensor Group]],"-",Sensors[[#This Row],[Controls Unit Name]]),"")</f>
        <v/>
      </c>
    </row>
    <row r="58" spans="5:16" ht="17.100000000000001" customHeight="1">
      <c r="E58" s="279"/>
      <c r="F58" s="279"/>
      <c r="G58" s="304"/>
      <c r="H58" s="279"/>
      <c r="I58" s="279"/>
      <c r="J58" s="301"/>
      <c r="K58" s="311"/>
      <c r="L58" s="312"/>
      <c r="M58" s="311"/>
      <c r="N58" s="279"/>
      <c r="O58" s="311"/>
      <c r="P58" s="250" t="str">
        <f>IF(AND(Sensors[[#This Row],[Mechanical Unit Name]]&lt;&gt;"",Sensors[[#This Row],[Controls Sensor Group]]&lt;&gt;"",Sensors[[#This Row],[Controls Unit Name]]&lt;&gt;""),_xlfn.CONCAT("=",Sensors[[#This Row],[Controls Sensor Group]],"-",Sensors[[#This Row],[Controls Unit Name]]),"")</f>
        <v/>
      </c>
    </row>
    <row r="59" spans="5:16" ht="17.100000000000001" customHeight="1">
      <c r="E59" s="279"/>
      <c r="F59" s="279"/>
      <c r="G59" s="304"/>
      <c r="H59" s="279"/>
      <c r="I59" s="279"/>
      <c r="J59" s="301"/>
      <c r="K59" s="311"/>
      <c r="L59" s="312"/>
      <c r="M59" s="311"/>
      <c r="N59" s="279"/>
      <c r="O59" s="311"/>
      <c r="P59" s="250" t="str">
        <f>IF(AND(Sensors[[#This Row],[Mechanical Unit Name]]&lt;&gt;"",Sensors[[#This Row],[Controls Sensor Group]]&lt;&gt;"",Sensors[[#This Row],[Controls Unit Name]]&lt;&gt;""),_xlfn.CONCAT("=",Sensors[[#This Row],[Controls Sensor Group]],"-",Sensors[[#This Row],[Controls Unit Name]]),"")</f>
        <v/>
      </c>
    </row>
    <row r="60" spans="5:16" ht="17.100000000000001" customHeight="1">
      <c r="E60" s="279"/>
      <c r="F60" s="279"/>
      <c r="G60" s="304"/>
      <c r="H60" s="279"/>
      <c r="I60" s="279"/>
      <c r="J60" s="301"/>
      <c r="K60" s="311"/>
      <c r="L60" s="312"/>
      <c r="M60" s="311"/>
      <c r="N60" s="279"/>
      <c r="O60" s="311"/>
      <c r="P60" s="250" t="str">
        <f>IF(AND(Sensors[[#This Row],[Mechanical Unit Name]]&lt;&gt;"",Sensors[[#This Row],[Controls Sensor Group]]&lt;&gt;"",Sensors[[#This Row],[Controls Unit Name]]&lt;&gt;""),_xlfn.CONCAT("=",Sensors[[#This Row],[Controls Sensor Group]],"-",Sensors[[#This Row],[Controls Unit Name]]),"")</f>
        <v/>
      </c>
    </row>
    <row r="61" spans="5:16" ht="17.100000000000001" customHeight="1">
      <c r="E61" s="279"/>
      <c r="F61" s="279"/>
      <c r="G61" s="304"/>
      <c r="H61" s="279"/>
      <c r="I61" s="279"/>
      <c r="J61" s="301"/>
      <c r="K61" s="311"/>
      <c r="L61" s="312"/>
      <c r="M61" s="311"/>
      <c r="N61" s="279"/>
      <c r="O61" s="311"/>
      <c r="P61" s="250" t="str">
        <f>IF(AND(Sensors[[#This Row],[Mechanical Unit Name]]&lt;&gt;"",Sensors[[#This Row],[Controls Sensor Group]]&lt;&gt;"",Sensors[[#This Row],[Controls Unit Name]]&lt;&gt;""),_xlfn.CONCAT("=",Sensors[[#This Row],[Controls Sensor Group]],"-",Sensors[[#This Row],[Controls Unit Name]]),"")</f>
        <v/>
      </c>
    </row>
    <row r="62" spans="5:16" ht="17.100000000000001" customHeight="1">
      <c r="E62" s="279"/>
      <c r="F62" s="279"/>
      <c r="G62" s="304"/>
      <c r="H62" s="279"/>
      <c r="I62" s="279"/>
      <c r="J62" s="301"/>
      <c r="K62" s="311"/>
      <c r="L62" s="312"/>
      <c r="M62" s="311"/>
      <c r="N62" s="279"/>
      <c r="O62" s="311"/>
      <c r="P62" s="250" t="str">
        <f>IF(AND(Sensors[[#This Row],[Mechanical Unit Name]]&lt;&gt;"",Sensors[[#This Row],[Controls Sensor Group]]&lt;&gt;"",Sensors[[#This Row],[Controls Unit Name]]&lt;&gt;""),_xlfn.CONCAT("=",Sensors[[#This Row],[Controls Sensor Group]],"-",Sensors[[#This Row],[Controls Unit Name]]),"")</f>
        <v/>
      </c>
    </row>
    <row r="63" spans="5:16" ht="17.100000000000001" customHeight="1">
      <c r="E63" s="279"/>
      <c r="F63" s="279"/>
      <c r="G63" s="304"/>
      <c r="H63" s="279"/>
      <c r="I63" s="279"/>
      <c r="J63" s="301"/>
      <c r="K63" s="311"/>
      <c r="L63" s="312"/>
      <c r="M63" s="311"/>
      <c r="N63" s="279"/>
      <c r="O63" s="311"/>
      <c r="P63" s="250" t="str">
        <f>IF(AND(Sensors[[#This Row],[Mechanical Unit Name]]&lt;&gt;"",Sensors[[#This Row],[Controls Sensor Group]]&lt;&gt;"",Sensors[[#This Row],[Controls Unit Name]]&lt;&gt;""),_xlfn.CONCAT("=",Sensors[[#This Row],[Controls Sensor Group]],"-",Sensors[[#This Row],[Controls Unit Name]]),"")</f>
        <v/>
      </c>
    </row>
    <row r="64" spans="5:16" ht="17.100000000000001" customHeight="1">
      <c r="E64" s="279"/>
      <c r="F64" s="279"/>
      <c r="G64" s="304"/>
      <c r="H64" s="279"/>
      <c r="I64" s="279"/>
      <c r="J64" s="301"/>
      <c r="K64" s="311"/>
      <c r="L64" s="312"/>
      <c r="M64" s="311"/>
      <c r="N64" s="279"/>
      <c r="O64" s="311"/>
      <c r="P64" s="250" t="str">
        <f>IF(AND(Sensors[[#This Row],[Mechanical Unit Name]]&lt;&gt;"",Sensors[[#This Row],[Controls Sensor Group]]&lt;&gt;"",Sensors[[#This Row],[Controls Unit Name]]&lt;&gt;""),_xlfn.CONCAT("=",Sensors[[#This Row],[Controls Sensor Group]],"-",Sensors[[#This Row],[Controls Unit Name]]),"")</f>
        <v/>
      </c>
    </row>
    <row r="65" spans="5:16" ht="17.100000000000001" customHeight="1">
      <c r="E65" s="279"/>
      <c r="F65" s="279"/>
      <c r="G65" s="304"/>
      <c r="H65" s="279"/>
      <c r="I65" s="279"/>
      <c r="J65" s="301"/>
      <c r="K65" s="311"/>
      <c r="L65" s="312"/>
      <c r="M65" s="311"/>
      <c r="N65" s="279"/>
      <c r="O65" s="311"/>
      <c r="P65" s="250" t="str">
        <f>IF(AND(Sensors[[#This Row],[Mechanical Unit Name]]&lt;&gt;"",Sensors[[#This Row],[Controls Sensor Group]]&lt;&gt;"",Sensors[[#This Row],[Controls Unit Name]]&lt;&gt;""),_xlfn.CONCAT("=",Sensors[[#This Row],[Controls Sensor Group]],"-",Sensors[[#This Row],[Controls Unit Name]]),"")</f>
        <v/>
      </c>
    </row>
    <row r="66" spans="5:16" ht="17.100000000000001" customHeight="1">
      <c r="E66" s="279"/>
      <c r="F66" s="279"/>
      <c r="G66" s="304"/>
      <c r="H66" s="279"/>
      <c r="I66" s="279"/>
      <c r="J66" s="301"/>
      <c r="K66" s="311"/>
      <c r="L66" s="312"/>
      <c r="M66" s="311"/>
      <c r="N66" s="279"/>
      <c r="O66" s="311"/>
      <c r="P66" s="250" t="str">
        <f>IF(AND(Sensors[[#This Row],[Mechanical Unit Name]]&lt;&gt;"",Sensors[[#This Row],[Controls Sensor Group]]&lt;&gt;"",Sensors[[#This Row],[Controls Unit Name]]&lt;&gt;""),_xlfn.CONCAT("=",Sensors[[#This Row],[Controls Sensor Group]],"-",Sensors[[#This Row],[Controls Unit Name]]),"")</f>
        <v/>
      </c>
    </row>
    <row r="67" spans="5:16" ht="17.100000000000001" customHeight="1">
      <c r="E67" s="279"/>
      <c r="F67" s="279"/>
      <c r="G67" s="304"/>
      <c r="H67" s="279"/>
      <c r="I67" s="279"/>
      <c r="J67" s="301"/>
      <c r="K67" s="311"/>
      <c r="L67" s="312"/>
      <c r="M67" s="311"/>
      <c r="N67" s="279"/>
      <c r="O67" s="311"/>
      <c r="P67" s="250" t="str">
        <f>IF(AND(Sensors[[#This Row],[Mechanical Unit Name]]&lt;&gt;"",Sensors[[#This Row],[Controls Sensor Group]]&lt;&gt;"",Sensors[[#This Row],[Controls Unit Name]]&lt;&gt;""),_xlfn.CONCAT("=",Sensors[[#This Row],[Controls Sensor Group]],"-",Sensors[[#This Row],[Controls Unit Name]]),"")</f>
        <v/>
      </c>
    </row>
    <row r="68" spans="5:16" ht="17.100000000000001" customHeight="1">
      <c r="E68" s="279"/>
      <c r="F68" s="279"/>
      <c r="G68" s="304"/>
      <c r="H68" s="279"/>
      <c r="I68" s="279"/>
      <c r="J68" s="301"/>
      <c r="K68" s="311"/>
      <c r="L68" s="312"/>
      <c r="M68" s="311"/>
      <c r="N68" s="279"/>
      <c r="O68" s="311"/>
      <c r="P68" s="250" t="str">
        <f>IF(AND(Sensors[[#This Row],[Mechanical Unit Name]]&lt;&gt;"",Sensors[[#This Row],[Controls Sensor Group]]&lt;&gt;"",Sensors[[#This Row],[Controls Unit Name]]&lt;&gt;""),_xlfn.CONCAT("=",Sensors[[#This Row],[Controls Sensor Group]],"-",Sensors[[#This Row],[Controls Unit Name]]),"")</f>
        <v/>
      </c>
    </row>
    <row r="69" spans="5:16" ht="17.100000000000001" customHeight="1">
      <c r="E69" s="279"/>
      <c r="F69" s="279"/>
      <c r="G69" s="304"/>
      <c r="H69" s="279"/>
      <c r="I69" s="279"/>
      <c r="J69" s="301"/>
      <c r="K69" s="311"/>
      <c r="L69" s="312"/>
      <c r="M69" s="311"/>
      <c r="N69" s="279"/>
      <c r="O69" s="311"/>
      <c r="P69" s="250" t="str">
        <f>IF(AND(Sensors[[#This Row],[Mechanical Unit Name]]&lt;&gt;"",Sensors[[#This Row],[Controls Sensor Group]]&lt;&gt;"",Sensors[[#This Row],[Controls Unit Name]]&lt;&gt;""),_xlfn.CONCAT("=",Sensors[[#This Row],[Controls Sensor Group]],"-",Sensors[[#This Row],[Controls Unit Name]]),"")</f>
        <v/>
      </c>
    </row>
    <row r="70" spans="5:16" ht="17.100000000000001" customHeight="1">
      <c r="E70" s="279"/>
      <c r="F70" s="279"/>
      <c r="G70" s="304"/>
      <c r="H70" s="279"/>
      <c r="I70" s="279"/>
      <c r="J70" s="301"/>
      <c r="K70" s="311"/>
      <c r="L70" s="312"/>
      <c r="M70" s="311"/>
      <c r="N70" s="279"/>
      <c r="O70" s="311"/>
      <c r="P70" s="250" t="str">
        <f>IF(AND(Sensors[[#This Row],[Mechanical Unit Name]]&lt;&gt;"",Sensors[[#This Row],[Controls Sensor Group]]&lt;&gt;"",Sensors[[#This Row],[Controls Unit Name]]&lt;&gt;""),_xlfn.CONCAT("=",Sensors[[#This Row],[Controls Sensor Group]],"-",Sensors[[#This Row],[Controls Unit Name]]),"")</f>
        <v/>
      </c>
    </row>
    <row r="71" spans="5:16" ht="17.100000000000001" customHeight="1">
      <c r="E71" s="279"/>
      <c r="F71" s="279"/>
      <c r="G71" s="304"/>
      <c r="H71" s="279"/>
      <c r="I71" s="279"/>
      <c r="J71" s="301"/>
      <c r="K71" s="311"/>
      <c r="L71" s="312"/>
      <c r="M71" s="311"/>
      <c r="N71" s="279"/>
      <c r="O71" s="311"/>
      <c r="P71" s="250" t="str">
        <f>IF(AND(Sensors[[#This Row],[Mechanical Unit Name]]&lt;&gt;"",Sensors[[#This Row],[Controls Sensor Group]]&lt;&gt;"",Sensors[[#This Row],[Controls Unit Name]]&lt;&gt;""),_xlfn.CONCAT("=",Sensors[[#This Row],[Controls Sensor Group]],"-",Sensors[[#This Row],[Controls Unit Name]]),"")</f>
        <v/>
      </c>
    </row>
    <row r="72" spans="5:16" ht="17.100000000000001" customHeight="1">
      <c r="E72" s="279"/>
      <c r="F72" s="279"/>
      <c r="G72" s="304"/>
      <c r="H72" s="279"/>
      <c r="I72" s="279"/>
      <c r="J72" s="301"/>
      <c r="K72" s="311"/>
      <c r="L72" s="312"/>
      <c r="M72" s="311"/>
      <c r="N72" s="279"/>
      <c r="O72" s="311"/>
      <c r="P72" s="250" t="str">
        <f>IF(AND(Sensors[[#This Row],[Mechanical Unit Name]]&lt;&gt;"",Sensors[[#This Row],[Controls Sensor Group]]&lt;&gt;"",Sensors[[#This Row],[Controls Unit Name]]&lt;&gt;""),_xlfn.CONCAT("=",Sensors[[#This Row],[Controls Sensor Group]],"-",Sensors[[#This Row],[Controls Unit Name]]),"")</f>
        <v/>
      </c>
    </row>
    <row r="73" spans="5:16" ht="17.100000000000001" customHeight="1">
      <c r="E73" s="279"/>
      <c r="F73" s="279"/>
      <c r="G73" s="304"/>
      <c r="H73" s="279"/>
      <c r="I73" s="279"/>
      <c r="J73" s="301"/>
      <c r="K73" s="311"/>
      <c r="L73" s="312"/>
      <c r="M73" s="311"/>
      <c r="N73" s="279"/>
      <c r="O73" s="311"/>
      <c r="P73" s="250" t="str">
        <f>IF(AND(Sensors[[#This Row],[Mechanical Unit Name]]&lt;&gt;"",Sensors[[#This Row],[Controls Sensor Group]]&lt;&gt;"",Sensors[[#This Row],[Controls Unit Name]]&lt;&gt;""),_xlfn.CONCAT("=",Sensors[[#This Row],[Controls Sensor Group]],"-",Sensors[[#This Row],[Controls Unit Name]]),"")</f>
        <v/>
      </c>
    </row>
    <row r="74" spans="5:16" ht="17.100000000000001" customHeight="1">
      <c r="E74" s="279"/>
      <c r="F74" s="279"/>
      <c r="G74" s="304"/>
      <c r="H74" s="279"/>
      <c r="I74" s="279"/>
      <c r="J74" s="301"/>
      <c r="K74" s="311"/>
      <c r="L74" s="312"/>
      <c r="M74" s="311"/>
      <c r="N74" s="279"/>
      <c r="O74" s="311"/>
      <c r="P74" s="250" t="str">
        <f>IF(AND(Sensors[[#This Row],[Mechanical Unit Name]]&lt;&gt;"",Sensors[[#This Row],[Controls Sensor Group]]&lt;&gt;"",Sensors[[#This Row],[Controls Unit Name]]&lt;&gt;""),_xlfn.CONCAT("=",Sensors[[#This Row],[Controls Sensor Group]],"-",Sensors[[#This Row],[Controls Unit Name]]),"")</f>
        <v/>
      </c>
    </row>
    <row r="75" spans="5:16" ht="17.100000000000001" customHeight="1">
      <c r="E75" s="279"/>
      <c r="F75" s="279"/>
      <c r="G75" s="304"/>
      <c r="H75" s="279"/>
      <c r="I75" s="279"/>
      <c r="J75" s="301"/>
      <c r="K75" s="311"/>
      <c r="L75" s="312"/>
      <c r="M75" s="311"/>
      <c r="N75" s="279"/>
      <c r="O75" s="311"/>
      <c r="P75" s="250" t="str">
        <f>IF(AND(Sensors[[#This Row],[Mechanical Unit Name]]&lt;&gt;"",Sensors[[#This Row],[Controls Sensor Group]]&lt;&gt;"",Sensors[[#This Row],[Controls Unit Name]]&lt;&gt;""),_xlfn.CONCAT("=",Sensors[[#This Row],[Controls Sensor Group]],"-",Sensors[[#This Row],[Controls Unit Name]]),"")</f>
        <v/>
      </c>
    </row>
    <row r="76" spans="5:16" ht="17.100000000000001" customHeight="1">
      <c r="E76" s="279"/>
      <c r="F76" s="279"/>
      <c r="G76" s="304"/>
      <c r="H76" s="279"/>
      <c r="I76" s="279"/>
      <c r="J76" s="301"/>
      <c r="K76" s="311"/>
      <c r="L76" s="312"/>
      <c r="M76" s="311"/>
      <c r="N76" s="279"/>
      <c r="O76" s="311"/>
      <c r="P76" s="250" t="str">
        <f>IF(AND(Sensors[[#This Row],[Mechanical Unit Name]]&lt;&gt;"",Sensors[[#This Row],[Controls Sensor Group]]&lt;&gt;"",Sensors[[#This Row],[Controls Unit Name]]&lt;&gt;""),_xlfn.CONCAT("=",Sensors[[#This Row],[Controls Sensor Group]],"-",Sensors[[#This Row],[Controls Unit Name]]),"")</f>
        <v/>
      </c>
    </row>
    <row r="77" spans="5:16" ht="17.100000000000001" customHeight="1">
      <c r="E77" s="279"/>
      <c r="F77" s="279"/>
      <c r="G77" s="304"/>
      <c r="H77" s="279"/>
      <c r="I77" s="279"/>
      <c r="J77" s="301"/>
      <c r="K77" s="311"/>
      <c r="L77" s="312"/>
      <c r="M77" s="311"/>
      <c r="N77" s="279"/>
      <c r="O77" s="311"/>
      <c r="P77" s="250" t="str">
        <f>IF(AND(Sensors[[#This Row],[Mechanical Unit Name]]&lt;&gt;"",Sensors[[#This Row],[Controls Sensor Group]]&lt;&gt;"",Sensors[[#This Row],[Controls Unit Name]]&lt;&gt;""),_xlfn.CONCAT("=",Sensors[[#This Row],[Controls Sensor Group]],"-",Sensors[[#This Row],[Controls Unit Name]]),"")</f>
        <v/>
      </c>
    </row>
    <row r="78" spans="5:16" ht="17.100000000000001" customHeight="1">
      <c r="E78" s="279"/>
      <c r="F78" s="279"/>
      <c r="G78" s="304"/>
      <c r="H78" s="279"/>
      <c r="I78" s="279"/>
      <c r="J78" s="301"/>
      <c r="K78" s="311"/>
      <c r="L78" s="312"/>
      <c r="M78" s="311"/>
      <c r="N78" s="279"/>
      <c r="O78" s="311"/>
      <c r="P78" s="250" t="str">
        <f>IF(AND(Sensors[[#This Row],[Mechanical Unit Name]]&lt;&gt;"",Sensors[[#This Row],[Controls Sensor Group]]&lt;&gt;"",Sensors[[#This Row],[Controls Unit Name]]&lt;&gt;""),_xlfn.CONCAT("=",Sensors[[#This Row],[Controls Sensor Group]],"-",Sensors[[#This Row],[Controls Unit Name]]),"")</f>
        <v/>
      </c>
    </row>
    <row r="79" spans="5:16" ht="17.100000000000001" customHeight="1">
      <c r="E79" s="279"/>
      <c r="F79" s="279"/>
      <c r="G79" s="304"/>
      <c r="H79" s="279"/>
      <c r="I79" s="279"/>
      <c r="J79" s="301"/>
      <c r="K79" s="311"/>
      <c r="L79" s="312"/>
      <c r="M79" s="311"/>
      <c r="N79" s="279"/>
      <c r="O79" s="311"/>
      <c r="P79" s="250" t="str">
        <f>IF(AND(Sensors[[#This Row],[Mechanical Unit Name]]&lt;&gt;"",Sensors[[#This Row],[Controls Sensor Group]]&lt;&gt;"",Sensors[[#This Row],[Controls Unit Name]]&lt;&gt;""),_xlfn.CONCAT("=",Sensors[[#This Row],[Controls Sensor Group]],"-",Sensors[[#This Row],[Controls Unit Name]]),"")</f>
        <v/>
      </c>
    </row>
    <row r="80" spans="5:16" ht="17.100000000000001" customHeight="1">
      <c r="E80" s="279"/>
      <c r="F80" s="279"/>
      <c r="G80" s="304"/>
      <c r="H80" s="279"/>
      <c r="I80" s="279"/>
      <c r="J80" s="301"/>
      <c r="K80" s="311"/>
      <c r="L80" s="312"/>
      <c r="M80" s="311"/>
      <c r="N80" s="279"/>
      <c r="O80" s="311"/>
      <c r="P80" s="250" t="str">
        <f>IF(AND(Sensors[[#This Row],[Mechanical Unit Name]]&lt;&gt;"",Sensors[[#This Row],[Controls Sensor Group]]&lt;&gt;"",Sensors[[#This Row],[Controls Unit Name]]&lt;&gt;""),_xlfn.CONCAT("=",Sensors[[#This Row],[Controls Sensor Group]],"-",Sensors[[#This Row],[Controls Unit Name]]),"")</f>
        <v/>
      </c>
    </row>
    <row r="81" spans="5:16" ht="17.100000000000001" customHeight="1">
      <c r="E81" s="279"/>
      <c r="F81" s="279"/>
      <c r="G81" s="304"/>
      <c r="H81" s="279"/>
      <c r="I81" s="279"/>
      <c r="J81" s="301"/>
      <c r="K81" s="311"/>
      <c r="L81" s="312"/>
      <c r="M81" s="311"/>
      <c r="N81" s="279"/>
      <c r="O81" s="311"/>
      <c r="P81" s="250" t="str">
        <f>IF(AND(Sensors[[#This Row],[Mechanical Unit Name]]&lt;&gt;"",Sensors[[#This Row],[Controls Sensor Group]]&lt;&gt;"",Sensors[[#This Row],[Controls Unit Name]]&lt;&gt;""),_xlfn.CONCAT("=",Sensors[[#This Row],[Controls Sensor Group]],"-",Sensors[[#This Row],[Controls Unit Name]]),"")</f>
        <v/>
      </c>
    </row>
    <row r="82" spans="5:16" ht="17.100000000000001" customHeight="1">
      <c r="E82" s="279"/>
      <c r="F82" s="279"/>
      <c r="G82" s="304"/>
      <c r="H82" s="279"/>
      <c r="I82" s="279"/>
      <c r="J82" s="301"/>
      <c r="K82" s="311"/>
      <c r="L82" s="312"/>
      <c r="M82" s="311"/>
      <c r="N82" s="279"/>
      <c r="O82" s="311"/>
      <c r="P82" s="250" t="str">
        <f>IF(AND(Sensors[[#This Row],[Mechanical Unit Name]]&lt;&gt;"",Sensors[[#This Row],[Controls Sensor Group]]&lt;&gt;"",Sensors[[#This Row],[Controls Unit Name]]&lt;&gt;""),_xlfn.CONCAT("=",Sensors[[#This Row],[Controls Sensor Group]],"-",Sensors[[#This Row],[Controls Unit Name]]),"")</f>
        <v/>
      </c>
    </row>
    <row r="83" spans="5:16" ht="17.100000000000001" customHeight="1">
      <c r="E83" s="279"/>
      <c r="F83" s="279"/>
      <c r="G83" s="304"/>
      <c r="H83" s="279"/>
      <c r="I83" s="279"/>
      <c r="J83" s="301"/>
      <c r="K83" s="311"/>
      <c r="L83" s="312"/>
      <c r="M83" s="311"/>
      <c r="N83" s="279"/>
      <c r="O83" s="311"/>
      <c r="P83" s="250" t="str">
        <f>IF(AND(Sensors[[#This Row],[Mechanical Unit Name]]&lt;&gt;"",Sensors[[#This Row],[Controls Sensor Group]]&lt;&gt;"",Sensors[[#This Row],[Controls Unit Name]]&lt;&gt;""),_xlfn.CONCAT("=",Sensors[[#This Row],[Controls Sensor Group]],"-",Sensors[[#This Row],[Controls Unit Name]]),"")</f>
        <v/>
      </c>
    </row>
    <row r="84" spans="5:16" ht="17.100000000000001" customHeight="1">
      <c r="E84" s="279"/>
      <c r="F84" s="279"/>
      <c r="G84" s="304"/>
      <c r="H84" s="279"/>
      <c r="I84" s="279"/>
      <c r="J84" s="301"/>
      <c r="K84" s="311"/>
      <c r="L84" s="312"/>
      <c r="M84" s="311"/>
      <c r="N84" s="279"/>
      <c r="O84" s="311"/>
      <c r="P84" s="250" t="str">
        <f>IF(AND(Sensors[[#This Row],[Mechanical Unit Name]]&lt;&gt;"",Sensors[[#This Row],[Controls Sensor Group]]&lt;&gt;"",Sensors[[#This Row],[Controls Unit Name]]&lt;&gt;""),_xlfn.CONCAT("=",Sensors[[#This Row],[Controls Sensor Group]],"-",Sensors[[#This Row],[Controls Unit Name]]),"")</f>
        <v/>
      </c>
    </row>
    <row r="85" spans="5:16" ht="17.100000000000001" customHeight="1">
      <c r="E85" s="279"/>
      <c r="F85" s="279"/>
      <c r="G85" s="304"/>
      <c r="H85" s="279"/>
      <c r="I85" s="279"/>
      <c r="J85" s="301"/>
      <c r="K85" s="311"/>
      <c r="L85" s="312"/>
      <c r="M85" s="311"/>
      <c r="N85" s="279"/>
      <c r="O85" s="311"/>
      <c r="P85" s="250" t="str">
        <f>IF(AND(Sensors[[#This Row],[Mechanical Unit Name]]&lt;&gt;"",Sensors[[#This Row],[Controls Sensor Group]]&lt;&gt;"",Sensors[[#This Row],[Controls Unit Name]]&lt;&gt;""),_xlfn.CONCAT("=",Sensors[[#This Row],[Controls Sensor Group]],"-",Sensors[[#This Row],[Controls Unit Name]]),"")</f>
        <v/>
      </c>
    </row>
    <row r="86" spans="5:16" ht="17.100000000000001" customHeight="1">
      <c r="E86" s="279"/>
      <c r="F86" s="279"/>
      <c r="G86" s="304"/>
      <c r="H86" s="279"/>
      <c r="I86" s="279"/>
      <c r="J86" s="301"/>
      <c r="K86" s="311"/>
      <c r="L86" s="312"/>
      <c r="M86" s="311"/>
      <c r="N86" s="279"/>
      <c r="O86" s="311"/>
      <c r="P86" s="250" t="str">
        <f>IF(AND(Sensors[[#This Row],[Mechanical Unit Name]]&lt;&gt;"",Sensors[[#This Row],[Controls Sensor Group]]&lt;&gt;"",Sensors[[#This Row],[Controls Unit Name]]&lt;&gt;""),_xlfn.CONCAT("=",Sensors[[#This Row],[Controls Sensor Group]],"-",Sensors[[#This Row],[Controls Unit Name]]),"")</f>
        <v/>
      </c>
    </row>
    <row r="87" spans="5:16" ht="17.100000000000001" customHeight="1">
      <c r="E87" s="279"/>
      <c r="F87" s="279"/>
      <c r="G87" s="304"/>
      <c r="H87" s="279"/>
      <c r="I87" s="279"/>
      <c r="J87" s="301"/>
      <c r="K87" s="311"/>
      <c r="L87" s="312"/>
      <c r="M87" s="311"/>
      <c r="N87" s="279"/>
      <c r="O87" s="311"/>
      <c r="P87" s="250" t="str">
        <f>IF(AND(Sensors[[#This Row],[Mechanical Unit Name]]&lt;&gt;"",Sensors[[#This Row],[Controls Sensor Group]]&lt;&gt;"",Sensors[[#This Row],[Controls Unit Name]]&lt;&gt;""),_xlfn.CONCAT("=",Sensors[[#This Row],[Controls Sensor Group]],"-",Sensors[[#This Row],[Controls Unit Name]]),"")</f>
        <v/>
      </c>
    </row>
    <row r="88" spans="5:16" ht="17.100000000000001" customHeight="1">
      <c r="E88" s="279"/>
      <c r="F88" s="279"/>
      <c r="G88" s="304"/>
      <c r="H88" s="279"/>
      <c r="I88" s="279"/>
      <c r="J88" s="301"/>
      <c r="K88" s="311"/>
      <c r="L88" s="312"/>
      <c r="M88" s="311"/>
      <c r="N88" s="279"/>
      <c r="O88" s="311"/>
      <c r="P88" s="250" t="str">
        <f>IF(AND(Sensors[[#This Row],[Mechanical Unit Name]]&lt;&gt;"",Sensors[[#This Row],[Controls Sensor Group]]&lt;&gt;"",Sensors[[#This Row],[Controls Unit Name]]&lt;&gt;""),_xlfn.CONCAT("=",Sensors[[#This Row],[Controls Sensor Group]],"-",Sensors[[#This Row],[Controls Unit Name]]),"")</f>
        <v/>
      </c>
    </row>
    <row r="89" spans="5:16" ht="17.100000000000001" customHeight="1">
      <c r="E89" s="279"/>
      <c r="F89" s="279"/>
      <c r="G89" s="304"/>
      <c r="H89" s="279"/>
      <c r="I89" s="279"/>
      <c r="J89" s="301"/>
      <c r="K89" s="311"/>
      <c r="L89" s="312"/>
      <c r="M89" s="311"/>
      <c r="N89" s="279"/>
      <c r="O89" s="311"/>
      <c r="P89" s="250" t="str">
        <f>IF(AND(Sensors[[#This Row],[Mechanical Unit Name]]&lt;&gt;"",Sensors[[#This Row],[Controls Sensor Group]]&lt;&gt;"",Sensors[[#This Row],[Controls Unit Name]]&lt;&gt;""),_xlfn.CONCAT("=",Sensors[[#This Row],[Controls Sensor Group]],"-",Sensors[[#This Row],[Controls Unit Name]]),"")</f>
        <v/>
      </c>
    </row>
    <row r="90" spans="5:16" ht="17.100000000000001" customHeight="1">
      <c r="E90" s="279"/>
      <c r="F90" s="279"/>
      <c r="G90" s="304"/>
      <c r="H90" s="279"/>
      <c r="I90" s="279"/>
      <c r="J90" s="301"/>
      <c r="K90" s="311"/>
      <c r="L90" s="312"/>
      <c r="M90" s="311"/>
      <c r="N90" s="279"/>
      <c r="O90" s="311"/>
      <c r="P90" s="250" t="str">
        <f>IF(AND(Sensors[[#This Row],[Mechanical Unit Name]]&lt;&gt;"",Sensors[[#This Row],[Controls Sensor Group]]&lt;&gt;"",Sensors[[#This Row],[Controls Unit Name]]&lt;&gt;""),_xlfn.CONCAT("=",Sensors[[#This Row],[Controls Sensor Group]],"-",Sensors[[#This Row],[Controls Unit Name]]),"")</f>
        <v/>
      </c>
    </row>
    <row r="91" spans="5:16" ht="17.100000000000001" customHeight="1">
      <c r="E91" s="279"/>
      <c r="F91" s="279"/>
      <c r="G91" s="304"/>
      <c r="H91" s="279"/>
      <c r="I91" s="279"/>
      <c r="J91" s="301"/>
      <c r="K91" s="311"/>
      <c r="L91" s="312"/>
      <c r="M91" s="311"/>
      <c r="N91" s="279"/>
      <c r="O91" s="311"/>
      <c r="P91" s="250" t="str">
        <f>IF(AND(Sensors[[#This Row],[Mechanical Unit Name]]&lt;&gt;"",Sensors[[#This Row],[Controls Sensor Group]]&lt;&gt;"",Sensors[[#This Row],[Controls Unit Name]]&lt;&gt;""),_xlfn.CONCAT("=",Sensors[[#This Row],[Controls Sensor Group]],"-",Sensors[[#This Row],[Controls Unit Name]]),"")</f>
        <v/>
      </c>
    </row>
    <row r="92" spans="5:16" ht="17.100000000000001" customHeight="1">
      <c r="E92" s="279"/>
      <c r="F92" s="279"/>
      <c r="G92" s="304"/>
      <c r="H92" s="279"/>
      <c r="I92" s="279"/>
      <c r="J92" s="301"/>
      <c r="K92" s="311"/>
      <c r="L92" s="312"/>
      <c r="M92" s="311"/>
      <c r="N92" s="279"/>
      <c r="O92" s="311"/>
      <c r="P92" s="250" t="str">
        <f>IF(AND(Sensors[[#This Row],[Mechanical Unit Name]]&lt;&gt;"",Sensors[[#This Row],[Controls Sensor Group]]&lt;&gt;"",Sensors[[#This Row],[Controls Unit Name]]&lt;&gt;""),_xlfn.CONCAT("=",Sensors[[#This Row],[Controls Sensor Group]],"-",Sensors[[#This Row],[Controls Unit Name]]),"")</f>
        <v/>
      </c>
    </row>
    <row r="93" spans="5:16" ht="17.100000000000001" customHeight="1">
      <c r="E93" s="279"/>
      <c r="F93" s="279"/>
      <c r="G93" s="304"/>
      <c r="H93" s="279"/>
      <c r="I93" s="279"/>
      <c r="J93" s="301"/>
      <c r="K93" s="311"/>
      <c r="L93" s="312"/>
      <c r="M93" s="311"/>
      <c r="N93" s="279"/>
      <c r="O93" s="311"/>
      <c r="P93" s="250" t="str">
        <f>IF(AND(Sensors[[#This Row],[Mechanical Unit Name]]&lt;&gt;"",Sensors[[#This Row],[Controls Sensor Group]]&lt;&gt;"",Sensors[[#This Row],[Controls Unit Name]]&lt;&gt;""),_xlfn.CONCAT("=",Sensors[[#This Row],[Controls Sensor Group]],"-",Sensors[[#This Row],[Controls Unit Name]]),"")</f>
        <v/>
      </c>
    </row>
    <row r="94" spans="5:16" ht="17.100000000000001" customHeight="1">
      <c r="E94" s="279"/>
      <c r="F94" s="279"/>
      <c r="G94" s="304"/>
      <c r="H94" s="279"/>
      <c r="I94" s="279"/>
      <c r="J94" s="301"/>
      <c r="K94" s="311"/>
      <c r="L94" s="312"/>
      <c r="M94" s="311"/>
      <c r="N94" s="279"/>
      <c r="O94" s="311"/>
      <c r="P94" s="250" t="str">
        <f>IF(AND(Sensors[[#This Row],[Mechanical Unit Name]]&lt;&gt;"",Sensors[[#This Row],[Controls Sensor Group]]&lt;&gt;"",Sensors[[#This Row],[Controls Unit Name]]&lt;&gt;""),_xlfn.CONCAT("=",Sensors[[#This Row],[Controls Sensor Group]],"-",Sensors[[#This Row],[Controls Unit Name]]),"")</f>
        <v/>
      </c>
    </row>
    <row r="95" spans="5:16" ht="17.100000000000001" customHeight="1">
      <c r="E95" s="279"/>
      <c r="F95" s="279"/>
      <c r="G95" s="304"/>
      <c r="H95" s="279"/>
      <c r="I95" s="279"/>
      <c r="J95" s="301"/>
      <c r="K95" s="311"/>
      <c r="L95" s="312"/>
      <c r="M95" s="311"/>
      <c r="N95" s="279"/>
      <c r="O95" s="311"/>
      <c r="P95" s="250" t="str">
        <f>IF(AND(Sensors[[#This Row],[Mechanical Unit Name]]&lt;&gt;"",Sensors[[#This Row],[Controls Sensor Group]]&lt;&gt;"",Sensors[[#This Row],[Controls Unit Name]]&lt;&gt;""),_xlfn.CONCAT("=",Sensors[[#This Row],[Controls Sensor Group]],"-",Sensors[[#This Row],[Controls Unit Name]]),"")</f>
        <v/>
      </c>
    </row>
    <row r="96" spans="5:16" ht="17.100000000000001" customHeight="1">
      <c r="E96" s="279"/>
      <c r="F96" s="279"/>
      <c r="G96" s="304"/>
      <c r="H96" s="279"/>
      <c r="I96" s="279"/>
      <c r="J96" s="301"/>
      <c r="K96" s="311"/>
      <c r="L96" s="312"/>
      <c r="M96" s="311"/>
      <c r="N96" s="279"/>
      <c r="O96" s="311"/>
      <c r="P96" s="250" t="str">
        <f>IF(AND(Sensors[[#This Row],[Mechanical Unit Name]]&lt;&gt;"",Sensors[[#This Row],[Controls Sensor Group]]&lt;&gt;"",Sensors[[#This Row],[Controls Unit Name]]&lt;&gt;""),_xlfn.CONCAT("=",Sensors[[#This Row],[Controls Sensor Group]],"-",Sensors[[#This Row],[Controls Unit Name]]),"")</f>
        <v/>
      </c>
    </row>
    <row r="97" spans="5:16" ht="17.100000000000001" customHeight="1">
      <c r="E97" s="279"/>
      <c r="F97" s="279"/>
      <c r="G97" s="304"/>
      <c r="H97" s="279"/>
      <c r="I97" s="279"/>
      <c r="J97" s="301"/>
      <c r="K97" s="311"/>
      <c r="L97" s="312"/>
      <c r="M97" s="311"/>
      <c r="N97" s="279"/>
      <c r="O97" s="311"/>
      <c r="P97" s="250" t="str">
        <f>IF(AND(Sensors[[#This Row],[Mechanical Unit Name]]&lt;&gt;"",Sensors[[#This Row],[Controls Sensor Group]]&lt;&gt;"",Sensors[[#This Row],[Controls Unit Name]]&lt;&gt;""),_xlfn.CONCAT("=",Sensors[[#This Row],[Controls Sensor Group]],"-",Sensors[[#This Row],[Controls Unit Name]]),"")</f>
        <v/>
      </c>
    </row>
    <row r="98" spans="5:16" ht="17.100000000000001" customHeight="1">
      <c r="E98" s="279"/>
      <c r="F98" s="279"/>
      <c r="G98" s="304"/>
      <c r="H98" s="279"/>
      <c r="I98" s="279"/>
      <c r="J98" s="301"/>
      <c r="K98" s="311"/>
      <c r="L98" s="312"/>
      <c r="M98" s="311"/>
      <c r="N98" s="279"/>
      <c r="O98" s="311"/>
      <c r="P98" s="250" t="str">
        <f>IF(AND(Sensors[[#This Row],[Mechanical Unit Name]]&lt;&gt;"",Sensors[[#This Row],[Controls Sensor Group]]&lt;&gt;"",Sensors[[#This Row],[Controls Unit Name]]&lt;&gt;""),_xlfn.CONCAT("=",Sensors[[#This Row],[Controls Sensor Group]],"-",Sensors[[#This Row],[Controls Unit Name]]),"")</f>
        <v/>
      </c>
    </row>
    <row r="99" spans="5:16" ht="17.100000000000001" customHeight="1">
      <c r="E99" s="279"/>
      <c r="F99" s="279"/>
      <c r="G99" s="304"/>
      <c r="H99" s="279"/>
      <c r="I99" s="279"/>
      <c r="J99" s="301"/>
      <c r="K99" s="311"/>
      <c r="L99" s="312"/>
      <c r="M99" s="311"/>
      <c r="N99" s="279"/>
      <c r="O99" s="311"/>
      <c r="P99" s="250" t="str">
        <f>IF(AND(Sensors[[#This Row],[Mechanical Unit Name]]&lt;&gt;"",Sensors[[#This Row],[Controls Sensor Group]]&lt;&gt;"",Sensors[[#This Row],[Controls Unit Name]]&lt;&gt;""),_xlfn.CONCAT("=",Sensors[[#This Row],[Controls Sensor Group]],"-",Sensors[[#This Row],[Controls Unit Name]]),"")</f>
        <v/>
      </c>
    </row>
    <row r="100" spans="5:16" ht="17.100000000000001" customHeight="1">
      <c r="E100" s="279"/>
      <c r="F100" s="279"/>
      <c r="G100" s="304"/>
      <c r="H100" s="279"/>
      <c r="I100" s="279"/>
      <c r="J100" s="301"/>
      <c r="K100" s="311"/>
      <c r="L100" s="312"/>
      <c r="M100" s="311"/>
      <c r="N100" s="279"/>
      <c r="O100" s="311"/>
      <c r="P100" s="250" t="str">
        <f>IF(AND(Sensors[[#This Row],[Mechanical Unit Name]]&lt;&gt;"",Sensors[[#This Row],[Controls Sensor Group]]&lt;&gt;"",Sensors[[#This Row],[Controls Unit Name]]&lt;&gt;""),_xlfn.CONCAT("=",Sensors[[#This Row],[Controls Sensor Group]],"-",Sensors[[#This Row],[Controls Unit Name]]),"")</f>
        <v/>
      </c>
    </row>
    <row r="101" spans="5:16" ht="17.100000000000001" customHeight="1">
      <c r="E101" s="279"/>
      <c r="F101" s="279"/>
      <c r="G101" s="304"/>
      <c r="H101" s="279"/>
      <c r="I101" s="279"/>
      <c r="J101" s="301"/>
      <c r="K101" s="311"/>
      <c r="L101" s="312"/>
      <c r="M101" s="311"/>
      <c r="N101" s="279"/>
      <c r="O101" s="311"/>
      <c r="P101" s="250" t="str">
        <f>IF(AND(Sensors[[#This Row],[Mechanical Unit Name]]&lt;&gt;"",Sensors[[#This Row],[Controls Sensor Group]]&lt;&gt;"",Sensors[[#This Row],[Controls Unit Name]]&lt;&gt;""),_xlfn.CONCAT("=",Sensors[[#This Row],[Controls Sensor Group]],"-",Sensors[[#This Row],[Controls Unit Name]]),"")</f>
        <v/>
      </c>
    </row>
    <row r="102" spans="5:16" ht="17.100000000000001" customHeight="1">
      <c r="E102" s="279"/>
      <c r="F102" s="279"/>
      <c r="G102" s="304"/>
      <c r="H102" s="279"/>
      <c r="I102" s="279"/>
      <c r="J102" s="301"/>
      <c r="K102" s="311"/>
      <c r="L102" s="312"/>
      <c r="M102" s="311"/>
      <c r="N102" s="279"/>
      <c r="O102" s="311"/>
      <c r="P102" s="250" t="str">
        <f>IF(AND(Sensors[[#This Row],[Mechanical Unit Name]]&lt;&gt;"",Sensors[[#This Row],[Controls Sensor Group]]&lt;&gt;"",Sensors[[#This Row],[Controls Unit Name]]&lt;&gt;""),_xlfn.CONCAT("=",Sensors[[#This Row],[Controls Sensor Group]],"-",Sensors[[#This Row],[Controls Unit Name]]),"")</f>
        <v/>
      </c>
    </row>
    <row r="103" spans="5:16" ht="17.100000000000001" customHeight="1">
      <c r="E103" s="285"/>
      <c r="F103" s="285"/>
      <c r="G103" s="314"/>
      <c r="H103" s="285"/>
      <c r="I103" s="285"/>
      <c r="J103" s="308"/>
      <c r="K103" s="315"/>
      <c r="L103" s="316"/>
      <c r="M103" s="315"/>
      <c r="N103" s="285"/>
      <c r="O103" s="315"/>
      <c r="P103" s="251" t="str">
        <f>IF(AND(Sensors[[#This Row],[Mechanical Unit Name]]&lt;&gt;"",Sensors[[#This Row],[Controls Sensor Group]]&lt;&gt;"",Sensors[[#This Row],[Controls Unit Name]]&lt;&gt;""),_xlfn.CONCAT("=",Sensors[[#This Row],[Controls Sensor Group]],"-",Sensors[[#This Row],[Controls Unit Name]]),"")</f>
        <v/>
      </c>
    </row>
    <row r="104" spans="5:16" ht="17.100000000000001" customHeight="1"/>
    <row r="105" spans="5:16" ht="17.100000000000001" customHeight="1"/>
    <row r="106" spans="5:16" ht="17.100000000000001" customHeight="1"/>
    <row r="107" spans="5:16" ht="17.100000000000001" customHeight="1"/>
    <row r="108" spans="5:16" ht="17.100000000000001" customHeight="1"/>
    <row r="109" spans="5:16" ht="17.100000000000001" customHeight="1"/>
    <row r="110" spans="5:16" ht="17.100000000000001" customHeight="1"/>
    <row r="111" spans="5:16" ht="17.100000000000001" customHeight="1"/>
    <row r="112" spans="5:16" ht="17.100000000000001" customHeight="1"/>
    <row r="113" spans="5:10" ht="17.100000000000001" customHeight="1"/>
    <row r="114" spans="5:10" ht="17.100000000000001" customHeight="1"/>
    <row r="115" spans="5:10" ht="17.100000000000001" customHeight="1">
      <c r="E115" s="100"/>
      <c r="J115" s="178"/>
    </row>
    <row r="116" spans="5:10" ht="17.100000000000001" customHeight="1"/>
    <row r="117" spans="5:10" ht="17.100000000000001" customHeight="1"/>
    <row r="118" spans="5:10" ht="17.100000000000001" customHeight="1"/>
    <row r="119" spans="5:10" ht="17.100000000000001" customHeight="1"/>
    <row r="120" spans="5:10" ht="17.100000000000001" customHeight="1"/>
    <row r="121" spans="5:10" ht="17.100000000000001" customHeight="1"/>
    <row r="122" spans="5:10" ht="17.100000000000001" customHeight="1"/>
    <row r="123" spans="5:10" ht="17.100000000000001" customHeight="1"/>
    <row r="124" spans="5:10" ht="17.100000000000001" customHeight="1"/>
    <row r="125" spans="5:10" ht="17.100000000000001" customHeight="1"/>
    <row r="126" spans="5:10" ht="17.100000000000001" customHeight="1"/>
    <row r="127" spans="5:10" ht="17.100000000000001" customHeight="1"/>
    <row r="128" spans="5:10" ht="17.100000000000001" customHeight="1"/>
    <row r="129" ht="17.100000000000001" customHeight="1"/>
    <row r="130" ht="17.100000000000001" customHeight="1"/>
    <row r="131" ht="17.100000000000001" customHeight="1"/>
    <row r="132" ht="17.100000000000001" customHeight="1"/>
    <row r="133" ht="17.100000000000001" customHeight="1"/>
    <row r="134" ht="17.100000000000001" customHeight="1"/>
    <row r="135" ht="17.100000000000001" customHeight="1"/>
    <row r="145" spans="5:10" ht="12" customHeight="1">
      <c r="E145" s="100"/>
      <c r="J145" s="178"/>
    </row>
  </sheetData>
  <sheetProtection algorithmName="SHA-512" hashValue="gRsKt6AkiNJz4ShtOaqF2ONbtVMbkr/ceeULIZajLptKdyxM7/aJ9pdgbfSWSgwCjrSTNNbtPsz/xbkMQzhl6g==" saltValue="PMOFgHWQWSwiDR3Jyk5FLg==" spinCount="100000" sheet="1" objects="1" scenarios="1" sort="0" autoFilter="0"/>
  <mergeCells count="1">
    <mergeCell ref="B3:C3"/>
  </mergeCells>
  <phoneticPr fontId="24" type="noConversion"/>
  <conditionalFormatting sqref="C4:C8 C11:C19">
    <cfRule type="expression" dxfId="70" priority="1">
      <formula>OR(C4="", C4=0)</formula>
    </cfRule>
  </conditionalFormatting>
  <conditionalFormatting sqref="M4:M103">
    <cfRule type="expression" dxfId="69" priority="2">
      <formula>AND(SensorType &lt;&gt;"Photoelectric", SensorType &lt;&gt; "Fiberoptic", SensorType &lt;&gt; "")</formula>
    </cfRule>
    <cfRule type="expression" dxfId="68" priority="24">
      <formula>AND(LEN(M4)=0, COUNTIF($E4:$O4,"&lt;&gt;") &gt; 0)</formula>
    </cfRule>
  </conditionalFormatting>
  <dataValidations count="2">
    <dataValidation type="list" allowBlank="1" showInputMessage="1" showErrorMessage="1" sqref="M4:M103" xr:uid="{2D21C41A-E48B-483B-B217-0273F4248933}">
      <formula1>"Light Operate, Dark Operate"</formula1>
    </dataValidation>
    <dataValidation type="list" allowBlank="1" showInputMessage="1" showErrorMessage="1" sqref="O4:O103" xr:uid="{ED9955C2-FE8E-43CA-93FB-5441AF5BC101}">
      <formula1>"Rectangular, Tubular"</formula1>
    </dataValidation>
  </dataValidations>
  <printOptions horizontalCentered="1"/>
  <pageMargins left="0.25" right="0.25" top="0.4" bottom="0.4" header="0.5" footer="0.25"/>
  <pageSetup scale="60" fitToHeight="5" orientation="portrait" r:id="rId1"/>
  <headerFooter>
    <oddFooter>&amp;L&amp;D&amp;CPage &amp;P of &amp;N&amp;REquipment Vendor Safety Buyoff - Rev 1</oddFooter>
  </headerFooter>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B0ABC696-0DC5-4C85-B2D1-5F5776BFDD4A}">
          <x14:formula1>
            <xm:f>Dropdown_Lists!$E$2:$E$7</xm:f>
          </x14:formula1>
          <xm:sqref>K4:K103</xm:sqref>
        </x14:dataValidation>
        <x14:dataValidation type="list" allowBlank="1" showInputMessage="1" showErrorMessage="1" xr:uid="{2253B2B9-673D-4C42-83A5-BA50F8ECF063}">
          <x14:formula1>
            <xm:f>Dropdown_Lists!$F$2:$F$3</xm:f>
          </x14:formula1>
          <xm:sqref>L4:L103</xm:sqref>
        </x14:dataValidation>
        <x14:dataValidation type="list" allowBlank="1" showInputMessage="1" showErrorMessage="1" xr:uid="{F6730746-74E1-48D6-B67D-ECBFC26DC301}">
          <x14:formula1>
            <xm:f>Dropdown_Lists!$X$2:$X$100</xm:f>
          </x14:formula1>
          <xm:sqref>F4:F103</xm:sqref>
        </x14:dataValidation>
        <x14:dataValidation type="list" allowBlank="1" showInputMessage="1" showErrorMessage="1" xr:uid="{FB7C91AD-B6A8-46B0-A102-68CB7582F303}">
          <x14:formula1>
            <xm:f>Dropdown_Lists!$Y$2:$Y$100</xm:f>
          </x14:formula1>
          <xm:sqref>G9:G103 G4:G7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8791F-A6C2-4918-A1FF-F0C89E261D2B}">
  <sheetPr codeName="Sheet11"/>
  <dimension ref="A1:EC199"/>
  <sheetViews>
    <sheetView showGridLines="0" topLeftCell="C1" zoomScale="85" zoomScaleNormal="85" zoomScaleSheetLayoutView="85" workbookViewId="0">
      <selection activeCell="AA10" sqref="AA10"/>
    </sheetView>
  </sheetViews>
  <sheetFormatPr defaultColWidth="8.625" defaultRowHeight="12" customHeight="1"/>
  <cols>
    <col min="1" max="1" width="1.75" customWidth="1"/>
    <col min="2" max="2" width="25.75" style="78" customWidth="1"/>
    <col min="3" max="3" width="15.375" style="78" bestFit="1" customWidth="1"/>
    <col min="4" max="4" width="1.75" style="42" customWidth="1"/>
    <col min="5" max="6" width="8.625" style="42" customWidth="1"/>
    <col min="7" max="7" width="8.625" style="42"/>
    <col min="8" max="9" width="8.625" style="42" customWidth="1"/>
    <col min="10" max="252" width="8.625" style="42"/>
    <col min="253" max="253" width="5.625" style="42" customWidth="1"/>
    <col min="254" max="254" width="10.625" style="42" customWidth="1"/>
    <col min="255" max="255" width="45.625" style="42" customWidth="1"/>
    <col min="256" max="256" width="48.625" style="42" customWidth="1"/>
    <col min="257" max="259" width="5.625" style="42" customWidth="1"/>
    <col min="260" max="260" width="21.625" style="42" customWidth="1"/>
    <col min="261" max="261" width="22.625" style="42" customWidth="1"/>
    <col min="262" max="508" width="8.625" style="42"/>
    <col min="509" max="509" width="5.625" style="42" customWidth="1"/>
    <col min="510" max="510" width="10.625" style="42" customWidth="1"/>
    <col min="511" max="511" width="45.625" style="42" customWidth="1"/>
    <col min="512" max="512" width="48.625" style="42" customWidth="1"/>
    <col min="513" max="515" width="5.625" style="42" customWidth="1"/>
    <col min="516" max="516" width="21.625" style="42" customWidth="1"/>
    <col min="517" max="517" width="22.625" style="42" customWidth="1"/>
    <col min="518" max="764" width="8.625" style="42"/>
    <col min="765" max="765" width="5.625" style="42" customWidth="1"/>
    <col min="766" max="766" width="10.625" style="42" customWidth="1"/>
    <col min="767" max="767" width="45.625" style="42" customWidth="1"/>
    <col min="768" max="768" width="48.625" style="42" customWidth="1"/>
    <col min="769" max="771" width="5.625" style="42" customWidth="1"/>
    <col min="772" max="772" width="21.625" style="42" customWidth="1"/>
    <col min="773" max="773" width="22.625" style="42" customWidth="1"/>
    <col min="774" max="1020" width="8.625" style="42"/>
    <col min="1021" max="1021" width="5.625" style="42" customWidth="1"/>
    <col min="1022" max="1022" width="10.625" style="42" customWidth="1"/>
    <col min="1023" max="1023" width="45.625" style="42" customWidth="1"/>
    <col min="1024" max="1024" width="48.625" style="42" customWidth="1"/>
    <col min="1025" max="1027" width="5.625" style="42" customWidth="1"/>
    <col min="1028" max="1028" width="21.625" style="42" customWidth="1"/>
    <col min="1029" max="1029" width="22.625" style="42" customWidth="1"/>
    <col min="1030" max="1276" width="8.625" style="42"/>
    <col min="1277" max="1277" width="5.625" style="42" customWidth="1"/>
    <col min="1278" max="1278" width="10.625" style="42" customWidth="1"/>
    <col min="1279" max="1279" width="45.625" style="42" customWidth="1"/>
    <col min="1280" max="1280" width="48.625" style="42" customWidth="1"/>
    <col min="1281" max="1283" width="5.625" style="42" customWidth="1"/>
    <col min="1284" max="1284" width="21.625" style="42" customWidth="1"/>
    <col min="1285" max="1285" width="22.625" style="42" customWidth="1"/>
    <col min="1286" max="1532" width="8.625" style="42"/>
    <col min="1533" max="1533" width="5.625" style="42" customWidth="1"/>
    <col min="1534" max="1534" width="10.625" style="42" customWidth="1"/>
    <col min="1535" max="1535" width="45.625" style="42" customWidth="1"/>
    <col min="1536" max="1536" width="48.625" style="42" customWidth="1"/>
    <col min="1537" max="1539" width="5.625" style="42" customWidth="1"/>
    <col min="1540" max="1540" width="21.625" style="42" customWidth="1"/>
    <col min="1541" max="1541" width="22.625" style="42" customWidth="1"/>
    <col min="1542" max="1788" width="8.625" style="42"/>
    <col min="1789" max="1789" width="5.625" style="42" customWidth="1"/>
    <col min="1790" max="1790" width="10.625" style="42" customWidth="1"/>
    <col min="1791" max="1791" width="45.625" style="42" customWidth="1"/>
    <col min="1792" max="1792" width="48.625" style="42" customWidth="1"/>
    <col min="1793" max="1795" width="5.625" style="42" customWidth="1"/>
    <col min="1796" max="1796" width="21.625" style="42" customWidth="1"/>
    <col min="1797" max="1797" width="22.625" style="42" customWidth="1"/>
    <col min="1798" max="2044" width="8.625" style="42"/>
    <col min="2045" max="2045" width="5.625" style="42" customWidth="1"/>
    <col min="2046" max="2046" width="10.625" style="42" customWidth="1"/>
    <col min="2047" max="2047" width="45.625" style="42" customWidth="1"/>
    <col min="2048" max="2048" width="48.625" style="42" customWidth="1"/>
    <col min="2049" max="2051" width="5.625" style="42" customWidth="1"/>
    <col min="2052" max="2052" width="21.625" style="42" customWidth="1"/>
    <col min="2053" max="2053" width="22.625" style="42" customWidth="1"/>
    <col min="2054" max="2300" width="8.625" style="42"/>
    <col min="2301" max="2301" width="5.625" style="42" customWidth="1"/>
    <col min="2302" max="2302" width="10.625" style="42" customWidth="1"/>
    <col min="2303" max="2303" width="45.625" style="42" customWidth="1"/>
    <col min="2304" max="2304" width="48.625" style="42" customWidth="1"/>
    <col min="2305" max="2307" width="5.625" style="42" customWidth="1"/>
    <col min="2308" max="2308" width="21.625" style="42" customWidth="1"/>
    <col min="2309" max="2309" width="22.625" style="42" customWidth="1"/>
    <col min="2310" max="2556" width="8.625" style="42"/>
    <col min="2557" max="2557" width="5.625" style="42" customWidth="1"/>
    <col min="2558" max="2558" width="10.625" style="42" customWidth="1"/>
    <col min="2559" max="2559" width="45.625" style="42" customWidth="1"/>
    <col min="2560" max="2560" width="48.625" style="42" customWidth="1"/>
    <col min="2561" max="2563" width="5.625" style="42" customWidth="1"/>
    <col min="2564" max="2564" width="21.625" style="42" customWidth="1"/>
    <col min="2565" max="2565" width="22.625" style="42" customWidth="1"/>
    <col min="2566" max="2812" width="8.625" style="42"/>
    <col min="2813" max="2813" width="5.625" style="42" customWidth="1"/>
    <col min="2814" max="2814" width="10.625" style="42" customWidth="1"/>
    <col min="2815" max="2815" width="45.625" style="42" customWidth="1"/>
    <col min="2816" max="2816" width="48.625" style="42" customWidth="1"/>
    <col min="2817" max="2819" width="5.625" style="42" customWidth="1"/>
    <col min="2820" max="2820" width="21.625" style="42" customWidth="1"/>
    <col min="2821" max="2821" width="22.625" style="42" customWidth="1"/>
    <col min="2822" max="3068" width="8.625" style="42"/>
    <col min="3069" max="3069" width="5.625" style="42" customWidth="1"/>
    <col min="3070" max="3070" width="10.625" style="42" customWidth="1"/>
    <col min="3071" max="3071" width="45.625" style="42" customWidth="1"/>
    <col min="3072" max="3072" width="48.625" style="42" customWidth="1"/>
    <col min="3073" max="3075" width="5.625" style="42" customWidth="1"/>
    <col min="3076" max="3076" width="21.625" style="42" customWidth="1"/>
    <col min="3077" max="3077" width="22.625" style="42" customWidth="1"/>
    <col min="3078" max="3324" width="8.625" style="42"/>
    <col min="3325" max="3325" width="5.625" style="42" customWidth="1"/>
    <col min="3326" max="3326" width="10.625" style="42" customWidth="1"/>
    <col min="3327" max="3327" width="45.625" style="42" customWidth="1"/>
    <col min="3328" max="3328" width="48.625" style="42" customWidth="1"/>
    <col min="3329" max="3331" width="5.625" style="42" customWidth="1"/>
    <col min="3332" max="3332" width="21.625" style="42" customWidth="1"/>
    <col min="3333" max="3333" width="22.625" style="42" customWidth="1"/>
    <col min="3334" max="3580" width="8.625" style="42"/>
    <col min="3581" max="3581" width="5.625" style="42" customWidth="1"/>
    <col min="3582" max="3582" width="10.625" style="42" customWidth="1"/>
    <col min="3583" max="3583" width="45.625" style="42" customWidth="1"/>
    <col min="3584" max="3584" width="48.625" style="42" customWidth="1"/>
    <col min="3585" max="3587" width="5.625" style="42" customWidth="1"/>
    <col min="3588" max="3588" width="21.625" style="42" customWidth="1"/>
    <col min="3589" max="3589" width="22.625" style="42" customWidth="1"/>
    <col min="3590" max="3836" width="8.625" style="42"/>
    <col min="3837" max="3837" width="5.625" style="42" customWidth="1"/>
    <col min="3838" max="3838" width="10.625" style="42" customWidth="1"/>
    <col min="3839" max="3839" width="45.625" style="42" customWidth="1"/>
    <col min="3840" max="3840" width="48.625" style="42" customWidth="1"/>
    <col min="3841" max="3843" width="5.625" style="42" customWidth="1"/>
    <col min="3844" max="3844" width="21.625" style="42" customWidth="1"/>
    <col min="3845" max="3845" width="22.625" style="42" customWidth="1"/>
    <col min="3846" max="4092" width="8.625" style="42"/>
    <col min="4093" max="4093" width="5.625" style="42" customWidth="1"/>
    <col min="4094" max="4094" width="10.625" style="42" customWidth="1"/>
    <col min="4095" max="4095" width="45.625" style="42" customWidth="1"/>
    <col min="4096" max="4096" width="48.625" style="42" customWidth="1"/>
    <col min="4097" max="4099" width="5.625" style="42" customWidth="1"/>
    <col min="4100" max="4100" width="21.625" style="42" customWidth="1"/>
    <col min="4101" max="4101" width="22.625" style="42" customWidth="1"/>
    <col min="4102" max="4348" width="8.625" style="42"/>
    <col min="4349" max="4349" width="5.625" style="42" customWidth="1"/>
    <col min="4350" max="4350" width="10.625" style="42" customWidth="1"/>
    <col min="4351" max="4351" width="45.625" style="42" customWidth="1"/>
    <col min="4352" max="4352" width="48.625" style="42" customWidth="1"/>
    <col min="4353" max="4355" width="5.625" style="42" customWidth="1"/>
    <col min="4356" max="4356" width="21.625" style="42" customWidth="1"/>
    <col min="4357" max="4357" width="22.625" style="42" customWidth="1"/>
    <col min="4358" max="4604" width="8.625" style="42"/>
    <col min="4605" max="4605" width="5.625" style="42" customWidth="1"/>
    <col min="4606" max="4606" width="10.625" style="42" customWidth="1"/>
    <col min="4607" max="4607" width="45.625" style="42" customWidth="1"/>
    <col min="4608" max="4608" width="48.625" style="42" customWidth="1"/>
    <col min="4609" max="4611" width="5.625" style="42" customWidth="1"/>
    <col min="4612" max="4612" width="21.625" style="42" customWidth="1"/>
    <col min="4613" max="4613" width="22.625" style="42" customWidth="1"/>
    <col min="4614" max="4860" width="8.625" style="42"/>
    <col min="4861" max="4861" width="5.625" style="42" customWidth="1"/>
    <col min="4862" max="4862" width="10.625" style="42" customWidth="1"/>
    <col min="4863" max="4863" width="45.625" style="42" customWidth="1"/>
    <col min="4864" max="4864" width="48.625" style="42" customWidth="1"/>
    <col min="4865" max="4867" width="5.625" style="42" customWidth="1"/>
    <col min="4868" max="4868" width="21.625" style="42" customWidth="1"/>
    <col min="4869" max="4869" width="22.625" style="42" customWidth="1"/>
    <col min="4870" max="5116" width="8.625" style="42"/>
    <col min="5117" max="5117" width="5.625" style="42" customWidth="1"/>
    <col min="5118" max="5118" width="10.625" style="42" customWidth="1"/>
    <col min="5119" max="5119" width="45.625" style="42" customWidth="1"/>
    <col min="5120" max="5120" width="48.625" style="42" customWidth="1"/>
    <col min="5121" max="5123" width="5.625" style="42" customWidth="1"/>
    <col min="5124" max="5124" width="21.625" style="42" customWidth="1"/>
    <col min="5125" max="5125" width="22.625" style="42" customWidth="1"/>
    <col min="5126" max="5372" width="8.625" style="42"/>
    <col min="5373" max="5373" width="5.625" style="42" customWidth="1"/>
    <col min="5374" max="5374" width="10.625" style="42" customWidth="1"/>
    <col min="5375" max="5375" width="45.625" style="42" customWidth="1"/>
    <col min="5376" max="5376" width="48.625" style="42" customWidth="1"/>
    <col min="5377" max="5379" width="5.625" style="42" customWidth="1"/>
    <col min="5380" max="5380" width="21.625" style="42" customWidth="1"/>
    <col min="5381" max="5381" width="22.625" style="42" customWidth="1"/>
    <col min="5382" max="5628" width="8.625" style="42"/>
    <col min="5629" max="5629" width="5.625" style="42" customWidth="1"/>
    <col min="5630" max="5630" width="10.625" style="42" customWidth="1"/>
    <col min="5631" max="5631" width="45.625" style="42" customWidth="1"/>
    <col min="5632" max="5632" width="48.625" style="42" customWidth="1"/>
    <col min="5633" max="5635" width="5.625" style="42" customWidth="1"/>
    <col min="5636" max="5636" width="21.625" style="42" customWidth="1"/>
    <col min="5637" max="5637" width="22.625" style="42" customWidth="1"/>
    <col min="5638" max="5884" width="8.625" style="42"/>
    <col min="5885" max="5885" width="5.625" style="42" customWidth="1"/>
    <col min="5886" max="5886" width="10.625" style="42" customWidth="1"/>
    <col min="5887" max="5887" width="45.625" style="42" customWidth="1"/>
    <col min="5888" max="5888" width="48.625" style="42" customWidth="1"/>
    <col min="5889" max="5891" width="5.625" style="42" customWidth="1"/>
    <col min="5892" max="5892" width="21.625" style="42" customWidth="1"/>
    <col min="5893" max="5893" width="22.625" style="42" customWidth="1"/>
    <col min="5894" max="6140" width="8.625" style="42"/>
    <col min="6141" max="6141" width="5.625" style="42" customWidth="1"/>
    <col min="6142" max="6142" width="10.625" style="42" customWidth="1"/>
    <col min="6143" max="6143" width="45.625" style="42" customWidth="1"/>
    <col min="6144" max="6144" width="48.625" style="42" customWidth="1"/>
    <col min="6145" max="6147" width="5.625" style="42" customWidth="1"/>
    <col min="6148" max="6148" width="21.625" style="42" customWidth="1"/>
    <col min="6149" max="6149" width="22.625" style="42" customWidth="1"/>
    <col min="6150" max="6396" width="8.625" style="42"/>
    <col min="6397" max="6397" width="5.625" style="42" customWidth="1"/>
    <col min="6398" max="6398" width="10.625" style="42" customWidth="1"/>
    <col min="6399" max="6399" width="45.625" style="42" customWidth="1"/>
    <col min="6400" max="6400" width="48.625" style="42" customWidth="1"/>
    <col min="6401" max="6403" width="5.625" style="42" customWidth="1"/>
    <col min="6404" max="6404" width="21.625" style="42" customWidth="1"/>
    <col min="6405" max="6405" width="22.625" style="42" customWidth="1"/>
    <col min="6406" max="6652" width="8.625" style="42"/>
    <col min="6653" max="6653" width="5.625" style="42" customWidth="1"/>
    <col min="6654" max="6654" width="10.625" style="42" customWidth="1"/>
    <col min="6655" max="6655" width="45.625" style="42" customWidth="1"/>
    <col min="6656" max="6656" width="48.625" style="42" customWidth="1"/>
    <col min="6657" max="6659" width="5.625" style="42" customWidth="1"/>
    <col min="6660" max="6660" width="21.625" style="42" customWidth="1"/>
    <col min="6661" max="6661" width="22.625" style="42" customWidth="1"/>
    <col min="6662" max="6908" width="8.625" style="42"/>
    <col min="6909" max="6909" width="5.625" style="42" customWidth="1"/>
    <col min="6910" max="6910" width="10.625" style="42" customWidth="1"/>
    <col min="6911" max="6911" width="45.625" style="42" customWidth="1"/>
    <col min="6912" max="6912" width="48.625" style="42" customWidth="1"/>
    <col min="6913" max="6915" width="5.625" style="42" customWidth="1"/>
    <col min="6916" max="6916" width="21.625" style="42" customWidth="1"/>
    <col min="6917" max="6917" width="22.625" style="42" customWidth="1"/>
    <col min="6918" max="7164" width="8.625" style="42"/>
    <col min="7165" max="7165" width="5.625" style="42" customWidth="1"/>
    <col min="7166" max="7166" width="10.625" style="42" customWidth="1"/>
    <col min="7167" max="7167" width="45.625" style="42" customWidth="1"/>
    <col min="7168" max="7168" width="48.625" style="42" customWidth="1"/>
    <col min="7169" max="7171" width="5.625" style="42" customWidth="1"/>
    <col min="7172" max="7172" width="21.625" style="42" customWidth="1"/>
    <col min="7173" max="7173" width="22.625" style="42" customWidth="1"/>
    <col min="7174" max="7420" width="8.625" style="42"/>
    <col min="7421" max="7421" width="5.625" style="42" customWidth="1"/>
    <col min="7422" max="7422" width="10.625" style="42" customWidth="1"/>
    <col min="7423" max="7423" width="45.625" style="42" customWidth="1"/>
    <col min="7424" max="7424" width="48.625" style="42" customWidth="1"/>
    <col min="7425" max="7427" width="5.625" style="42" customWidth="1"/>
    <col min="7428" max="7428" width="21.625" style="42" customWidth="1"/>
    <col min="7429" max="7429" width="22.625" style="42" customWidth="1"/>
    <col min="7430" max="7676" width="8.625" style="42"/>
    <col min="7677" max="7677" width="5.625" style="42" customWidth="1"/>
    <col min="7678" max="7678" width="10.625" style="42" customWidth="1"/>
    <col min="7679" max="7679" width="45.625" style="42" customWidth="1"/>
    <col min="7680" max="7680" width="48.625" style="42" customWidth="1"/>
    <col min="7681" max="7683" width="5.625" style="42" customWidth="1"/>
    <col min="7684" max="7684" width="21.625" style="42" customWidth="1"/>
    <col min="7685" max="7685" width="22.625" style="42" customWidth="1"/>
    <col min="7686" max="7932" width="8.625" style="42"/>
    <col min="7933" max="7933" width="5.625" style="42" customWidth="1"/>
    <col min="7934" max="7934" width="10.625" style="42" customWidth="1"/>
    <col min="7935" max="7935" width="45.625" style="42" customWidth="1"/>
    <col min="7936" max="7936" width="48.625" style="42" customWidth="1"/>
    <col min="7937" max="7939" width="5.625" style="42" customWidth="1"/>
    <col min="7940" max="7940" width="21.625" style="42" customWidth="1"/>
    <col min="7941" max="7941" width="22.625" style="42" customWidth="1"/>
    <col min="7942" max="8188" width="8.625" style="42"/>
    <col min="8189" max="8189" width="5.625" style="42" customWidth="1"/>
    <col min="8190" max="8190" width="10.625" style="42" customWidth="1"/>
    <col min="8191" max="8191" width="45.625" style="42" customWidth="1"/>
    <col min="8192" max="8192" width="48.625" style="42" customWidth="1"/>
    <col min="8193" max="8195" width="5.625" style="42" customWidth="1"/>
    <col min="8196" max="8196" width="21.625" style="42" customWidth="1"/>
    <col min="8197" max="8197" width="22.625" style="42" customWidth="1"/>
    <col min="8198" max="8444" width="8.625" style="42"/>
    <col min="8445" max="8445" width="5.625" style="42" customWidth="1"/>
    <col min="8446" max="8446" width="10.625" style="42" customWidth="1"/>
    <col min="8447" max="8447" width="45.625" style="42" customWidth="1"/>
    <col min="8448" max="8448" width="48.625" style="42" customWidth="1"/>
    <col min="8449" max="8451" width="5.625" style="42" customWidth="1"/>
    <col min="8452" max="8452" width="21.625" style="42" customWidth="1"/>
    <col min="8453" max="8453" width="22.625" style="42" customWidth="1"/>
    <col min="8454" max="8700" width="8.625" style="42"/>
    <col min="8701" max="8701" width="5.625" style="42" customWidth="1"/>
    <col min="8702" max="8702" width="10.625" style="42" customWidth="1"/>
    <col min="8703" max="8703" width="45.625" style="42" customWidth="1"/>
    <col min="8704" max="8704" width="48.625" style="42" customWidth="1"/>
    <col min="8705" max="8707" width="5.625" style="42" customWidth="1"/>
    <col min="8708" max="8708" width="21.625" style="42" customWidth="1"/>
    <col min="8709" max="8709" width="22.625" style="42" customWidth="1"/>
    <col min="8710" max="8956" width="8.625" style="42"/>
    <col min="8957" max="8957" width="5.625" style="42" customWidth="1"/>
    <col min="8958" max="8958" width="10.625" style="42" customWidth="1"/>
    <col min="8959" max="8959" width="45.625" style="42" customWidth="1"/>
    <col min="8960" max="8960" width="48.625" style="42" customWidth="1"/>
    <col min="8961" max="8963" width="5.625" style="42" customWidth="1"/>
    <col min="8964" max="8964" width="21.625" style="42" customWidth="1"/>
    <col min="8965" max="8965" width="22.625" style="42" customWidth="1"/>
    <col min="8966" max="9212" width="8.625" style="42"/>
    <col min="9213" max="9213" width="5.625" style="42" customWidth="1"/>
    <col min="9214" max="9214" width="10.625" style="42" customWidth="1"/>
    <col min="9215" max="9215" width="45.625" style="42" customWidth="1"/>
    <col min="9216" max="9216" width="48.625" style="42" customWidth="1"/>
    <col min="9217" max="9219" width="5.625" style="42" customWidth="1"/>
    <col min="9220" max="9220" width="21.625" style="42" customWidth="1"/>
    <col min="9221" max="9221" width="22.625" style="42" customWidth="1"/>
    <col min="9222" max="9468" width="8.625" style="42"/>
    <col min="9469" max="9469" width="5.625" style="42" customWidth="1"/>
    <col min="9470" max="9470" width="10.625" style="42" customWidth="1"/>
    <col min="9471" max="9471" width="45.625" style="42" customWidth="1"/>
    <col min="9472" max="9472" width="48.625" style="42" customWidth="1"/>
    <col min="9473" max="9475" width="5.625" style="42" customWidth="1"/>
    <col min="9476" max="9476" width="21.625" style="42" customWidth="1"/>
    <col min="9477" max="9477" width="22.625" style="42" customWidth="1"/>
    <col min="9478" max="9724" width="8.625" style="42"/>
    <col min="9725" max="9725" width="5.625" style="42" customWidth="1"/>
    <col min="9726" max="9726" width="10.625" style="42" customWidth="1"/>
    <col min="9727" max="9727" width="45.625" style="42" customWidth="1"/>
    <col min="9728" max="9728" width="48.625" style="42" customWidth="1"/>
    <col min="9729" max="9731" width="5.625" style="42" customWidth="1"/>
    <col min="9732" max="9732" width="21.625" style="42" customWidth="1"/>
    <col min="9733" max="9733" width="22.625" style="42" customWidth="1"/>
    <col min="9734" max="9980" width="8.625" style="42"/>
    <col min="9981" max="9981" width="5.625" style="42" customWidth="1"/>
    <col min="9982" max="9982" width="10.625" style="42" customWidth="1"/>
    <col min="9983" max="9983" width="45.625" style="42" customWidth="1"/>
    <col min="9984" max="9984" width="48.625" style="42" customWidth="1"/>
    <col min="9985" max="9987" width="5.625" style="42" customWidth="1"/>
    <col min="9988" max="9988" width="21.625" style="42" customWidth="1"/>
    <col min="9989" max="9989" width="22.625" style="42" customWidth="1"/>
    <col min="9990" max="10236" width="8.625" style="42"/>
    <col min="10237" max="10237" width="5.625" style="42" customWidth="1"/>
    <col min="10238" max="10238" width="10.625" style="42" customWidth="1"/>
    <col min="10239" max="10239" width="45.625" style="42" customWidth="1"/>
    <col min="10240" max="10240" width="48.625" style="42" customWidth="1"/>
    <col min="10241" max="10243" width="5.625" style="42" customWidth="1"/>
    <col min="10244" max="10244" width="21.625" style="42" customWidth="1"/>
    <col min="10245" max="10245" width="22.625" style="42" customWidth="1"/>
    <col min="10246" max="10492" width="8.625" style="42"/>
    <col min="10493" max="10493" width="5.625" style="42" customWidth="1"/>
    <col min="10494" max="10494" width="10.625" style="42" customWidth="1"/>
    <col min="10495" max="10495" width="45.625" style="42" customWidth="1"/>
    <col min="10496" max="10496" width="48.625" style="42" customWidth="1"/>
    <col min="10497" max="10499" width="5.625" style="42" customWidth="1"/>
    <col min="10500" max="10500" width="21.625" style="42" customWidth="1"/>
    <col min="10501" max="10501" width="22.625" style="42" customWidth="1"/>
    <col min="10502" max="10748" width="8.625" style="42"/>
    <col min="10749" max="10749" width="5.625" style="42" customWidth="1"/>
    <col min="10750" max="10750" width="10.625" style="42" customWidth="1"/>
    <col min="10751" max="10751" width="45.625" style="42" customWidth="1"/>
    <col min="10752" max="10752" width="48.625" style="42" customWidth="1"/>
    <col min="10753" max="10755" width="5.625" style="42" customWidth="1"/>
    <col min="10756" max="10756" width="21.625" style="42" customWidth="1"/>
    <col min="10757" max="10757" width="22.625" style="42" customWidth="1"/>
    <col min="10758" max="11004" width="8.625" style="42"/>
    <col min="11005" max="11005" width="5.625" style="42" customWidth="1"/>
    <col min="11006" max="11006" width="10.625" style="42" customWidth="1"/>
    <col min="11007" max="11007" width="45.625" style="42" customWidth="1"/>
    <col min="11008" max="11008" width="48.625" style="42" customWidth="1"/>
    <col min="11009" max="11011" width="5.625" style="42" customWidth="1"/>
    <col min="11012" max="11012" width="21.625" style="42" customWidth="1"/>
    <col min="11013" max="11013" width="22.625" style="42" customWidth="1"/>
    <col min="11014" max="11260" width="8.625" style="42"/>
    <col min="11261" max="11261" width="5.625" style="42" customWidth="1"/>
    <col min="11262" max="11262" width="10.625" style="42" customWidth="1"/>
    <col min="11263" max="11263" width="45.625" style="42" customWidth="1"/>
    <col min="11264" max="11264" width="48.625" style="42" customWidth="1"/>
    <col min="11265" max="11267" width="5.625" style="42" customWidth="1"/>
    <col min="11268" max="11268" width="21.625" style="42" customWidth="1"/>
    <col min="11269" max="11269" width="22.625" style="42" customWidth="1"/>
    <col min="11270" max="11516" width="8.625" style="42"/>
    <col min="11517" max="11517" width="5.625" style="42" customWidth="1"/>
    <col min="11518" max="11518" width="10.625" style="42" customWidth="1"/>
    <col min="11519" max="11519" width="45.625" style="42" customWidth="1"/>
    <col min="11520" max="11520" width="48.625" style="42" customWidth="1"/>
    <col min="11521" max="11523" width="5.625" style="42" customWidth="1"/>
    <col min="11524" max="11524" width="21.625" style="42" customWidth="1"/>
    <col min="11525" max="11525" width="22.625" style="42" customWidth="1"/>
    <col min="11526" max="11772" width="8.625" style="42"/>
    <col min="11773" max="11773" width="5.625" style="42" customWidth="1"/>
    <col min="11774" max="11774" width="10.625" style="42" customWidth="1"/>
    <col min="11775" max="11775" width="45.625" style="42" customWidth="1"/>
    <col min="11776" max="11776" width="48.625" style="42" customWidth="1"/>
    <col min="11777" max="11779" width="5.625" style="42" customWidth="1"/>
    <col min="11780" max="11780" width="21.625" style="42" customWidth="1"/>
    <col min="11781" max="11781" width="22.625" style="42" customWidth="1"/>
    <col min="11782" max="12028" width="8.625" style="42"/>
    <col min="12029" max="12029" width="5.625" style="42" customWidth="1"/>
    <col min="12030" max="12030" width="10.625" style="42" customWidth="1"/>
    <col min="12031" max="12031" width="45.625" style="42" customWidth="1"/>
    <col min="12032" max="12032" width="48.625" style="42" customWidth="1"/>
    <col min="12033" max="12035" width="5.625" style="42" customWidth="1"/>
    <col min="12036" max="12036" width="21.625" style="42" customWidth="1"/>
    <col min="12037" max="12037" width="22.625" style="42" customWidth="1"/>
    <col min="12038" max="12284" width="8.625" style="42"/>
    <col min="12285" max="12285" width="5.625" style="42" customWidth="1"/>
    <col min="12286" max="12286" width="10.625" style="42" customWidth="1"/>
    <col min="12287" max="12287" width="45.625" style="42" customWidth="1"/>
    <col min="12288" max="12288" width="48.625" style="42" customWidth="1"/>
    <col min="12289" max="12291" width="5.625" style="42" customWidth="1"/>
    <col min="12292" max="12292" width="21.625" style="42" customWidth="1"/>
    <col min="12293" max="12293" width="22.625" style="42" customWidth="1"/>
    <col min="12294" max="12540" width="8.625" style="42"/>
    <col min="12541" max="12541" width="5.625" style="42" customWidth="1"/>
    <col min="12542" max="12542" width="10.625" style="42" customWidth="1"/>
    <col min="12543" max="12543" width="45.625" style="42" customWidth="1"/>
    <col min="12544" max="12544" width="48.625" style="42" customWidth="1"/>
    <col min="12545" max="12547" width="5.625" style="42" customWidth="1"/>
    <col min="12548" max="12548" width="21.625" style="42" customWidth="1"/>
    <col min="12549" max="12549" width="22.625" style="42" customWidth="1"/>
    <col min="12550" max="12796" width="8.625" style="42"/>
    <col min="12797" max="12797" width="5.625" style="42" customWidth="1"/>
    <col min="12798" max="12798" width="10.625" style="42" customWidth="1"/>
    <col min="12799" max="12799" width="45.625" style="42" customWidth="1"/>
    <col min="12800" max="12800" width="48.625" style="42" customWidth="1"/>
    <col min="12801" max="12803" width="5.625" style="42" customWidth="1"/>
    <col min="12804" max="12804" width="21.625" style="42" customWidth="1"/>
    <col min="12805" max="12805" width="22.625" style="42" customWidth="1"/>
    <col min="12806" max="13052" width="8.625" style="42"/>
    <col min="13053" max="13053" width="5.625" style="42" customWidth="1"/>
    <col min="13054" max="13054" width="10.625" style="42" customWidth="1"/>
    <col min="13055" max="13055" width="45.625" style="42" customWidth="1"/>
    <col min="13056" max="13056" width="48.625" style="42" customWidth="1"/>
    <col min="13057" max="13059" width="5.625" style="42" customWidth="1"/>
    <col min="13060" max="13060" width="21.625" style="42" customWidth="1"/>
    <col min="13061" max="13061" width="22.625" style="42" customWidth="1"/>
    <col min="13062" max="13308" width="8.625" style="42"/>
    <col min="13309" max="13309" width="5.625" style="42" customWidth="1"/>
    <col min="13310" max="13310" width="10.625" style="42" customWidth="1"/>
    <col min="13311" max="13311" width="45.625" style="42" customWidth="1"/>
    <col min="13312" max="13312" width="48.625" style="42" customWidth="1"/>
    <col min="13313" max="13315" width="5.625" style="42" customWidth="1"/>
    <col min="13316" max="13316" width="21.625" style="42" customWidth="1"/>
    <col min="13317" max="13317" width="22.625" style="42" customWidth="1"/>
    <col min="13318" max="13564" width="8.625" style="42"/>
    <col min="13565" max="13565" width="5.625" style="42" customWidth="1"/>
    <col min="13566" max="13566" width="10.625" style="42" customWidth="1"/>
    <col min="13567" max="13567" width="45.625" style="42" customWidth="1"/>
    <col min="13568" max="13568" width="48.625" style="42" customWidth="1"/>
    <col min="13569" max="13571" width="5.625" style="42" customWidth="1"/>
    <col min="13572" max="13572" width="21.625" style="42" customWidth="1"/>
    <col min="13573" max="13573" width="22.625" style="42" customWidth="1"/>
    <col min="13574" max="13820" width="8.625" style="42"/>
    <col min="13821" max="13821" width="5.625" style="42" customWidth="1"/>
    <col min="13822" max="13822" width="10.625" style="42" customWidth="1"/>
    <col min="13823" max="13823" width="45.625" style="42" customWidth="1"/>
    <col min="13824" max="13824" width="48.625" style="42" customWidth="1"/>
    <col min="13825" max="13827" width="5.625" style="42" customWidth="1"/>
    <col min="13828" max="13828" width="21.625" style="42" customWidth="1"/>
    <col min="13829" max="13829" width="22.625" style="42" customWidth="1"/>
    <col min="13830" max="14076" width="8.625" style="42"/>
    <col min="14077" max="14077" width="5.625" style="42" customWidth="1"/>
    <col min="14078" max="14078" width="10.625" style="42" customWidth="1"/>
    <col min="14079" max="14079" width="45.625" style="42" customWidth="1"/>
    <col min="14080" max="14080" width="48.625" style="42" customWidth="1"/>
    <col min="14081" max="14083" width="5.625" style="42" customWidth="1"/>
    <col min="14084" max="14084" width="21.625" style="42" customWidth="1"/>
    <col min="14085" max="14085" width="22.625" style="42" customWidth="1"/>
    <col min="14086" max="14332" width="8.625" style="42"/>
    <col min="14333" max="14333" width="5.625" style="42" customWidth="1"/>
    <col min="14334" max="14334" width="10.625" style="42" customWidth="1"/>
    <col min="14335" max="14335" width="45.625" style="42" customWidth="1"/>
    <col min="14336" max="14336" width="48.625" style="42" customWidth="1"/>
    <col min="14337" max="14339" width="5.625" style="42" customWidth="1"/>
    <col min="14340" max="14340" width="21.625" style="42" customWidth="1"/>
    <col min="14341" max="14341" width="22.625" style="42" customWidth="1"/>
    <col min="14342" max="14588" width="8.625" style="42"/>
    <col min="14589" max="14589" width="5.625" style="42" customWidth="1"/>
    <col min="14590" max="14590" width="10.625" style="42" customWidth="1"/>
    <col min="14591" max="14591" width="45.625" style="42" customWidth="1"/>
    <col min="14592" max="14592" width="48.625" style="42" customWidth="1"/>
    <col min="14593" max="14595" width="5.625" style="42" customWidth="1"/>
    <col min="14596" max="14596" width="21.625" style="42" customWidth="1"/>
    <col min="14597" max="14597" width="22.625" style="42" customWidth="1"/>
    <col min="14598" max="14844" width="8.625" style="42"/>
    <col min="14845" max="14845" width="5.625" style="42" customWidth="1"/>
    <col min="14846" max="14846" width="10.625" style="42" customWidth="1"/>
    <col min="14847" max="14847" width="45.625" style="42" customWidth="1"/>
    <col min="14848" max="14848" width="48.625" style="42" customWidth="1"/>
    <col min="14849" max="14851" width="5.625" style="42" customWidth="1"/>
    <col min="14852" max="14852" width="21.625" style="42" customWidth="1"/>
    <col min="14853" max="14853" width="22.625" style="42" customWidth="1"/>
    <col min="14854" max="15100" width="8.625" style="42"/>
    <col min="15101" max="15101" width="5.625" style="42" customWidth="1"/>
    <col min="15102" max="15102" width="10.625" style="42" customWidth="1"/>
    <col min="15103" max="15103" width="45.625" style="42" customWidth="1"/>
    <col min="15104" max="15104" width="48.625" style="42" customWidth="1"/>
    <col min="15105" max="15107" width="5.625" style="42" customWidth="1"/>
    <col min="15108" max="15108" width="21.625" style="42" customWidth="1"/>
    <col min="15109" max="15109" width="22.625" style="42" customWidth="1"/>
    <col min="15110" max="15356" width="8.625" style="42"/>
    <col min="15357" max="15357" width="5.625" style="42" customWidth="1"/>
    <col min="15358" max="15358" width="10.625" style="42" customWidth="1"/>
    <col min="15359" max="15359" width="45.625" style="42" customWidth="1"/>
    <col min="15360" max="15360" width="48.625" style="42" customWidth="1"/>
    <col min="15361" max="15363" width="5.625" style="42" customWidth="1"/>
    <col min="15364" max="15364" width="21.625" style="42" customWidth="1"/>
    <col min="15365" max="15365" width="22.625" style="42" customWidth="1"/>
    <col min="15366" max="15612" width="8.625" style="42"/>
    <col min="15613" max="15613" width="5.625" style="42" customWidth="1"/>
    <col min="15614" max="15614" width="10.625" style="42" customWidth="1"/>
    <col min="15615" max="15615" width="45.625" style="42" customWidth="1"/>
    <col min="15616" max="15616" width="48.625" style="42" customWidth="1"/>
    <col min="15617" max="15619" width="5.625" style="42" customWidth="1"/>
    <col min="15620" max="15620" width="21.625" style="42" customWidth="1"/>
    <col min="15621" max="15621" width="22.625" style="42" customWidth="1"/>
    <col min="15622" max="15868" width="8.625" style="42"/>
    <col min="15869" max="15869" width="5.625" style="42" customWidth="1"/>
    <col min="15870" max="15870" width="10.625" style="42" customWidth="1"/>
    <col min="15871" max="15871" width="45.625" style="42" customWidth="1"/>
    <col min="15872" max="15872" width="48.625" style="42" customWidth="1"/>
    <col min="15873" max="15875" width="5.625" style="42" customWidth="1"/>
    <col min="15876" max="15876" width="21.625" style="42" customWidth="1"/>
    <col min="15877" max="15877" width="22.625" style="42" customWidth="1"/>
    <col min="15878" max="16124" width="8.625" style="42"/>
    <col min="16125" max="16125" width="5.625" style="42" customWidth="1"/>
    <col min="16126" max="16126" width="10.625" style="42" customWidth="1"/>
    <col min="16127" max="16127" width="45.625" style="42" customWidth="1"/>
    <col min="16128" max="16128" width="48.625" style="42" customWidth="1"/>
    <col min="16129" max="16131" width="5.625" style="42" customWidth="1"/>
    <col min="16132" max="16132" width="21.625" style="42" customWidth="1"/>
    <col min="16133" max="16133" width="22.625" style="42" customWidth="1"/>
    <col min="16134" max="16384" width="8.625" style="42"/>
  </cols>
  <sheetData>
    <row r="1" spans="1:133" ht="25.15" customHeight="1">
      <c r="A1" s="40" t="e" vm="1">
        <v>#VALUE!</v>
      </c>
      <c r="B1" s="48" t="s">
        <v>0</v>
      </c>
      <c r="C1" s="49"/>
      <c r="D1" s="40"/>
      <c r="E1" s="252"/>
      <c r="F1" s="253"/>
      <c r="G1" s="256"/>
      <c r="H1" s="257"/>
      <c r="I1" s="294"/>
      <c r="J1" s="295"/>
      <c r="V1" s="345" t="s">
        <v>512</v>
      </c>
      <c r="W1" s="346"/>
      <c r="X1" s="346"/>
      <c r="Y1" s="347"/>
    </row>
    <row r="2" spans="1:133" ht="16.149999999999999" customHeight="1" thickBot="1">
      <c r="A2" s="54"/>
      <c r="B2" s="55" t="s">
        <v>1</v>
      </c>
      <c r="C2" s="56"/>
      <c r="D2" s="54"/>
      <c r="E2" s="254"/>
      <c r="F2" s="255"/>
      <c r="G2" s="258"/>
      <c r="H2" s="259"/>
      <c r="I2" s="296"/>
      <c r="J2" s="297"/>
      <c r="V2" s="348"/>
      <c r="W2" s="349"/>
      <c r="X2" s="349"/>
      <c r="Y2" s="350"/>
    </row>
    <row r="3" spans="1:133" ht="27" customHeight="1">
      <c r="A3" s="42"/>
      <c r="B3" s="334" t="str" cm="1">
        <f t="array" aca="1" ref="B3" ca="1">_xlfn.TEXTAFTER(CELL("filename",A1),"]")</f>
        <v>Tooling Detail</v>
      </c>
      <c r="C3" s="334"/>
      <c r="D3" s="86"/>
      <c r="E3" s="187" t="s">
        <v>22</v>
      </c>
      <c r="F3" s="182"/>
      <c r="G3" s="182"/>
      <c r="H3" s="182"/>
      <c r="I3" s="182"/>
      <c r="J3" s="182"/>
      <c r="K3" s="182"/>
      <c r="L3" s="182"/>
      <c r="M3" s="182"/>
      <c r="N3" s="182"/>
      <c r="O3" s="182"/>
      <c r="P3" s="182"/>
      <c r="Q3" s="182"/>
      <c r="R3" s="182"/>
      <c r="S3" s="182"/>
      <c r="T3" s="182"/>
      <c r="U3" s="182"/>
      <c r="V3" s="182"/>
      <c r="W3" s="182"/>
      <c r="X3" s="182"/>
      <c r="Y3" s="183"/>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row>
    <row r="4" spans="1:133" ht="17.100000000000001" customHeight="1">
      <c r="B4" s="65" t="s">
        <v>2</v>
      </c>
      <c r="C4" s="87" t="str">
        <f>IF(Shop &lt;&gt; "", Shop, "")</f>
        <v>BL03</v>
      </c>
      <c r="D4" s="88"/>
      <c r="E4" s="184"/>
      <c r="F4" s="4"/>
      <c r="G4" s="4"/>
      <c r="H4" s="4"/>
      <c r="I4" s="4"/>
      <c r="J4" s="4"/>
      <c r="K4" s="4"/>
      <c r="L4" s="4"/>
      <c r="M4" s="4"/>
      <c r="N4" s="4"/>
      <c r="O4" s="4"/>
      <c r="P4" s="4"/>
      <c r="Q4" s="4"/>
      <c r="R4" s="4"/>
      <c r="S4" s="4"/>
      <c r="T4" s="4"/>
      <c r="U4" s="4"/>
      <c r="V4" s="4"/>
      <c r="W4" s="4"/>
      <c r="X4" s="4"/>
      <c r="Y4" s="185"/>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row>
    <row r="5" spans="1:133" ht="17.100000000000001" customHeight="1">
      <c r="B5" s="65" t="s">
        <v>6</v>
      </c>
      <c r="C5" s="87" t="str">
        <f>IF(Line &lt;&gt; "", Line, "")</f>
        <v>FFLR</v>
      </c>
      <c r="D5" s="88"/>
      <c r="E5" s="184"/>
      <c r="F5" s="4"/>
      <c r="G5" s="4"/>
      <c r="H5" s="4"/>
      <c r="I5" s="4"/>
      <c r="J5" s="4"/>
      <c r="K5" s="4"/>
      <c r="L5" s="4"/>
      <c r="M5" s="4"/>
      <c r="N5" s="4"/>
      <c r="O5" s="4"/>
      <c r="P5" s="4"/>
      <c r="Q5" s="4"/>
      <c r="R5" s="4"/>
      <c r="S5" s="4"/>
      <c r="U5" s="4"/>
      <c r="V5" s="4"/>
      <c r="W5" s="4"/>
      <c r="X5" s="4"/>
      <c r="Y5" s="185"/>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row>
    <row r="6" spans="1:133" ht="17.100000000000001" customHeight="1">
      <c r="B6" s="65" t="s">
        <v>4</v>
      </c>
      <c r="C6" s="89" t="str">
        <f>IF(LineDescription&lt;&gt;"",LineDescription,"")</f>
        <v>Front Floor</v>
      </c>
      <c r="D6" s="88"/>
      <c r="E6" s="184"/>
      <c r="F6" s="4"/>
      <c r="G6" s="4"/>
      <c r="H6" s="4"/>
      <c r="I6" s="4"/>
      <c r="J6" s="4"/>
      <c r="K6" s="4"/>
      <c r="L6" s="4"/>
      <c r="M6" s="4"/>
      <c r="N6" s="4"/>
      <c r="O6" s="4"/>
      <c r="P6" s="4"/>
      <c r="Q6" s="4"/>
      <c r="R6" s="4"/>
      <c r="S6" s="4"/>
      <c r="T6" s="4"/>
      <c r="U6" s="4"/>
      <c r="V6" s="4"/>
      <c r="W6" s="4"/>
      <c r="X6" s="4"/>
      <c r="Y6" s="185"/>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row>
    <row r="7" spans="1:133" ht="17.100000000000001" customHeight="1">
      <c r="B7" s="65" t="s">
        <v>8</v>
      </c>
      <c r="C7" s="89" t="str">
        <f>IF(Station &lt;&gt; "", Station, "")</f>
        <v>010</v>
      </c>
      <c r="D7" s="88"/>
      <c r="E7" s="184"/>
      <c r="F7" s="4"/>
      <c r="G7" s="4"/>
      <c r="H7" s="4"/>
      <c r="I7" s="4"/>
      <c r="J7" s="4"/>
      <c r="K7" s="4"/>
      <c r="L7" s="4"/>
      <c r="M7" s="4"/>
      <c r="N7" s="4"/>
      <c r="O7" s="4"/>
      <c r="P7" s="4"/>
      <c r="Q7" s="4"/>
      <c r="R7" s="4"/>
      <c r="S7" s="4"/>
      <c r="T7" s="4"/>
      <c r="U7" s="4"/>
      <c r="V7" s="4"/>
      <c r="W7" s="4"/>
      <c r="X7" s="4"/>
      <c r="Y7" s="185"/>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row>
    <row r="8" spans="1:133" ht="17.100000000000001" customHeight="1">
      <c r="B8" s="65" t="s">
        <v>10</v>
      </c>
      <c r="C8" s="89" t="str">
        <f>StationDescription</f>
        <v>Station 010</v>
      </c>
      <c r="D8" s="88"/>
      <c r="E8" s="184"/>
      <c r="F8" s="4"/>
      <c r="G8" s="4"/>
      <c r="H8" s="4"/>
      <c r="I8" s="4"/>
      <c r="J8" s="4"/>
      <c r="K8" s="4"/>
      <c r="L8" s="4"/>
      <c r="M8" s="4"/>
      <c r="N8" s="4"/>
      <c r="O8" s="4"/>
      <c r="P8" s="4"/>
      <c r="Q8" s="4"/>
      <c r="R8" s="4"/>
      <c r="S8" s="4"/>
      <c r="T8" s="4"/>
      <c r="U8" s="4"/>
      <c r="V8" s="4"/>
      <c r="W8" s="4"/>
      <c r="X8" s="4"/>
      <c r="Y8" s="185"/>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row>
    <row r="9" spans="1:133" ht="17.100000000000001" customHeight="1">
      <c r="B9" s="65" t="s">
        <v>12</v>
      </c>
      <c r="C9" s="89" t="str">
        <f>IF(System &lt;&gt; "", System, "")</f>
        <v/>
      </c>
      <c r="D9" s="88"/>
      <c r="E9" s="184"/>
      <c r="F9" s="4"/>
      <c r="G9" s="4"/>
      <c r="H9" s="4"/>
      <c r="I9" s="4"/>
      <c r="J9" s="4"/>
      <c r="K9" s="4"/>
      <c r="L9" s="4"/>
      <c r="M9" s="4"/>
      <c r="N9" s="4"/>
      <c r="O9" s="4"/>
      <c r="P9" s="4"/>
      <c r="Q9" s="4"/>
      <c r="R9" s="4"/>
      <c r="S9" s="4"/>
      <c r="T9" s="4"/>
      <c r="U9" s="4"/>
      <c r="V9" s="4"/>
      <c r="W9" s="4"/>
      <c r="X9" s="4"/>
      <c r="Y9" s="185"/>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row>
    <row r="10" spans="1:133" ht="17.100000000000001" customHeight="1">
      <c r="B10" s="65" t="s">
        <v>428</v>
      </c>
      <c r="C10" s="89" t="str">
        <f>IF(SystemDescription &lt;&gt; "", SystemDescription, "")</f>
        <v/>
      </c>
      <c r="D10" s="90"/>
      <c r="E10" s="184"/>
      <c r="F10" s="4"/>
      <c r="G10" s="4"/>
      <c r="H10" s="4"/>
      <c r="I10" s="4"/>
      <c r="J10" s="4"/>
      <c r="K10" s="4"/>
      <c r="L10" s="4"/>
      <c r="M10" s="4"/>
      <c r="N10" s="4"/>
      <c r="O10" s="4"/>
      <c r="P10" s="4"/>
      <c r="Q10" s="4"/>
      <c r="R10" s="4"/>
      <c r="S10" s="4"/>
      <c r="T10" s="4"/>
      <c r="U10" s="4"/>
      <c r="V10" s="4"/>
      <c r="W10" s="4"/>
      <c r="X10" s="4"/>
      <c r="Y10" s="185"/>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row>
    <row r="11" spans="1:133" ht="17.100000000000001" customHeight="1">
      <c r="B11" s="71" t="s">
        <v>13</v>
      </c>
      <c r="C11" s="87" t="str">
        <f>IF(Tool &lt;&gt; "", Tool, "")</f>
        <v>UA1</v>
      </c>
      <c r="D11" s="91"/>
      <c r="E11" s="184"/>
      <c r="F11" s="4"/>
      <c r="G11" s="4"/>
      <c r="H11" s="4"/>
      <c r="I11" s="4"/>
      <c r="J11" s="4"/>
      <c r="K11" s="4"/>
      <c r="L11" s="4"/>
      <c r="M11" s="4"/>
      <c r="N11" s="4"/>
      <c r="O11" s="4"/>
      <c r="P11" s="4"/>
      <c r="Q11" s="4"/>
      <c r="R11" s="4"/>
      <c r="S11" s="4"/>
      <c r="T11" s="4"/>
      <c r="U11" s="4"/>
      <c r="V11" s="4"/>
      <c r="W11" s="4"/>
      <c r="X11" s="4"/>
      <c r="Y11" s="185"/>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row>
    <row r="12" spans="1:133" ht="17.100000000000001" customHeight="1">
      <c r="B12" s="65" t="s">
        <v>16</v>
      </c>
      <c r="C12" s="87" t="str">
        <f>IF(ToolDescription &lt;&gt; "", ToolDescription, "")</f>
        <v>Fixture</v>
      </c>
      <c r="D12" s="88"/>
      <c r="E12" s="184"/>
      <c r="F12" s="4"/>
      <c r="G12" s="4"/>
      <c r="H12" s="4"/>
      <c r="I12" s="4"/>
      <c r="J12" s="4"/>
      <c r="K12" s="4"/>
      <c r="L12" s="4"/>
      <c r="M12" s="4"/>
      <c r="N12" s="4"/>
      <c r="O12" s="4"/>
      <c r="P12" s="4"/>
      <c r="Q12" s="4"/>
      <c r="R12" s="4"/>
      <c r="S12" s="4"/>
      <c r="T12" s="4"/>
      <c r="U12" s="4"/>
      <c r="V12" s="4"/>
      <c r="W12" s="4"/>
      <c r="X12" s="4"/>
      <c r="Y12" s="185"/>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row>
    <row r="13" spans="1:133" ht="17.100000000000001" customHeight="1">
      <c r="B13" s="65" t="s">
        <v>3</v>
      </c>
      <c r="C13" s="89" t="str">
        <f>IF(Integrator &lt;&gt; "", Integrator, "")</f>
        <v>Mino</v>
      </c>
      <c r="D13" s="88"/>
      <c r="E13" s="184"/>
      <c r="F13" s="4"/>
      <c r="G13" s="4"/>
      <c r="H13" s="4"/>
      <c r="I13" s="4"/>
      <c r="J13" s="4"/>
      <c r="K13" s="4"/>
      <c r="L13" s="4"/>
      <c r="M13" s="4"/>
      <c r="N13" s="4"/>
      <c r="O13" s="4"/>
      <c r="P13" s="4"/>
      <c r="Q13" s="4"/>
      <c r="R13" s="4"/>
      <c r="S13" s="4"/>
      <c r="T13" s="4"/>
      <c r="U13" s="4"/>
      <c r="V13" s="4"/>
      <c r="W13" s="4"/>
      <c r="X13" s="4"/>
      <c r="Y13" s="185"/>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row>
    <row r="14" spans="1:133" ht="17.100000000000001" customHeight="1">
      <c r="B14" s="65" t="s">
        <v>7</v>
      </c>
      <c r="C14" s="94">
        <f>IF(DesignStatus &lt;&gt; "", DesignStatus, "")</f>
        <v>1</v>
      </c>
      <c r="E14" s="184"/>
      <c r="F14" s="4"/>
      <c r="G14" s="4"/>
      <c r="H14" s="4"/>
      <c r="I14" s="4"/>
      <c r="J14" s="4"/>
      <c r="K14" s="4"/>
      <c r="L14" s="4"/>
      <c r="M14" s="4"/>
      <c r="N14" s="4"/>
      <c r="O14" s="4"/>
      <c r="P14" s="4"/>
      <c r="Q14" s="4"/>
      <c r="R14" s="4"/>
      <c r="S14" s="4"/>
      <c r="T14" s="4"/>
      <c r="U14" s="4"/>
      <c r="V14" s="4"/>
      <c r="W14" s="4"/>
      <c r="X14" s="4"/>
      <c r="Y14" s="185"/>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row>
    <row r="15" spans="1:133" ht="17.100000000000001" customHeight="1">
      <c r="B15" s="65" t="s">
        <v>5</v>
      </c>
      <c r="C15" s="95" t="str">
        <f>IF(Date &lt;&gt; "", Date, "")</f>
        <v>1/15/2025</v>
      </c>
      <c r="E15" s="184"/>
      <c r="F15" s="4"/>
      <c r="G15" s="4"/>
      <c r="H15" s="4"/>
      <c r="I15" s="4"/>
      <c r="J15" s="4"/>
      <c r="K15" s="4"/>
      <c r="L15" s="4"/>
      <c r="M15" s="4"/>
      <c r="N15" s="4"/>
      <c r="O15" s="4"/>
      <c r="P15" s="4"/>
      <c r="Q15" s="4"/>
      <c r="R15" s="4"/>
      <c r="S15" s="4"/>
      <c r="T15" s="4"/>
      <c r="U15" s="4"/>
      <c r="V15" s="4"/>
      <c r="W15" s="4"/>
      <c r="X15" s="4"/>
      <c r="Y15" s="185"/>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row>
    <row r="16" spans="1:133" ht="17.100000000000001" customHeight="1">
      <c r="B16" s="65" t="s">
        <v>9</v>
      </c>
      <c r="C16" s="89" t="str">
        <f>IF(IntegratorResponsibleEngineer &lt;&gt; "", IntegratorResponsibleEngineer, "")</f>
        <v>wei  jiang</v>
      </c>
      <c r="E16" s="184"/>
      <c r="F16" s="4"/>
      <c r="G16" s="4"/>
      <c r="H16" s="4"/>
      <c r="I16" s="4"/>
      <c r="J16" s="4"/>
      <c r="K16" s="4"/>
      <c r="L16" s="4"/>
      <c r="M16" s="4"/>
      <c r="N16" s="4"/>
      <c r="O16" s="4"/>
      <c r="P16" s="4"/>
      <c r="Q16" s="4"/>
      <c r="R16" s="4"/>
      <c r="S16" s="4"/>
      <c r="T16" s="4"/>
      <c r="U16" s="4"/>
      <c r="V16" s="4"/>
      <c r="W16" s="4"/>
      <c r="X16" s="4"/>
      <c r="Y16" s="185"/>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row>
    <row r="17" spans="2:133" ht="17.100000000000001" customHeight="1">
      <c r="B17" s="65" t="s">
        <v>11</v>
      </c>
      <c r="C17" s="89" t="str">
        <f>IF(RivianResponsibleEngineer &lt;&gt; "", RivianResponsibleEngineer, "")</f>
        <v>Abraham Reyes</v>
      </c>
      <c r="E17" s="184"/>
      <c r="F17" s="4"/>
      <c r="G17" s="4"/>
      <c r="H17" s="4"/>
      <c r="I17" s="4"/>
      <c r="J17" s="4"/>
      <c r="K17" s="4"/>
      <c r="L17" s="4"/>
      <c r="M17" s="4"/>
      <c r="N17" s="4"/>
      <c r="O17" s="4"/>
      <c r="P17" s="4"/>
      <c r="Q17" s="4"/>
      <c r="R17" s="4"/>
      <c r="S17" s="4"/>
      <c r="T17" s="4"/>
      <c r="U17" s="4"/>
      <c r="V17" s="4"/>
      <c r="W17" s="4"/>
      <c r="X17" s="4"/>
      <c r="Y17" s="185"/>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row>
    <row r="18" spans="2:133" ht="17.100000000000001" customHeight="1">
      <c r="B18" s="65" t="s">
        <v>14</v>
      </c>
      <c r="C18" s="89" t="str">
        <f>IF(ManifoldConnection &lt;&gt; "", ManifoldConnection, "")</f>
        <v>M12 5-Pin</v>
      </c>
      <c r="E18" s="184"/>
      <c r="F18" s="4"/>
      <c r="G18" s="4"/>
      <c r="H18" s="4"/>
      <c r="I18" s="4"/>
      <c r="J18" s="4"/>
      <c r="K18" s="4"/>
      <c r="L18" s="4"/>
      <c r="M18" s="4"/>
      <c r="N18" s="4"/>
      <c r="O18" s="4"/>
      <c r="P18" s="4"/>
      <c r="Q18" s="4"/>
      <c r="R18" s="4"/>
      <c r="S18" s="4"/>
      <c r="T18" s="4"/>
      <c r="U18" s="4"/>
      <c r="V18" s="4"/>
      <c r="W18" s="4"/>
      <c r="X18" s="4"/>
      <c r="Y18" s="185"/>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row>
    <row r="19" spans="2:133" ht="17.100000000000001" customHeight="1">
      <c r="B19" s="65" t="s">
        <v>17</v>
      </c>
      <c r="C19" s="89" t="str">
        <f>IF(ToolType &lt;&gt; "", ToolType, "")</f>
        <v>Fixture</v>
      </c>
      <c r="E19" s="184"/>
      <c r="F19" s="4"/>
      <c r="G19" s="4"/>
      <c r="H19" s="4"/>
      <c r="I19" s="4"/>
      <c r="J19" s="4"/>
      <c r="K19" s="4"/>
      <c r="L19" s="4"/>
      <c r="M19" s="4"/>
      <c r="N19" s="4"/>
      <c r="O19" s="4"/>
      <c r="P19" s="4"/>
      <c r="Q19" s="4"/>
      <c r="R19" s="4"/>
      <c r="S19" s="4"/>
      <c r="T19" s="4"/>
      <c r="U19" s="4"/>
      <c r="V19" s="4"/>
      <c r="W19" s="4"/>
      <c r="X19" s="4"/>
      <c r="Y19" s="185"/>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row>
    <row r="20" spans="2:133" ht="17.100000000000001" customHeight="1">
      <c r="E20" s="184"/>
      <c r="F20" s="4"/>
      <c r="G20" s="4"/>
      <c r="H20" s="4"/>
      <c r="I20" s="4"/>
      <c r="J20" s="4"/>
      <c r="K20" s="4"/>
      <c r="L20" s="4"/>
      <c r="M20" s="4"/>
      <c r="N20" s="4"/>
      <c r="O20" s="4"/>
      <c r="P20" s="4"/>
      <c r="Q20" s="4"/>
      <c r="R20" s="4"/>
      <c r="S20" s="4"/>
      <c r="T20" s="4"/>
      <c r="U20" s="4"/>
      <c r="V20" s="4"/>
      <c r="W20" s="4"/>
      <c r="X20" s="4"/>
      <c r="Y20" s="185"/>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row>
    <row r="21" spans="2:133" ht="17.100000000000001" customHeight="1">
      <c r="B21" s="79"/>
      <c r="E21" s="184"/>
      <c r="F21" s="4"/>
      <c r="G21" s="4"/>
      <c r="H21" s="4"/>
      <c r="I21" s="4"/>
      <c r="J21" s="4"/>
      <c r="K21" s="4"/>
      <c r="L21" s="4"/>
      <c r="M21" s="4"/>
      <c r="N21" s="4"/>
      <c r="O21" s="4"/>
      <c r="P21" s="4"/>
      <c r="Q21" s="4"/>
      <c r="R21" s="4"/>
      <c r="S21" s="4"/>
      <c r="T21" s="4"/>
      <c r="U21" s="4"/>
      <c r="V21" s="4"/>
      <c r="W21" s="4"/>
      <c r="X21" s="4"/>
      <c r="Y21" s="185"/>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row>
    <row r="22" spans="2:133" ht="17.100000000000001" customHeight="1">
      <c r="E22" s="184"/>
      <c r="F22" s="4"/>
      <c r="G22" s="4"/>
      <c r="H22" s="4"/>
      <c r="I22" s="4"/>
      <c r="J22" s="4"/>
      <c r="K22" s="4"/>
      <c r="L22" s="4"/>
      <c r="M22" s="4"/>
      <c r="N22" s="4"/>
      <c r="O22" s="4"/>
      <c r="P22" s="4"/>
      <c r="Q22" s="4"/>
      <c r="R22" s="4"/>
      <c r="S22" s="4"/>
      <c r="T22" s="4"/>
      <c r="U22" s="4"/>
      <c r="V22" s="4"/>
      <c r="W22" s="4"/>
      <c r="X22" s="4"/>
      <c r="Y22" s="185"/>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row>
    <row r="23" spans="2:133" ht="17.100000000000001" customHeight="1">
      <c r="E23" s="184"/>
      <c r="F23" s="4"/>
      <c r="G23" s="4"/>
      <c r="H23" s="4"/>
      <c r="I23" s="4"/>
      <c r="J23" s="4"/>
      <c r="K23" s="4"/>
      <c r="L23" s="4"/>
      <c r="M23" s="4"/>
      <c r="N23" s="4"/>
      <c r="O23" s="4"/>
      <c r="P23" s="4"/>
      <c r="Q23" s="4"/>
      <c r="R23" s="4"/>
      <c r="S23" s="4"/>
      <c r="T23" s="4"/>
      <c r="U23" s="4"/>
      <c r="V23" s="4"/>
      <c r="W23" s="4"/>
      <c r="X23" s="4"/>
      <c r="Y23" s="185"/>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row>
    <row r="24" spans="2:133" ht="17.100000000000001" customHeight="1">
      <c r="E24" s="184"/>
      <c r="F24" s="4"/>
      <c r="G24" s="4"/>
      <c r="H24" s="4"/>
      <c r="I24" s="4"/>
      <c r="J24" s="4"/>
      <c r="K24" s="4"/>
      <c r="L24" s="4"/>
      <c r="M24" s="4"/>
      <c r="N24" s="4"/>
      <c r="O24" s="4"/>
      <c r="P24" s="4"/>
      <c r="Q24" s="4"/>
      <c r="R24" s="4"/>
      <c r="S24" s="4"/>
      <c r="T24" s="4"/>
      <c r="U24" s="4"/>
      <c r="V24" s="4"/>
      <c r="W24" s="4"/>
      <c r="X24" s="4"/>
      <c r="Y24" s="185"/>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row>
    <row r="25" spans="2:133" ht="17.100000000000001" customHeight="1">
      <c r="E25" s="184"/>
      <c r="F25" s="4"/>
      <c r="G25" s="4"/>
      <c r="H25" s="4"/>
      <c r="I25" s="4"/>
      <c r="J25" s="4"/>
      <c r="K25" s="4"/>
      <c r="L25" s="4"/>
      <c r="M25" s="4"/>
      <c r="N25" s="4"/>
      <c r="O25" s="4"/>
      <c r="P25" s="4"/>
      <c r="Q25" s="4"/>
      <c r="R25" s="4"/>
      <c r="S25" s="4"/>
      <c r="T25" s="4"/>
      <c r="U25" s="4"/>
      <c r="V25" s="4"/>
      <c r="W25" s="4"/>
      <c r="X25" s="4"/>
      <c r="Y25" s="185"/>
      <c r="Z25" s="4"/>
      <c r="AA25" s="4"/>
      <c r="AB25" s="4">
        <v>1</v>
      </c>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row>
    <row r="26" spans="2:133" ht="17.100000000000001" customHeight="1">
      <c r="E26" s="184"/>
      <c r="F26" s="4"/>
      <c r="G26" s="4"/>
      <c r="H26" s="4"/>
      <c r="I26" s="4"/>
      <c r="J26" s="4"/>
      <c r="K26" s="4"/>
      <c r="L26" s="4"/>
      <c r="M26" s="4"/>
      <c r="N26" s="4"/>
      <c r="O26" s="4"/>
      <c r="P26" s="4"/>
      <c r="Q26" s="4"/>
      <c r="R26" s="4"/>
      <c r="S26" s="4"/>
      <c r="T26" s="4"/>
      <c r="U26" s="4"/>
      <c r="V26" s="4"/>
      <c r="W26" s="4"/>
      <c r="X26" s="4"/>
      <c r="Y26" s="185"/>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row>
    <row r="27" spans="2:133" ht="17.100000000000001" customHeight="1">
      <c r="E27" s="184"/>
      <c r="F27" s="4"/>
      <c r="G27" s="4"/>
      <c r="H27" s="4"/>
      <c r="I27" s="4"/>
      <c r="J27" s="4"/>
      <c r="K27" s="4"/>
      <c r="L27" s="4"/>
      <c r="M27" s="4"/>
      <c r="N27" s="4"/>
      <c r="O27" s="4"/>
      <c r="P27" s="4"/>
      <c r="Q27" s="4"/>
      <c r="R27" s="4"/>
      <c r="S27" s="4"/>
      <c r="T27" s="4"/>
      <c r="U27" s="4"/>
      <c r="V27" s="4"/>
      <c r="W27" s="4"/>
      <c r="X27" s="4"/>
      <c r="Y27" s="185"/>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row>
    <row r="28" spans="2:133" ht="17.100000000000001" customHeight="1">
      <c r="E28" s="184"/>
      <c r="F28" s="4"/>
      <c r="G28" s="4"/>
      <c r="H28" s="4"/>
      <c r="I28" s="4"/>
      <c r="J28" s="4"/>
      <c r="K28" s="4"/>
      <c r="L28" s="4"/>
      <c r="M28" s="4"/>
      <c r="N28" s="4"/>
      <c r="O28" s="4"/>
      <c r="P28" s="4"/>
      <c r="Q28" s="4"/>
      <c r="R28" s="4"/>
      <c r="S28" s="4"/>
      <c r="T28" s="4"/>
      <c r="U28" s="4"/>
      <c r="V28" s="4"/>
      <c r="W28" s="4"/>
      <c r="X28" s="4"/>
      <c r="Y28" s="185"/>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row>
    <row r="29" spans="2:133" ht="17.100000000000001" customHeight="1">
      <c r="E29" s="184"/>
      <c r="F29" s="4"/>
      <c r="G29" s="4"/>
      <c r="H29" s="4"/>
      <c r="J29" s="4"/>
      <c r="K29" s="4"/>
      <c r="L29" s="4"/>
      <c r="M29" s="4"/>
      <c r="N29" s="4"/>
      <c r="O29" s="4"/>
      <c r="P29" s="4"/>
      <c r="Q29" s="4"/>
      <c r="R29" s="4"/>
      <c r="S29" s="4"/>
      <c r="T29" s="4"/>
      <c r="U29" s="4"/>
      <c r="V29" s="4"/>
      <c r="W29" s="4"/>
      <c r="X29" s="4"/>
      <c r="Y29" s="185"/>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row>
    <row r="30" spans="2:133" ht="17.100000000000001" customHeight="1" thickBot="1">
      <c r="E30" s="184"/>
      <c r="F30" s="4"/>
      <c r="G30" s="4"/>
      <c r="H30" s="4"/>
      <c r="I30" s="4"/>
      <c r="J30" s="4"/>
      <c r="K30" s="4"/>
      <c r="L30" s="4"/>
      <c r="M30" s="4"/>
      <c r="N30" s="4"/>
      <c r="O30" s="4"/>
      <c r="P30" s="4"/>
      <c r="Q30" s="4"/>
      <c r="R30" s="4"/>
      <c r="S30" s="4"/>
      <c r="T30" s="4"/>
      <c r="U30" s="4"/>
      <c r="V30" s="4"/>
      <c r="W30" s="4"/>
      <c r="X30" s="4"/>
      <c r="Y30" s="185"/>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row>
    <row r="31" spans="2:133" ht="17.100000000000001" customHeight="1">
      <c r="E31" s="188" t="s">
        <v>188</v>
      </c>
      <c r="F31" s="182"/>
      <c r="G31" s="182"/>
      <c r="H31" s="182"/>
      <c r="I31" s="182"/>
      <c r="J31" s="182"/>
      <c r="K31" s="182"/>
      <c r="L31" s="182"/>
      <c r="M31" s="182"/>
      <c r="N31" s="182"/>
      <c r="O31" s="182"/>
      <c r="P31" s="182"/>
      <c r="Q31" s="182"/>
      <c r="R31" s="182"/>
      <c r="S31" s="182"/>
      <c r="T31" s="182"/>
      <c r="U31" s="182"/>
      <c r="V31" s="182"/>
      <c r="W31" s="182"/>
      <c r="X31" s="182"/>
      <c r="Y31" s="183"/>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row>
    <row r="32" spans="2:133" ht="17.100000000000001" customHeight="1">
      <c r="E32" s="184"/>
      <c r="F32" s="4"/>
      <c r="G32" s="4"/>
      <c r="H32" s="4"/>
      <c r="I32" s="4"/>
      <c r="J32" s="4"/>
      <c r="K32" s="4"/>
      <c r="L32" s="4"/>
      <c r="M32" s="4"/>
      <c r="N32" s="4"/>
      <c r="O32" s="4"/>
      <c r="P32" s="4"/>
      <c r="Q32" s="4"/>
      <c r="R32" s="4"/>
      <c r="S32" s="4"/>
      <c r="T32" s="4"/>
      <c r="U32" s="4"/>
      <c r="V32" s="4"/>
      <c r="W32" s="4"/>
      <c r="X32" s="4"/>
      <c r="Y32" s="185"/>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row>
    <row r="33" spans="5:133" ht="17.100000000000001" customHeight="1">
      <c r="E33" s="184"/>
      <c r="F33" s="4"/>
      <c r="G33" s="4"/>
      <c r="H33" s="4"/>
      <c r="I33" s="4"/>
      <c r="J33" s="4"/>
      <c r="K33" s="4"/>
      <c r="L33" s="4"/>
      <c r="M33" s="4"/>
      <c r="N33" s="4"/>
      <c r="O33" s="4"/>
      <c r="P33" s="4"/>
      <c r="Q33" s="4"/>
      <c r="R33" s="4"/>
      <c r="S33" s="4"/>
      <c r="T33" s="4"/>
      <c r="U33" s="4"/>
      <c r="V33" s="4"/>
      <c r="W33" s="4"/>
      <c r="X33" s="4"/>
      <c r="Y33" s="185"/>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row>
    <row r="34" spans="5:133" ht="17.100000000000001" customHeight="1">
      <c r="E34" s="189"/>
      <c r="F34" s="190"/>
      <c r="Y34" s="191"/>
    </row>
    <row r="35" spans="5:133" ht="17.100000000000001" customHeight="1">
      <c r="E35" s="184"/>
      <c r="Y35" s="191"/>
    </row>
    <row r="36" spans="5:133" ht="30" customHeight="1">
      <c r="E36" s="184"/>
      <c r="Y36" s="191"/>
    </row>
    <row r="37" spans="5:133" ht="17.100000000000001" customHeight="1">
      <c r="E37" s="184"/>
      <c r="Y37" s="191"/>
    </row>
    <row r="38" spans="5:133" ht="17.100000000000001" customHeight="1">
      <c r="E38" s="184"/>
      <c r="Y38" s="191"/>
    </row>
    <row r="39" spans="5:133" ht="17.100000000000001" customHeight="1">
      <c r="E39" s="184"/>
      <c r="Y39" s="191"/>
    </row>
    <row r="40" spans="5:133" ht="17.100000000000001" customHeight="1">
      <c r="E40" s="184"/>
      <c r="Y40" s="191"/>
    </row>
    <row r="41" spans="5:133" ht="17.100000000000001" customHeight="1">
      <c r="E41" s="184"/>
      <c r="Y41" s="191"/>
    </row>
    <row r="42" spans="5:133" ht="17.100000000000001" customHeight="1">
      <c r="E42" s="184"/>
      <c r="Y42" s="191"/>
    </row>
    <row r="43" spans="5:133" ht="17.100000000000001" customHeight="1">
      <c r="E43" s="184"/>
      <c r="Y43" s="191"/>
    </row>
    <row r="44" spans="5:133" ht="17.100000000000001" customHeight="1">
      <c r="E44" s="184"/>
      <c r="Y44" s="191"/>
    </row>
    <row r="45" spans="5:133" ht="17.100000000000001" customHeight="1">
      <c r="E45" s="184"/>
      <c r="Y45" s="191"/>
    </row>
    <row r="46" spans="5:133" ht="17.100000000000001" customHeight="1">
      <c r="E46" s="184"/>
      <c r="Y46" s="191"/>
    </row>
    <row r="47" spans="5:133" ht="17.100000000000001" customHeight="1">
      <c r="E47" s="184"/>
      <c r="Y47" s="191"/>
    </row>
    <row r="48" spans="5:133" ht="17.100000000000001" customHeight="1">
      <c r="E48" s="184"/>
      <c r="Y48" s="191"/>
    </row>
    <row r="49" spans="3:25" ht="17.100000000000001" customHeight="1">
      <c r="E49" s="184"/>
      <c r="Y49" s="191"/>
    </row>
    <row r="50" spans="3:25" ht="17.100000000000001" customHeight="1">
      <c r="C50" s="42"/>
      <c r="E50" s="184"/>
      <c r="Y50" s="191"/>
    </row>
    <row r="51" spans="3:25" ht="17.100000000000001" customHeight="1">
      <c r="C51" s="42"/>
      <c r="E51" s="184"/>
      <c r="Y51" s="191"/>
    </row>
    <row r="52" spans="3:25" ht="17.100000000000001" customHeight="1">
      <c r="C52" s="42"/>
      <c r="E52" s="184"/>
      <c r="Y52" s="191"/>
    </row>
    <row r="53" spans="3:25" ht="17.100000000000001" customHeight="1">
      <c r="C53" s="42"/>
      <c r="E53" s="184"/>
      <c r="Y53" s="191"/>
    </row>
    <row r="54" spans="3:25" ht="17.100000000000001" customHeight="1">
      <c r="C54" s="42"/>
      <c r="E54" s="184"/>
      <c r="Y54" s="191"/>
    </row>
    <row r="55" spans="3:25" ht="17.100000000000001" customHeight="1">
      <c r="C55" s="42"/>
      <c r="E55" s="184"/>
      <c r="Y55" s="191"/>
    </row>
    <row r="56" spans="3:25" ht="17.100000000000001" customHeight="1">
      <c r="C56" s="42"/>
      <c r="E56" s="184"/>
      <c r="Y56" s="191"/>
    </row>
    <row r="57" spans="3:25" ht="17.100000000000001" customHeight="1" thickBot="1">
      <c r="C57" s="42"/>
      <c r="E57" s="186"/>
      <c r="F57" s="192"/>
      <c r="G57" s="192"/>
      <c r="H57" s="192"/>
      <c r="I57" s="192"/>
      <c r="J57" s="192"/>
      <c r="K57" s="192"/>
      <c r="L57" s="192"/>
      <c r="M57" s="192"/>
      <c r="N57" s="192"/>
      <c r="O57" s="192"/>
      <c r="P57" s="192"/>
      <c r="Q57" s="192"/>
      <c r="R57" s="192"/>
      <c r="S57" s="192"/>
      <c r="T57" s="192"/>
      <c r="U57" s="192"/>
      <c r="V57" s="192"/>
      <c r="W57" s="192"/>
      <c r="X57" s="192"/>
      <c r="Y57" s="193"/>
    </row>
    <row r="58" spans="3:25" ht="17.100000000000001" customHeight="1">
      <c r="C58" s="42"/>
      <c r="E58" s="4"/>
    </row>
    <row r="59" spans="3:25" ht="17.100000000000001" customHeight="1">
      <c r="C59" s="42"/>
      <c r="E59" s="4"/>
    </row>
    <row r="60" spans="3:25" ht="17.100000000000001" customHeight="1">
      <c r="C60" s="42"/>
      <c r="E60" s="4"/>
    </row>
    <row r="61" spans="3:25" ht="17.100000000000001" customHeight="1">
      <c r="C61" s="42"/>
      <c r="E61" s="4"/>
    </row>
    <row r="62" spans="3:25" ht="17.100000000000001" customHeight="1">
      <c r="C62" s="42"/>
      <c r="E62" s="4"/>
    </row>
    <row r="63" spans="3:25" ht="17.100000000000001" customHeight="1">
      <c r="C63" s="42"/>
      <c r="D63" s="99"/>
      <c r="E63" s="4"/>
    </row>
    <row r="64" spans="3:25" ht="17.100000000000001" customHeight="1">
      <c r="C64" s="42"/>
      <c r="E64" s="4"/>
    </row>
    <row r="65" spans="3:3" ht="17.100000000000001" customHeight="1">
      <c r="C65" s="42"/>
    </row>
    <row r="66" spans="3:3" ht="17.100000000000001" customHeight="1">
      <c r="C66" s="42"/>
    </row>
    <row r="67" spans="3:3" ht="17.100000000000001" customHeight="1">
      <c r="C67" s="42"/>
    </row>
    <row r="68" spans="3:3" ht="17.100000000000001" customHeight="1">
      <c r="C68" s="42"/>
    </row>
    <row r="69" spans="3:3" ht="17.100000000000001" customHeight="1">
      <c r="C69" s="42"/>
    </row>
    <row r="70" spans="3:3" ht="17.100000000000001" customHeight="1">
      <c r="C70" s="42"/>
    </row>
    <row r="71" spans="3:3" ht="17.100000000000001" customHeight="1">
      <c r="C71" s="42"/>
    </row>
    <row r="72" spans="3:3" ht="17.100000000000001" customHeight="1">
      <c r="C72" s="42"/>
    </row>
    <row r="73" spans="3:3" ht="17.100000000000001" customHeight="1">
      <c r="C73" s="42"/>
    </row>
    <row r="74" spans="3:3" ht="17.100000000000001" customHeight="1">
      <c r="C74" s="42"/>
    </row>
    <row r="75" spans="3:3" ht="17.100000000000001" customHeight="1">
      <c r="C75" s="42"/>
    </row>
    <row r="76" spans="3:3" ht="17.100000000000001" customHeight="1">
      <c r="C76" s="42"/>
    </row>
    <row r="77" spans="3:3" ht="17.100000000000001" customHeight="1">
      <c r="C77" s="42"/>
    </row>
    <row r="78" spans="3:3" ht="17.100000000000001" customHeight="1">
      <c r="C78" s="42"/>
    </row>
    <row r="79" spans="3:3" ht="17.100000000000001" customHeight="1">
      <c r="C79" s="42"/>
    </row>
    <row r="80" spans="3:3" ht="17.100000000000001" customHeight="1">
      <c r="C80" s="42"/>
    </row>
    <row r="81" spans="1:5" ht="17.100000000000001" customHeight="1">
      <c r="C81" s="42"/>
    </row>
    <row r="82" spans="1:5" ht="17.100000000000001" customHeight="1">
      <c r="C82" s="42"/>
    </row>
    <row r="83" spans="1:5" ht="17.100000000000001" customHeight="1">
      <c r="C83" s="42"/>
    </row>
    <row r="84" spans="1:5" s="99" customFormat="1" ht="17.100000000000001" customHeight="1">
      <c r="A84"/>
      <c r="B84" s="78"/>
      <c r="D84" s="42"/>
      <c r="E84" s="42"/>
    </row>
    <row r="85" spans="1:5" ht="17.100000000000001" customHeight="1">
      <c r="C85" s="42"/>
    </row>
    <row r="86" spans="1:5" ht="17.100000000000001" customHeight="1">
      <c r="C86" s="42"/>
    </row>
    <row r="87" spans="1:5" ht="17.100000000000001" customHeight="1">
      <c r="C87" s="42"/>
    </row>
    <row r="88" spans="1:5" ht="17.100000000000001" customHeight="1">
      <c r="C88" s="42"/>
    </row>
    <row r="89" spans="1:5" ht="17.100000000000001" customHeight="1">
      <c r="C89" s="42"/>
    </row>
    <row r="90" spans="1:5" ht="17.100000000000001" customHeight="1">
      <c r="C90" s="42"/>
    </row>
    <row r="91" spans="1:5" ht="17.100000000000001" customHeight="1">
      <c r="C91" s="42"/>
    </row>
    <row r="92" spans="1:5" ht="17.100000000000001" customHeight="1">
      <c r="C92" s="42"/>
    </row>
    <row r="93" spans="1:5" ht="17.100000000000001" customHeight="1">
      <c r="C93" s="42"/>
    </row>
    <row r="94" spans="1:5" ht="17.100000000000001" customHeight="1">
      <c r="C94" s="42"/>
    </row>
    <row r="95" spans="1:5" ht="17.100000000000001" customHeight="1">
      <c r="C95" s="42"/>
    </row>
    <row r="96" spans="1:5" ht="17.100000000000001" customHeight="1">
      <c r="C96" s="42"/>
    </row>
    <row r="97" spans="3:3" ht="17.100000000000001" customHeight="1">
      <c r="C97" s="42"/>
    </row>
    <row r="98" spans="3:3" ht="17.100000000000001" customHeight="1">
      <c r="C98" s="42"/>
    </row>
    <row r="99" spans="3:3" ht="17.100000000000001" customHeight="1">
      <c r="C99" s="42"/>
    </row>
    <row r="100" spans="3:3" ht="17.100000000000001" customHeight="1">
      <c r="C100" s="42"/>
    </row>
    <row r="101" spans="3:3" ht="17.100000000000001" customHeight="1">
      <c r="C101" s="42"/>
    </row>
    <row r="102" spans="3:3" ht="17.100000000000001" customHeight="1">
      <c r="C102" s="42"/>
    </row>
    <row r="103" spans="3:3" ht="17.100000000000001" customHeight="1">
      <c r="C103" s="42"/>
    </row>
    <row r="104" spans="3:3" ht="17.100000000000001" customHeight="1">
      <c r="C104" s="42"/>
    </row>
    <row r="105" spans="3:3" ht="17.100000000000001" customHeight="1">
      <c r="C105" s="42"/>
    </row>
    <row r="106" spans="3:3" ht="17.100000000000001" customHeight="1">
      <c r="C106" s="42"/>
    </row>
    <row r="107" spans="3:3" ht="17.100000000000001" customHeight="1">
      <c r="C107" s="42"/>
    </row>
    <row r="108" spans="3:3" ht="17.100000000000001" customHeight="1">
      <c r="C108" s="42"/>
    </row>
    <row r="109" spans="3:3" ht="17.100000000000001" customHeight="1">
      <c r="C109" s="42"/>
    </row>
    <row r="110" spans="3:3" ht="17.100000000000001" customHeight="1">
      <c r="C110" s="42"/>
    </row>
    <row r="111" spans="3:3" ht="17.100000000000001" customHeight="1">
      <c r="C111" s="42"/>
    </row>
    <row r="112" spans="3:3" ht="17.100000000000001" customHeight="1">
      <c r="C112" s="42"/>
    </row>
    <row r="113" spans="3:3" ht="17.100000000000001" customHeight="1">
      <c r="C113" s="42"/>
    </row>
    <row r="114" spans="3:3" ht="17.100000000000001" customHeight="1">
      <c r="C114" s="42"/>
    </row>
    <row r="115" spans="3:3" ht="17.100000000000001" customHeight="1">
      <c r="C115" s="42"/>
    </row>
    <row r="116" spans="3:3" ht="17.100000000000001" customHeight="1">
      <c r="C116" s="42"/>
    </row>
    <row r="117" spans="3:3" ht="17.100000000000001" customHeight="1">
      <c r="C117" s="42"/>
    </row>
    <row r="118" spans="3:3" ht="17.100000000000001" customHeight="1">
      <c r="C118" s="42"/>
    </row>
    <row r="119" spans="3:3" ht="17.100000000000001" customHeight="1">
      <c r="C119" s="42"/>
    </row>
    <row r="120" spans="3:3" ht="17.100000000000001" customHeight="1">
      <c r="C120" s="42"/>
    </row>
    <row r="121" spans="3:3" ht="17.100000000000001" customHeight="1">
      <c r="C121" s="42"/>
    </row>
    <row r="122" spans="3:3" ht="17.100000000000001" customHeight="1">
      <c r="C122" s="42"/>
    </row>
    <row r="123" spans="3:3" ht="17.100000000000001" customHeight="1">
      <c r="C123" s="42"/>
    </row>
    <row r="124" spans="3:3" ht="17.100000000000001" customHeight="1">
      <c r="C124" s="42"/>
    </row>
    <row r="125" spans="3:3" ht="17.100000000000001" customHeight="1">
      <c r="C125" s="42"/>
    </row>
    <row r="126" spans="3:3" ht="17.100000000000001" customHeight="1">
      <c r="C126" s="42"/>
    </row>
    <row r="127" spans="3:3" ht="17.100000000000001" customHeight="1">
      <c r="C127" s="42"/>
    </row>
    <row r="128" spans="3:3" ht="17.100000000000001" customHeight="1">
      <c r="C128" s="42"/>
    </row>
    <row r="129" spans="3:5" ht="17.100000000000001" customHeight="1">
      <c r="C129" s="42"/>
    </row>
    <row r="130" spans="3:5" ht="17.100000000000001" customHeight="1">
      <c r="C130" s="42"/>
    </row>
    <row r="131" spans="3:5" ht="17.100000000000001" customHeight="1">
      <c r="C131" s="42"/>
    </row>
    <row r="132" spans="3:5" ht="17.100000000000001" customHeight="1">
      <c r="C132" s="42"/>
    </row>
    <row r="133" spans="3:5" ht="17.100000000000001" customHeight="1">
      <c r="C133" s="42"/>
    </row>
    <row r="134" spans="3:5" ht="17.100000000000001" customHeight="1">
      <c r="C134" s="42"/>
    </row>
    <row r="135" spans="3:5" ht="17.100000000000001" customHeight="1">
      <c r="C135" s="42"/>
    </row>
    <row r="136" spans="3:5" ht="17.100000000000001" customHeight="1">
      <c r="C136" s="42"/>
    </row>
    <row r="137" spans="3:5" ht="17.100000000000001" customHeight="1">
      <c r="C137" s="42"/>
      <c r="E137" s="100"/>
    </row>
    <row r="138" spans="3:5" ht="17.100000000000001" customHeight="1">
      <c r="C138" s="42"/>
    </row>
    <row r="139" spans="3:5" ht="17.100000000000001" customHeight="1">
      <c r="C139" s="42"/>
    </row>
    <row r="140" spans="3:5" ht="17.100000000000001" customHeight="1"/>
    <row r="141" spans="3:5" ht="17.100000000000001" customHeight="1"/>
    <row r="142" spans="3:5" ht="17.100000000000001" customHeight="1"/>
    <row r="143" spans="3:5" ht="17.100000000000001" customHeight="1"/>
    <row r="144" spans="3:5" ht="17.100000000000001" customHeight="1"/>
    <row r="145" ht="17.100000000000001" customHeight="1"/>
    <row r="146" ht="17.100000000000001" customHeight="1"/>
    <row r="147" ht="17.100000000000001" customHeight="1"/>
    <row r="148" ht="17.100000000000001" customHeight="1"/>
    <row r="149" ht="17.100000000000001" customHeight="1"/>
    <row r="150" ht="17.100000000000001" customHeight="1"/>
    <row r="151" ht="17.100000000000001" customHeight="1"/>
    <row r="152" ht="17.100000000000001" customHeight="1"/>
    <row r="153" ht="17.100000000000001" customHeight="1"/>
    <row r="154" ht="17.100000000000001" customHeight="1"/>
    <row r="155" ht="17.100000000000001" customHeight="1"/>
    <row r="156" ht="17.100000000000001" customHeight="1"/>
    <row r="157" ht="17.100000000000001" customHeight="1"/>
    <row r="158" ht="17.100000000000001" customHeight="1"/>
    <row r="159" ht="17.100000000000001" customHeight="1"/>
    <row r="160" ht="17.100000000000001" customHeight="1"/>
    <row r="161" spans="5:5" ht="17.100000000000001" customHeight="1"/>
    <row r="162" spans="5:5" ht="17.100000000000001" customHeight="1"/>
    <row r="163" spans="5:5" ht="17.100000000000001" customHeight="1"/>
    <row r="164" spans="5:5" ht="17.100000000000001" customHeight="1"/>
    <row r="165" spans="5:5" ht="17.100000000000001" customHeight="1"/>
    <row r="166" spans="5:5" ht="17.100000000000001" customHeight="1"/>
    <row r="167" spans="5:5" ht="17.100000000000001" customHeight="1">
      <c r="E167" s="100"/>
    </row>
    <row r="168" spans="5:5" ht="17.100000000000001" customHeight="1"/>
    <row r="169" spans="5:5" ht="17.100000000000001" customHeight="1"/>
    <row r="170" spans="5:5" ht="17.100000000000001" customHeight="1"/>
    <row r="171" spans="5:5" ht="17.100000000000001" customHeight="1"/>
    <row r="172" spans="5:5" ht="17.100000000000001" customHeight="1"/>
    <row r="173" spans="5:5" ht="17.100000000000001" customHeight="1"/>
    <row r="174" spans="5:5" ht="17.100000000000001" customHeight="1"/>
    <row r="175" spans="5:5" ht="17.100000000000001" customHeight="1"/>
    <row r="176" spans="5:5" ht="17.100000000000001" customHeight="1"/>
    <row r="177" ht="17.100000000000001" customHeight="1"/>
    <row r="178" ht="17.100000000000001" customHeight="1"/>
    <row r="179" ht="17.100000000000001" customHeight="1"/>
    <row r="180" ht="17.100000000000001" customHeight="1"/>
    <row r="181" ht="17.100000000000001" customHeight="1"/>
    <row r="182" ht="17.100000000000001" customHeight="1"/>
    <row r="183" ht="17.100000000000001" customHeight="1"/>
    <row r="184" ht="17.100000000000001" customHeight="1"/>
    <row r="185" ht="17.100000000000001" customHeight="1"/>
    <row r="186" ht="17.100000000000001" customHeight="1"/>
    <row r="187" ht="17.100000000000001" customHeight="1"/>
    <row r="188" ht="17.100000000000001" customHeight="1"/>
    <row r="189" ht="17.100000000000001" customHeight="1"/>
    <row r="190" ht="17.100000000000001" customHeight="1"/>
    <row r="191" ht="17.100000000000001" customHeight="1"/>
    <row r="192" ht="17.100000000000001" customHeight="1"/>
    <row r="193" ht="17.100000000000001" customHeight="1"/>
    <row r="194" ht="17.100000000000001" customHeight="1"/>
    <row r="195" ht="17.100000000000001" customHeight="1"/>
    <row r="196" ht="17.100000000000001" customHeight="1"/>
    <row r="197" ht="17.100000000000001" customHeight="1"/>
    <row r="198" ht="17.100000000000001" customHeight="1"/>
    <row r="199" ht="17.100000000000001" customHeight="1"/>
  </sheetData>
  <mergeCells count="2">
    <mergeCell ref="B3:C3"/>
    <mergeCell ref="V1:Y2"/>
  </mergeCells>
  <phoneticPr fontId="46" type="noConversion"/>
  <conditionalFormatting sqref="C4:C8 C11:C19">
    <cfRule type="expression" dxfId="50" priority="1">
      <formula>OR(C4="", C4=0)</formula>
    </cfRule>
  </conditionalFormatting>
  <printOptions horizontalCentered="1"/>
  <pageMargins left="0.25" right="0.25" top="0.4" bottom="0.4" header="0.5" footer="0.25"/>
  <pageSetup scale="60" fitToHeight="5" orientation="portrait" r:id="rId1"/>
  <headerFooter>
    <oddFooter>&amp;L&amp;D&amp;CPage &amp;P of &amp;N&amp;REquipment Vendor Safety Buyoff - Rev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Create Cylinders">
              <controlPr defaultSize="0" print="0" autoFill="0" autoPict="0" macro="[0]!CreateCylinders">
                <anchor moveWithCells="1">
                  <from>
                    <xdr:col>4</xdr:col>
                    <xdr:colOff>28575</xdr:colOff>
                    <xdr:row>0</xdr:row>
                    <xdr:rowOff>47625</xdr:rowOff>
                  </from>
                  <to>
                    <xdr:col>5</xdr:col>
                    <xdr:colOff>619125</xdr:colOff>
                    <xdr:row>1</xdr:row>
                    <xdr:rowOff>142875</xdr:rowOff>
                  </to>
                </anchor>
              </controlPr>
            </control>
          </mc:Choice>
        </mc:AlternateContent>
        <mc:AlternateContent xmlns:mc="http://schemas.openxmlformats.org/markup-compatibility/2006">
          <mc:Choice Requires="x14">
            <control shapeId="6146" r:id="rId5" name="Create Sensors">
              <controlPr defaultSize="0" print="0" autoFill="0" autoPict="0" macro="[0]!CreateSensors" altText="Create Sensors">
                <anchor moveWithCells="1">
                  <from>
                    <xdr:col>6</xdr:col>
                    <xdr:colOff>28575</xdr:colOff>
                    <xdr:row>0</xdr:row>
                    <xdr:rowOff>47625</xdr:rowOff>
                  </from>
                  <to>
                    <xdr:col>7</xdr:col>
                    <xdr:colOff>619125</xdr:colOff>
                    <xdr:row>1</xdr:row>
                    <xdr:rowOff>142875</xdr:rowOff>
                  </to>
                </anchor>
              </controlPr>
            </control>
          </mc:Choice>
        </mc:AlternateContent>
        <mc:AlternateContent xmlns:mc="http://schemas.openxmlformats.org/markup-compatibility/2006">
          <mc:Choice Requires="x14">
            <control shapeId="6147" r:id="rId6" name="Button 3">
              <controlPr defaultSize="0" print="0" autoFill="0" autoPict="0" macro="[0]!ClearIndicators" altText="Clear Indicators">
                <anchor moveWithCells="1">
                  <from>
                    <xdr:col>8</xdr:col>
                    <xdr:colOff>28575</xdr:colOff>
                    <xdr:row>0</xdr:row>
                    <xdr:rowOff>47625</xdr:rowOff>
                  </from>
                  <to>
                    <xdr:col>9</xdr:col>
                    <xdr:colOff>619125</xdr:colOff>
                    <xdr:row>1</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92F4C-4B76-42FA-B845-7E90CB05F5D3}">
  <sheetPr codeName="Sheet6"/>
  <dimension ref="A1:W2002"/>
  <sheetViews>
    <sheetView zoomScale="85" zoomScaleNormal="85" zoomScaleSheetLayoutView="100" workbookViewId="0">
      <pane xSplit="5" ySplit="3" topLeftCell="F98" activePane="bottomRight" state="frozen"/>
      <selection pane="topRight" activeCell="F1" sqref="F1"/>
      <selection pane="bottomLeft" activeCell="A4" sqref="A4"/>
      <selection pane="bottomRight" activeCell="J105" sqref="J105"/>
    </sheetView>
  </sheetViews>
  <sheetFormatPr defaultColWidth="8.625" defaultRowHeight="12"/>
  <cols>
    <col min="1" max="1" width="2.125" style="140" customWidth="1"/>
    <col min="2" max="2" width="29.5" style="140" bestFit="1" customWidth="1"/>
    <col min="3" max="3" width="16.25" style="140" bestFit="1" customWidth="1"/>
    <col min="4" max="4" width="1.75" style="140" customWidth="1"/>
    <col min="5" max="5" width="6.25" style="140" customWidth="1"/>
    <col min="6" max="6" width="8.375" style="140" bestFit="1" customWidth="1"/>
    <col min="7" max="7" width="21.125" style="140" bestFit="1" customWidth="1"/>
    <col min="8" max="8" width="9.75" style="140" customWidth="1"/>
    <col min="9" max="9" width="10.125" style="140" bestFit="1" customWidth="1"/>
    <col min="10" max="10" width="30" style="153" customWidth="1"/>
    <col min="11" max="11" width="7" style="153" customWidth="1"/>
    <col min="12" max="12" width="9" style="140" customWidth="1"/>
    <col min="13" max="13" width="7.5" style="140" customWidth="1"/>
    <col min="14" max="14" width="15.625" style="140" bestFit="1" customWidth="1"/>
    <col min="15" max="15" width="9.75" style="140" bestFit="1" customWidth="1"/>
    <col min="16" max="16" width="8.625" style="140" bestFit="1" customWidth="1"/>
    <col min="17" max="17" width="6.375" style="140" bestFit="1" customWidth="1"/>
    <col min="18" max="18" width="5.25" style="140" customWidth="1"/>
    <col min="19" max="19" width="4.125" style="140" hidden="1" customWidth="1"/>
    <col min="20" max="20" width="6.875" style="140" bestFit="1" customWidth="1"/>
    <col min="21" max="21" width="9.375" style="140" bestFit="1" customWidth="1"/>
    <col min="22" max="22" width="6" style="140" bestFit="1" customWidth="1"/>
    <col min="23" max="23" width="4" style="140" customWidth="1"/>
    <col min="24" max="254" width="8.625" style="140"/>
    <col min="255" max="255" width="5.625" style="140" customWidth="1"/>
    <col min="256" max="256" width="10.625" style="140" customWidth="1"/>
    <col min="257" max="257" width="45.625" style="140" customWidth="1"/>
    <col min="258" max="258" width="48.625" style="140" customWidth="1"/>
    <col min="259" max="261" width="5.625" style="140" customWidth="1"/>
    <col min="262" max="262" width="21.625" style="140" customWidth="1"/>
    <col min="263" max="263" width="22.625" style="140" customWidth="1"/>
    <col min="264" max="510" width="8.625" style="140"/>
    <col min="511" max="511" width="5.625" style="140" customWidth="1"/>
    <col min="512" max="512" width="10.625" style="140" customWidth="1"/>
    <col min="513" max="513" width="45.625" style="140" customWidth="1"/>
    <col min="514" max="514" width="48.625" style="140" customWidth="1"/>
    <col min="515" max="517" width="5.625" style="140" customWidth="1"/>
    <col min="518" max="518" width="21.625" style="140" customWidth="1"/>
    <col min="519" max="519" width="22.625" style="140" customWidth="1"/>
    <col min="520" max="766" width="8.625" style="140"/>
    <col min="767" max="767" width="5.625" style="140" customWidth="1"/>
    <col min="768" max="768" width="10.625" style="140" customWidth="1"/>
    <col min="769" max="769" width="45.625" style="140" customWidth="1"/>
    <col min="770" max="770" width="48.625" style="140" customWidth="1"/>
    <col min="771" max="773" width="5.625" style="140" customWidth="1"/>
    <col min="774" max="774" width="21.625" style="140" customWidth="1"/>
    <col min="775" max="775" width="22.625" style="140" customWidth="1"/>
    <col min="776" max="1022" width="8.625" style="140"/>
    <col min="1023" max="1023" width="5.625" style="140" customWidth="1"/>
    <col min="1024" max="1024" width="10.625" style="140" customWidth="1"/>
    <col min="1025" max="1025" width="45.625" style="140" customWidth="1"/>
    <col min="1026" max="1026" width="48.625" style="140" customWidth="1"/>
    <col min="1027" max="1029" width="5.625" style="140" customWidth="1"/>
    <col min="1030" max="1030" width="21.625" style="140" customWidth="1"/>
    <col min="1031" max="1031" width="22.625" style="140" customWidth="1"/>
    <col min="1032" max="1278" width="8.625" style="140"/>
    <col min="1279" max="1279" width="5.625" style="140" customWidth="1"/>
    <col min="1280" max="1280" width="10.625" style="140" customWidth="1"/>
    <col min="1281" max="1281" width="45.625" style="140" customWidth="1"/>
    <col min="1282" max="1282" width="48.625" style="140" customWidth="1"/>
    <col min="1283" max="1285" width="5.625" style="140" customWidth="1"/>
    <col min="1286" max="1286" width="21.625" style="140" customWidth="1"/>
    <col min="1287" max="1287" width="22.625" style="140" customWidth="1"/>
    <col min="1288" max="1534" width="8.625" style="140"/>
    <col min="1535" max="1535" width="5.625" style="140" customWidth="1"/>
    <col min="1536" max="1536" width="10.625" style="140" customWidth="1"/>
    <col min="1537" max="1537" width="45.625" style="140" customWidth="1"/>
    <col min="1538" max="1538" width="48.625" style="140" customWidth="1"/>
    <col min="1539" max="1541" width="5.625" style="140" customWidth="1"/>
    <col min="1542" max="1542" width="21.625" style="140" customWidth="1"/>
    <col min="1543" max="1543" width="22.625" style="140" customWidth="1"/>
    <col min="1544" max="1790" width="8.625" style="140"/>
    <col min="1791" max="1791" width="5.625" style="140" customWidth="1"/>
    <col min="1792" max="1792" width="10.625" style="140" customWidth="1"/>
    <col min="1793" max="1793" width="45.625" style="140" customWidth="1"/>
    <col min="1794" max="1794" width="48.625" style="140" customWidth="1"/>
    <col min="1795" max="1797" width="5.625" style="140" customWidth="1"/>
    <col min="1798" max="1798" width="21.625" style="140" customWidth="1"/>
    <col min="1799" max="1799" width="22.625" style="140" customWidth="1"/>
    <col min="1800" max="2046" width="8.625" style="140"/>
    <col min="2047" max="2047" width="5.625" style="140" customWidth="1"/>
    <col min="2048" max="2048" width="10.625" style="140" customWidth="1"/>
    <col min="2049" max="2049" width="45.625" style="140" customWidth="1"/>
    <col min="2050" max="2050" width="48.625" style="140" customWidth="1"/>
    <col min="2051" max="2053" width="5.625" style="140" customWidth="1"/>
    <col min="2054" max="2054" width="21.625" style="140" customWidth="1"/>
    <col min="2055" max="2055" width="22.625" style="140" customWidth="1"/>
    <col min="2056" max="2302" width="8.625" style="140"/>
    <col min="2303" max="2303" width="5.625" style="140" customWidth="1"/>
    <col min="2304" max="2304" width="10.625" style="140" customWidth="1"/>
    <col min="2305" max="2305" width="45.625" style="140" customWidth="1"/>
    <col min="2306" max="2306" width="48.625" style="140" customWidth="1"/>
    <col min="2307" max="2309" width="5.625" style="140" customWidth="1"/>
    <col min="2310" max="2310" width="21.625" style="140" customWidth="1"/>
    <col min="2311" max="2311" width="22.625" style="140" customWidth="1"/>
    <col min="2312" max="2558" width="8.625" style="140"/>
    <col min="2559" max="2559" width="5.625" style="140" customWidth="1"/>
    <col min="2560" max="2560" width="10.625" style="140" customWidth="1"/>
    <col min="2561" max="2561" width="45.625" style="140" customWidth="1"/>
    <col min="2562" max="2562" width="48.625" style="140" customWidth="1"/>
    <col min="2563" max="2565" width="5.625" style="140" customWidth="1"/>
    <col min="2566" max="2566" width="21.625" style="140" customWidth="1"/>
    <col min="2567" max="2567" width="22.625" style="140" customWidth="1"/>
    <col min="2568" max="2814" width="8.625" style="140"/>
    <col min="2815" max="2815" width="5.625" style="140" customWidth="1"/>
    <col min="2816" max="2816" width="10.625" style="140" customWidth="1"/>
    <col min="2817" max="2817" width="45.625" style="140" customWidth="1"/>
    <col min="2818" max="2818" width="48.625" style="140" customWidth="1"/>
    <col min="2819" max="2821" width="5.625" style="140" customWidth="1"/>
    <col min="2822" max="2822" width="21.625" style="140" customWidth="1"/>
    <col min="2823" max="2823" width="22.625" style="140" customWidth="1"/>
    <col min="2824" max="3070" width="8.625" style="140"/>
    <col min="3071" max="3071" width="5.625" style="140" customWidth="1"/>
    <col min="3072" max="3072" width="10.625" style="140" customWidth="1"/>
    <col min="3073" max="3073" width="45.625" style="140" customWidth="1"/>
    <col min="3074" max="3074" width="48.625" style="140" customWidth="1"/>
    <col min="3075" max="3077" width="5.625" style="140" customWidth="1"/>
    <col min="3078" max="3078" width="21.625" style="140" customWidth="1"/>
    <col min="3079" max="3079" width="22.625" style="140" customWidth="1"/>
    <col min="3080" max="3326" width="8.625" style="140"/>
    <col min="3327" max="3327" width="5.625" style="140" customWidth="1"/>
    <col min="3328" max="3328" width="10.625" style="140" customWidth="1"/>
    <col min="3329" max="3329" width="45.625" style="140" customWidth="1"/>
    <col min="3330" max="3330" width="48.625" style="140" customWidth="1"/>
    <col min="3331" max="3333" width="5.625" style="140" customWidth="1"/>
    <col min="3334" max="3334" width="21.625" style="140" customWidth="1"/>
    <col min="3335" max="3335" width="22.625" style="140" customWidth="1"/>
    <col min="3336" max="3582" width="8.625" style="140"/>
    <col min="3583" max="3583" width="5.625" style="140" customWidth="1"/>
    <col min="3584" max="3584" width="10.625" style="140" customWidth="1"/>
    <col min="3585" max="3585" width="45.625" style="140" customWidth="1"/>
    <col min="3586" max="3586" width="48.625" style="140" customWidth="1"/>
    <col min="3587" max="3589" width="5.625" style="140" customWidth="1"/>
    <col min="3590" max="3590" width="21.625" style="140" customWidth="1"/>
    <col min="3591" max="3591" width="22.625" style="140" customWidth="1"/>
    <col min="3592" max="3838" width="8.625" style="140"/>
    <col min="3839" max="3839" width="5.625" style="140" customWidth="1"/>
    <col min="3840" max="3840" width="10.625" style="140" customWidth="1"/>
    <col min="3841" max="3841" width="45.625" style="140" customWidth="1"/>
    <col min="3842" max="3842" width="48.625" style="140" customWidth="1"/>
    <col min="3843" max="3845" width="5.625" style="140" customWidth="1"/>
    <col min="3846" max="3846" width="21.625" style="140" customWidth="1"/>
    <col min="3847" max="3847" width="22.625" style="140" customWidth="1"/>
    <col min="3848" max="4094" width="8.625" style="140"/>
    <col min="4095" max="4095" width="5.625" style="140" customWidth="1"/>
    <col min="4096" max="4096" width="10.625" style="140" customWidth="1"/>
    <col min="4097" max="4097" width="45.625" style="140" customWidth="1"/>
    <col min="4098" max="4098" width="48.625" style="140" customWidth="1"/>
    <col min="4099" max="4101" width="5.625" style="140" customWidth="1"/>
    <col min="4102" max="4102" width="21.625" style="140" customWidth="1"/>
    <col min="4103" max="4103" width="22.625" style="140" customWidth="1"/>
    <col min="4104" max="4350" width="8.625" style="140"/>
    <col min="4351" max="4351" width="5.625" style="140" customWidth="1"/>
    <col min="4352" max="4352" width="10.625" style="140" customWidth="1"/>
    <col min="4353" max="4353" width="45.625" style="140" customWidth="1"/>
    <col min="4354" max="4354" width="48.625" style="140" customWidth="1"/>
    <col min="4355" max="4357" width="5.625" style="140" customWidth="1"/>
    <col min="4358" max="4358" width="21.625" style="140" customWidth="1"/>
    <col min="4359" max="4359" width="22.625" style="140" customWidth="1"/>
    <col min="4360" max="4606" width="8.625" style="140"/>
    <col min="4607" max="4607" width="5.625" style="140" customWidth="1"/>
    <col min="4608" max="4608" width="10.625" style="140" customWidth="1"/>
    <col min="4609" max="4609" width="45.625" style="140" customWidth="1"/>
    <col min="4610" max="4610" width="48.625" style="140" customWidth="1"/>
    <col min="4611" max="4613" width="5.625" style="140" customWidth="1"/>
    <col min="4614" max="4614" width="21.625" style="140" customWidth="1"/>
    <col min="4615" max="4615" width="22.625" style="140" customWidth="1"/>
    <col min="4616" max="4862" width="8.625" style="140"/>
    <col min="4863" max="4863" width="5.625" style="140" customWidth="1"/>
    <col min="4864" max="4864" width="10.625" style="140" customWidth="1"/>
    <col min="4865" max="4865" width="45.625" style="140" customWidth="1"/>
    <col min="4866" max="4866" width="48.625" style="140" customWidth="1"/>
    <col min="4867" max="4869" width="5.625" style="140" customWidth="1"/>
    <col min="4870" max="4870" width="21.625" style="140" customWidth="1"/>
    <col min="4871" max="4871" width="22.625" style="140" customWidth="1"/>
    <col min="4872" max="5118" width="8.625" style="140"/>
    <col min="5119" max="5119" width="5.625" style="140" customWidth="1"/>
    <col min="5120" max="5120" width="10.625" style="140" customWidth="1"/>
    <col min="5121" max="5121" width="45.625" style="140" customWidth="1"/>
    <col min="5122" max="5122" width="48.625" style="140" customWidth="1"/>
    <col min="5123" max="5125" width="5.625" style="140" customWidth="1"/>
    <col min="5126" max="5126" width="21.625" style="140" customWidth="1"/>
    <col min="5127" max="5127" width="22.625" style="140" customWidth="1"/>
    <col min="5128" max="5374" width="8.625" style="140"/>
    <col min="5375" max="5375" width="5.625" style="140" customWidth="1"/>
    <col min="5376" max="5376" width="10.625" style="140" customWidth="1"/>
    <col min="5377" max="5377" width="45.625" style="140" customWidth="1"/>
    <col min="5378" max="5378" width="48.625" style="140" customWidth="1"/>
    <col min="5379" max="5381" width="5.625" style="140" customWidth="1"/>
    <col min="5382" max="5382" width="21.625" style="140" customWidth="1"/>
    <col min="5383" max="5383" width="22.625" style="140" customWidth="1"/>
    <col min="5384" max="5630" width="8.625" style="140"/>
    <col min="5631" max="5631" width="5.625" style="140" customWidth="1"/>
    <col min="5632" max="5632" width="10.625" style="140" customWidth="1"/>
    <col min="5633" max="5633" width="45.625" style="140" customWidth="1"/>
    <col min="5634" max="5634" width="48.625" style="140" customWidth="1"/>
    <col min="5635" max="5637" width="5.625" style="140" customWidth="1"/>
    <col min="5638" max="5638" width="21.625" style="140" customWidth="1"/>
    <col min="5639" max="5639" width="22.625" style="140" customWidth="1"/>
    <col min="5640" max="5886" width="8.625" style="140"/>
    <col min="5887" max="5887" width="5.625" style="140" customWidth="1"/>
    <col min="5888" max="5888" width="10.625" style="140" customWidth="1"/>
    <col min="5889" max="5889" width="45.625" style="140" customWidth="1"/>
    <col min="5890" max="5890" width="48.625" style="140" customWidth="1"/>
    <col min="5891" max="5893" width="5.625" style="140" customWidth="1"/>
    <col min="5894" max="5894" width="21.625" style="140" customWidth="1"/>
    <col min="5895" max="5895" width="22.625" style="140" customWidth="1"/>
    <col min="5896" max="6142" width="8.625" style="140"/>
    <col min="6143" max="6143" width="5.625" style="140" customWidth="1"/>
    <col min="6144" max="6144" width="10.625" style="140" customWidth="1"/>
    <col min="6145" max="6145" width="45.625" style="140" customWidth="1"/>
    <col min="6146" max="6146" width="48.625" style="140" customWidth="1"/>
    <col min="6147" max="6149" width="5.625" style="140" customWidth="1"/>
    <col min="6150" max="6150" width="21.625" style="140" customWidth="1"/>
    <col min="6151" max="6151" width="22.625" style="140" customWidth="1"/>
    <col min="6152" max="6398" width="8.625" style="140"/>
    <col min="6399" max="6399" width="5.625" style="140" customWidth="1"/>
    <col min="6400" max="6400" width="10.625" style="140" customWidth="1"/>
    <col min="6401" max="6401" width="45.625" style="140" customWidth="1"/>
    <col min="6402" max="6402" width="48.625" style="140" customWidth="1"/>
    <col min="6403" max="6405" width="5.625" style="140" customWidth="1"/>
    <col min="6406" max="6406" width="21.625" style="140" customWidth="1"/>
    <col min="6407" max="6407" width="22.625" style="140" customWidth="1"/>
    <col min="6408" max="6654" width="8.625" style="140"/>
    <col min="6655" max="6655" width="5.625" style="140" customWidth="1"/>
    <col min="6656" max="6656" width="10.625" style="140" customWidth="1"/>
    <col min="6657" max="6657" width="45.625" style="140" customWidth="1"/>
    <col min="6658" max="6658" width="48.625" style="140" customWidth="1"/>
    <col min="6659" max="6661" width="5.625" style="140" customWidth="1"/>
    <col min="6662" max="6662" width="21.625" style="140" customWidth="1"/>
    <col min="6663" max="6663" width="22.625" style="140" customWidth="1"/>
    <col min="6664" max="6910" width="8.625" style="140"/>
    <col min="6911" max="6911" width="5.625" style="140" customWidth="1"/>
    <col min="6912" max="6912" width="10.625" style="140" customWidth="1"/>
    <col min="6913" max="6913" width="45.625" style="140" customWidth="1"/>
    <col min="6914" max="6914" width="48.625" style="140" customWidth="1"/>
    <col min="6915" max="6917" width="5.625" style="140" customWidth="1"/>
    <col min="6918" max="6918" width="21.625" style="140" customWidth="1"/>
    <col min="6919" max="6919" width="22.625" style="140" customWidth="1"/>
    <col min="6920" max="7166" width="8.625" style="140"/>
    <col min="7167" max="7167" width="5.625" style="140" customWidth="1"/>
    <col min="7168" max="7168" width="10.625" style="140" customWidth="1"/>
    <col min="7169" max="7169" width="45.625" style="140" customWidth="1"/>
    <col min="7170" max="7170" width="48.625" style="140" customWidth="1"/>
    <col min="7171" max="7173" width="5.625" style="140" customWidth="1"/>
    <col min="7174" max="7174" width="21.625" style="140" customWidth="1"/>
    <col min="7175" max="7175" width="22.625" style="140" customWidth="1"/>
    <col min="7176" max="7422" width="8.625" style="140"/>
    <col min="7423" max="7423" width="5.625" style="140" customWidth="1"/>
    <col min="7424" max="7424" width="10.625" style="140" customWidth="1"/>
    <col min="7425" max="7425" width="45.625" style="140" customWidth="1"/>
    <col min="7426" max="7426" width="48.625" style="140" customWidth="1"/>
    <col min="7427" max="7429" width="5.625" style="140" customWidth="1"/>
    <col min="7430" max="7430" width="21.625" style="140" customWidth="1"/>
    <col min="7431" max="7431" width="22.625" style="140" customWidth="1"/>
    <col min="7432" max="7678" width="8.625" style="140"/>
    <col min="7679" max="7679" width="5.625" style="140" customWidth="1"/>
    <col min="7680" max="7680" width="10.625" style="140" customWidth="1"/>
    <col min="7681" max="7681" width="45.625" style="140" customWidth="1"/>
    <col min="7682" max="7682" width="48.625" style="140" customWidth="1"/>
    <col min="7683" max="7685" width="5.625" style="140" customWidth="1"/>
    <col min="7686" max="7686" width="21.625" style="140" customWidth="1"/>
    <col min="7687" max="7687" width="22.625" style="140" customWidth="1"/>
    <col min="7688" max="7934" width="8.625" style="140"/>
    <col min="7935" max="7935" width="5.625" style="140" customWidth="1"/>
    <col min="7936" max="7936" width="10.625" style="140" customWidth="1"/>
    <col min="7937" max="7937" width="45.625" style="140" customWidth="1"/>
    <col min="7938" max="7938" width="48.625" style="140" customWidth="1"/>
    <col min="7939" max="7941" width="5.625" style="140" customWidth="1"/>
    <col min="7942" max="7942" width="21.625" style="140" customWidth="1"/>
    <col min="7943" max="7943" width="22.625" style="140" customWidth="1"/>
    <col min="7944" max="8190" width="8.625" style="140"/>
    <col min="8191" max="8191" width="5.625" style="140" customWidth="1"/>
    <col min="8192" max="8192" width="10.625" style="140" customWidth="1"/>
    <col min="8193" max="8193" width="45.625" style="140" customWidth="1"/>
    <col min="8194" max="8194" width="48.625" style="140" customWidth="1"/>
    <col min="8195" max="8197" width="5.625" style="140" customWidth="1"/>
    <col min="8198" max="8198" width="21.625" style="140" customWidth="1"/>
    <col min="8199" max="8199" width="22.625" style="140" customWidth="1"/>
    <col min="8200" max="8446" width="8.625" style="140"/>
    <col min="8447" max="8447" width="5.625" style="140" customWidth="1"/>
    <col min="8448" max="8448" width="10.625" style="140" customWidth="1"/>
    <col min="8449" max="8449" width="45.625" style="140" customWidth="1"/>
    <col min="8450" max="8450" width="48.625" style="140" customWidth="1"/>
    <col min="8451" max="8453" width="5.625" style="140" customWidth="1"/>
    <col min="8454" max="8454" width="21.625" style="140" customWidth="1"/>
    <col min="8455" max="8455" width="22.625" style="140" customWidth="1"/>
    <col min="8456" max="8702" width="8.625" style="140"/>
    <col min="8703" max="8703" width="5.625" style="140" customWidth="1"/>
    <col min="8704" max="8704" width="10.625" style="140" customWidth="1"/>
    <col min="8705" max="8705" width="45.625" style="140" customWidth="1"/>
    <col min="8706" max="8706" width="48.625" style="140" customWidth="1"/>
    <col min="8707" max="8709" width="5.625" style="140" customWidth="1"/>
    <col min="8710" max="8710" width="21.625" style="140" customWidth="1"/>
    <col min="8711" max="8711" width="22.625" style="140" customWidth="1"/>
    <col min="8712" max="8958" width="8.625" style="140"/>
    <col min="8959" max="8959" width="5.625" style="140" customWidth="1"/>
    <col min="8960" max="8960" width="10.625" style="140" customWidth="1"/>
    <col min="8961" max="8961" width="45.625" style="140" customWidth="1"/>
    <col min="8962" max="8962" width="48.625" style="140" customWidth="1"/>
    <col min="8963" max="8965" width="5.625" style="140" customWidth="1"/>
    <col min="8966" max="8966" width="21.625" style="140" customWidth="1"/>
    <col min="8967" max="8967" width="22.625" style="140" customWidth="1"/>
    <col min="8968" max="9214" width="8.625" style="140"/>
    <col min="9215" max="9215" width="5.625" style="140" customWidth="1"/>
    <col min="9216" max="9216" width="10.625" style="140" customWidth="1"/>
    <col min="9217" max="9217" width="45.625" style="140" customWidth="1"/>
    <col min="9218" max="9218" width="48.625" style="140" customWidth="1"/>
    <col min="9219" max="9221" width="5.625" style="140" customWidth="1"/>
    <col min="9222" max="9222" width="21.625" style="140" customWidth="1"/>
    <col min="9223" max="9223" width="22.625" style="140" customWidth="1"/>
    <col min="9224" max="9470" width="8.625" style="140"/>
    <col min="9471" max="9471" width="5.625" style="140" customWidth="1"/>
    <col min="9472" max="9472" width="10.625" style="140" customWidth="1"/>
    <col min="9473" max="9473" width="45.625" style="140" customWidth="1"/>
    <col min="9474" max="9474" width="48.625" style="140" customWidth="1"/>
    <col min="9475" max="9477" width="5.625" style="140" customWidth="1"/>
    <col min="9478" max="9478" width="21.625" style="140" customWidth="1"/>
    <col min="9479" max="9479" width="22.625" style="140" customWidth="1"/>
    <col min="9480" max="9726" width="8.625" style="140"/>
    <col min="9727" max="9727" width="5.625" style="140" customWidth="1"/>
    <col min="9728" max="9728" width="10.625" style="140" customWidth="1"/>
    <col min="9729" max="9729" width="45.625" style="140" customWidth="1"/>
    <col min="9730" max="9730" width="48.625" style="140" customWidth="1"/>
    <col min="9731" max="9733" width="5.625" style="140" customWidth="1"/>
    <col min="9734" max="9734" width="21.625" style="140" customWidth="1"/>
    <col min="9735" max="9735" width="22.625" style="140" customWidth="1"/>
    <col min="9736" max="9982" width="8.625" style="140"/>
    <col min="9983" max="9983" width="5.625" style="140" customWidth="1"/>
    <col min="9984" max="9984" width="10.625" style="140" customWidth="1"/>
    <col min="9985" max="9985" width="45.625" style="140" customWidth="1"/>
    <col min="9986" max="9986" width="48.625" style="140" customWidth="1"/>
    <col min="9987" max="9989" width="5.625" style="140" customWidth="1"/>
    <col min="9990" max="9990" width="21.625" style="140" customWidth="1"/>
    <col min="9991" max="9991" width="22.625" style="140" customWidth="1"/>
    <col min="9992" max="10238" width="8.625" style="140"/>
    <col min="10239" max="10239" width="5.625" style="140" customWidth="1"/>
    <col min="10240" max="10240" width="10.625" style="140" customWidth="1"/>
    <col min="10241" max="10241" width="45.625" style="140" customWidth="1"/>
    <col min="10242" max="10242" width="48.625" style="140" customWidth="1"/>
    <col min="10243" max="10245" width="5.625" style="140" customWidth="1"/>
    <col min="10246" max="10246" width="21.625" style="140" customWidth="1"/>
    <col min="10247" max="10247" width="22.625" style="140" customWidth="1"/>
    <col min="10248" max="10494" width="8.625" style="140"/>
    <col min="10495" max="10495" width="5.625" style="140" customWidth="1"/>
    <col min="10496" max="10496" width="10.625" style="140" customWidth="1"/>
    <col min="10497" max="10497" width="45.625" style="140" customWidth="1"/>
    <col min="10498" max="10498" width="48.625" style="140" customWidth="1"/>
    <col min="10499" max="10501" width="5.625" style="140" customWidth="1"/>
    <col min="10502" max="10502" width="21.625" style="140" customWidth="1"/>
    <col min="10503" max="10503" width="22.625" style="140" customWidth="1"/>
    <col min="10504" max="10750" width="8.625" style="140"/>
    <col min="10751" max="10751" width="5.625" style="140" customWidth="1"/>
    <col min="10752" max="10752" width="10.625" style="140" customWidth="1"/>
    <col min="10753" max="10753" width="45.625" style="140" customWidth="1"/>
    <col min="10754" max="10754" width="48.625" style="140" customWidth="1"/>
    <col min="10755" max="10757" width="5.625" style="140" customWidth="1"/>
    <col min="10758" max="10758" width="21.625" style="140" customWidth="1"/>
    <col min="10759" max="10759" width="22.625" style="140" customWidth="1"/>
    <col min="10760" max="11006" width="8.625" style="140"/>
    <col min="11007" max="11007" width="5.625" style="140" customWidth="1"/>
    <col min="11008" max="11008" width="10.625" style="140" customWidth="1"/>
    <col min="11009" max="11009" width="45.625" style="140" customWidth="1"/>
    <col min="11010" max="11010" width="48.625" style="140" customWidth="1"/>
    <col min="11011" max="11013" width="5.625" style="140" customWidth="1"/>
    <col min="11014" max="11014" width="21.625" style="140" customWidth="1"/>
    <col min="11015" max="11015" width="22.625" style="140" customWidth="1"/>
    <col min="11016" max="11262" width="8.625" style="140"/>
    <col min="11263" max="11263" width="5.625" style="140" customWidth="1"/>
    <col min="11264" max="11264" width="10.625" style="140" customWidth="1"/>
    <col min="11265" max="11265" width="45.625" style="140" customWidth="1"/>
    <col min="11266" max="11266" width="48.625" style="140" customWidth="1"/>
    <col min="11267" max="11269" width="5.625" style="140" customWidth="1"/>
    <col min="11270" max="11270" width="21.625" style="140" customWidth="1"/>
    <col min="11271" max="11271" width="22.625" style="140" customWidth="1"/>
    <col min="11272" max="11518" width="8.625" style="140"/>
    <col min="11519" max="11519" width="5.625" style="140" customWidth="1"/>
    <col min="11520" max="11520" width="10.625" style="140" customWidth="1"/>
    <col min="11521" max="11521" width="45.625" style="140" customWidth="1"/>
    <col min="11522" max="11522" width="48.625" style="140" customWidth="1"/>
    <col min="11523" max="11525" width="5.625" style="140" customWidth="1"/>
    <col min="11526" max="11526" width="21.625" style="140" customWidth="1"/>
    <col min="11527" max="11527" width="22.625" style="140" customWidth="1"/>
    <col min="11528" max="11774" width="8.625" style="140"/>
    <col min="11775" max="11775" width="5.625" style="140" customWidth="1"/>
    <col min="11776" max="11776" width="10.625" style="140" customWidth="1"/>
    <col min="11777" max="11777" width="45.625" style="140" customWidth="1"/>
    <col min="11778" max="11778" width="48.625" style="140" customWidth="1"/>
    <col min="11779" max="11781" width="5.625" style="140" customWidth="1"/>
    <col min="11782" max="11782" width="21.625" style="140" customWidth="1"/>
    <col min="11783" max="11783" width="22.625" style="140" customWidth="1"/>
    <col min="11784" max="12030" width="8.625" style="140"/>
    <col min="12031" max="12031" width="5.625" style="140" customWidth="1"/>
    <col min="12032" max="12032" width="10.625" style="140" customWidth="1"/>
    <col min="12033" max="12033" width="45.625" style="140" customWidth="1"/>
    <col min="12034" max="12034" width="48.625" style="140" customWidth="1"/>
    <col min="12035" max="12037" width="5.625" style="140" customWidth="1"/>
    <col min="12038" max="12038" width="21.625" style="140" customWidth="1"/>
    <col min="12039" max="12039" width="22.625" style="140" customWidth="1"/>
    <col min="12040" max="12286" width="8.625" style="140"/>
    <col min="12287" max="12287" width="5.625" style="140" customWidth="1"/>
    <col min="12288" max="12288" width="10.625" style="140" customWidth="1"/>
    <col min="12289" max="12289" width="45.625" style="140" customWidth="1"/>
    <col min="12290" max="12290" width="48.625" style="140" customWidth="1"/>
    <col min="12291" max="12293" width="5.625" style="140" customWidth="1"/>
    <col min="12294" max="12294" width="21.625" style="140" customWidth="1"/>
    <col min="12295" max="12295" width="22.625" style="140" customWidth="1"/>
    <col min="12296" max="12542" width="8.625" style="140"/>
    <col min="12543" max="12543" width="5.625" style="140" customWidth="1"/>
    <col min="12544" max="12544" width="10.625" style="140" customWidth="1"/>
    <col min="12545" max="12545" width="45.625" style="140" customWidth="1"/>
    <col min="12546" max="12546" width="48.625" style="140" customWidth="1"/>
    <col min="12547" max="12549" width="5.625" style="140" customWidth="1"/>
    <col min="12550" max="12550" width="21.625" style="140" customWidth="1"/>
    <col min="12551" max="12551" width="22.625" style="140" customWidth="1"/>
    <col min="12552" max="12798" width="8.625" style="140"/>
    <col min="12799" max="12799" width="5.625" style="140" customWidth="1"/>
    <col min="12800" max="12800" width="10.625" style="140" customWidth="1"/>
    <col min="12801" max="12801" width="45.625" style="140" customWidth="1"/>
    <col min="12802" max="12802" width="48.625" style="140" customWidth="1"/>
    <col min="12803" max="12805" width="5.625" style="140" customWidth="1"/>
    <col min="12806" max="12806" width="21.625" style="140" customWidth="1"/>
    <col min="12807" max="12807" width="22.625" style="140" customWidth="1"/>
    <col min="12808" max="13054" width="8.625" style="140"/>
    <col min="13055" max="13055" width="5.625" style="140" customWidth="1"/>
    <col min="13056" max="13056" width="10.625" style="140" customWidth="1"/>
    <col min="13057" max="13057" width="45.625" style="140" customWidth="1"/>
    <col min="13058" max="13058" width="48.625" style="140" customWidth="1"/>
    <col min="13059" max="13061" width="5.625" style="140" customWidth="1"/>
    <col min="13062" max="13062" width="21.625" style="140" customWidth="1"/>
    <col min="13063" max="13063" width="22.625" style="140" customWidth="1"/>
    <col min="13064" max="13310" width="8.625" style="140"/>
    <col min="13311" max="13311" width="5.625" style="140" customWidth="1"/>
    <col min="13312" max="13312" width="10.625" style="140" customWidth="1"/>
    <col min="13313" max="13313" width="45.625" style="140" customWidth="1"/>
    <col min="13314" max="13314" width="48.625" style="140" customWidth="1"/>
    <col min="13315" max="13317" width="5.625" style="140" customWidth="1"/>
    <col min="13318" max="13318" width="21.625" style="140" customWidth="1"/>
    <col min="13319" max="13319" width="22.625" style="140" customWidth="1"/>
    <col min="13320" max="13566" width="8.625" style="140"/>
    <col min="13567" max="13567" width="5.625" style="140" customWidth="1"/>
    <col min="13568" max="13568" width="10.625" style="140" customWidth="1"/>
    <col min="13569" max="13569" width="45.625" style="140" customWidth="1"/>
    <col min="13570" max="13570" width="48.625" style="140" customWidth="1"/>
    <col min="13571" max="13573" width="5.625" style="140" customWidth="1"/>
    <col min="13574" max="13574" width="21.625" style="140" customWidth="1"/>
    <col min="13575" max="13575" width="22.625" style="140" customWidth="1"/>
    <col min="13576" max="13822" width="8.625" style="140"/>
    <col min="13823" max="13823" width="5.625" style="140" customWidth="1"/>
    <col min="13824" max="13824" width="10.625" style="140" customWidth="1"/>
    <col min="13825" max="13825" width="45.625" style="140" customWidth="1"/>
    <col min="13826" max="13826" width="48.625" style="140" customWidth="1"/>
    <col min="13827" max="13829" width="5.625" style="140" customWidth="1"/>
    <col min="13830" max="13830" width="21.625" style="140" customWidth="1"/>
    <col min="13831" max="13831" width="22.625" style="140" customWidth="1"/>
    <col min="13832" max="14078" width="8.625" style="140"/>
    <col min="14079" max="14079" width="5.625" style="140" customWidth="1"/>
    <col min="14080" max="14080" width="10.625" style="140" customWidth="1"/>
    <col min="14081" max="14081" width="45.625" style="140" customWidth="1"/>
    <col min="14082" max="14082" width="48.625" style="140" customWidth="1"/>
    <col min="14083" max="14085" width="5.625" style="140" customWidth="1"/>
    <col min="14086" max="14086" width="21.625" style="140" customWidth="1"/>
    <col min="14087" max="14087" width="22.625" style="140" customWidth="1"/>
    <col min="14088" max="14334" width="8.625" style="140"/>
    <col min="14335" max="14335" width="5.625" style="140" customWidth="1"/>
    <col min="14336" max="14336" width="10.625" style="140" customWidth="1"/>
    <col min="14337" max="14337" width="45.625" style="140" customWidth="1"/>
    <col min="14338" max="14338" width="48.625" style="140" customWidth="1"/>
    <col min="14339" max="14341" width="5.625" style="140" customWidth="1"/>
    <col min="14342" max="14342" width="21.625" style="140" customWidth="1"/>
    <col min="14343" max="14343" width="22.625" style="140" customWidth="1"/>
    <col min="14344" max="14590" width="8.625" style="140"/>
    <col min="14591" max="14591" width="5.625" style="140" customWidth="1"/>
    <col min="14592" max="14592" width="10.625" style="140" customWidth="1"/>
    <col min="14593" max="14593" width="45.625" style="140" customWidth="1"/>
    <col min="14594" max="14594" width="48.625" style="140" customWidth="1"/>
    <col min="14595" max="14597" width="5.625" style="140" customWidth="1"/>
    <col min="14598" max="14598" width="21.625" style="140" customWidth="1"/>
    <col min="14599" max="14599" width="22.625" style="140" customWidth="1"/>
    <col min="14600" max="14846" width="8.625" style="140"/>
    <col min="14847" max="14847" width="5.625" style="140" customWidth="1"/>
    <col min="14848" max="14848" width="10.625" style="140" customWidth="1"/>
    <col min="14849" max="14849" width="45.625" style="140" customWidth="1"/>
    <col min="14850" max="14850" width="48.625" style="140" customWidth="1"/>
    <col min="14851" max="14853" width="5.625" style="140" customWidth="1"/>
    <col min="14854" max="14854" width="21.625" style="140" customWidth="1"/>
    <col min="14855" max="14855" width="22.625" style="140" customWidth="1"/>
    <col min="14856" max="15102" width="8.625" style="140"/>
    <col min="15103" max="15103" width="5.625" style="140" customWidth="1"/>
    <col min="15104" max="15104" width="10.625" style="140" customWidth="1"/>
    <col min="15105" max="15105" width="45.625" style="140" customWidth="1"/>
    <col min="15106" max="15106" width="48.625" style="140" customWidth="1"/>
    <col min="15107" max="15109" width="5.625" style="140" customWidth="1"/>
    <col min="15110" max="15110" width="21.625" style="140" customWidth="1"/>
    <col min="15111" max="15111" width="22.625" style="140" customWidth="1"/>
    <col min="15112" max="15358" width="8.625" style="140"/>
    <col min="15359" max="15359" width="5.625" style="140" customWidth="1"/>
    <col min="15360" max="15360" width="10.625" style="140" customWidth="1"/>
    <col min="15361" max="15361" width="45.625" style="140" customWidth="1"/>
    <col min="15362" max="15362" width="48.625" style="140" customWidth="1"/>
    <col min="15363" max="15365" width="5.625" style="140" customWidth="1"/>
    <col min="15366" max="15366" width="21.625" style="140" customWidth="1"/>
    <col min="15367" max="15367" width="22.625" style="140" customWidth="1"/>
    <col min="15368" max="15614" width="8.625" style="140"/>
    <col min="15615" max="15615" width="5.625" style="140" customWidth="1"/>
    <col min="15616" max="15616" width="10.625" style="140" customWidth="1"/>
    <col min="15617" max="15617" width="45.625" style="140" customWidth="1"/>
    <col min="15618" max="15618" width="48.625" style="140" customWidth="1"/>
    <col min="15619" max="15621" width="5.625" style="140" customWidth="1"/>
    <col min="15622" max="15622" width="21.625" style="140" customWidth="1"/>
    <col min="15623" max="15623" width="22.625" style="140" customWidth="1"/>
    <col min="15624" max="15870" width="8.625" style="140"/>
    <col min="15871" max="15871" width="5.625" style="140" customWidth="1"/>
    <col min="15872" max="15872" width="10.625" style="140" customWidth="1"/>
    <col min="15873" max="15873" width="45.625" style="140" customWidth="1"/>
    <col min="15874" max="15874" width="48.625" style="140" customWidth="1"/>
    <col min="15875" max="15877" width="5.625" style="140" customWidth="1"/>
    <col min="15878" max="15878" width="21.625" style="140" customWidth="1"/>
    <col min="15879" max="15879" width="22.625" style="140" customWidth="1"/>
    <col min="15880" max="16126" width="8.625" style="140"/>
    <col min="16127" max="16127" width="5.625" style="140" customWidth="1"/>
    <col min="16128" max="16128" width="10.625" style="140" customWidth="1"/>
    <col min="16129" max="16129" width="45.625" style="140" customWidth="1"/>
    <col min="16130" max="16130" width="48.625" style="140" customWidth="1"/>
    <col min="16131" max="16133" width="5.625" style="140" customWidth="1"/>
    <col min="16134" max="16134" width="21.625" style="140" customWidth="1"/>
    <col min="16135" max="16135" width="22.625" style="140" customWidth="1"/>
    <col min="16136" max="16384" width="8.625" style="140"/>
  </cols>
  <sheetData>
    <row r="1" spans="1:23" ht="25.5">
      <c r="A1" s="139" t="e" vm="2">
        <v>#VALUE!</v>
      </c>
      <c r="B1" s="146" t="s">
        <v>0</v>
      </c>
      <c r="C1" s="139"/>
      <c r="D1" s="139"/>
      <c r="E1" s="139"/>
      <c r="I1" s="147"/>
      <c r="J1" s="148"/>
      <c r="K1" s="149"/>
      <c r="L1" s="142"/>
      <c r="M1" s="139"/>
      <c r="N1" s="149"/>
    </row>
    <row r="2" spans="1:23" ht="16.149999999999999" customHeight="1">
      <c r="B2" s="150" t="s">
        <v>1</v>
      </c>
      <c r="I2" s="151"/>
      <c r="J2" s="152"/>
      <c r="L2" s="143"/>
      <c r="N2" s="153"/>
    </row>
    <row r="3" spans="1:23" ht="42" customHeight="1">
      <c r="B3" s="334" t="str" cm="1">
        <f t="array" aca="1" ref="B3" ca="1">_xlfn.TEXTAFTER(CELL("filename",A1),"]")</f>
        <v>Sequence Detail</v>
      </c>
      <c r="C3" s="334"/>
      <c r="D3" s="154"/>
      <c r="E3" s="168" t="s">
        <v>151</v>
      </c>
      <c r="F3" s="168" t="s">
        <v>200</v>
      </c>
      <c r="G3" s="168" t="s">
        <v>422</v>
      </c>
      <c r="H3" s="167" t="s">
        <v>486</v>
      </c>
      <c r="I3" s="167" t="s">
        <v>487</v>
      </c>
      <c r="J3" s="167" t="s">
        <v>424</v>
      </c>
      <c r="K3" s="195" t="s">
        <v>442</v>
      </c>
      <c r="L3" s="164" t="s">
        <v>443</v>
      </c>
      <c r="M3" s="195" t="s">
        <v>480</v>
      </c>
      <c r="N3" s="167" t="s">
        <v>444</v>
      </c>
      <c r="O3" s="164" t="s">
        <v>445</v>
      </c>
      <c r="P3" s="164" t="s">
        <v>446</v>
      </c>
      <c r="Q3" s="195" t="s">
        <v>447</v>
      </c>
      <c r="R3" s="195" t="s">
        <v>485</v>
      </c>
      <c r="S3" s="164" t="s">
        <v>466</v>
      </c>
      <c r="T3" s="164" t="s">
        <v>152</v>
      </c>
      <c r="U3" s="165" t="s">
        <v>150</v>
      </c>
      <c r="V3" s="166" t="s">
        <v>212</v>
      </c>
      <c r="W3" s="162"/>
    </row>
    <row r="4" spans="1:23" ht="17.100000000000001" customHeight="1">
      <c r="A4" s="64"/>
      <c r="B4" s="65" t="s">
        <v>2</v>
      </c>
      <c r="C4" s="87" t="str">
        <f>IF(Shop &lt;&gt; "", Shop, "")</f>
        <v>BL03</v>
      </c>
      <c r="D4" s="155"/>
      <c r="E4" s="141">
        <f>ROW() - ROW(Sequence[[#Headers],[ID]])</f>
        <v>1</v>
      </c>
      <c r="F4" s="145" t="s">
        <v>429</v>
      </c>
      <c r="G4" s="145" t="s">
        <v>423</v>
      </c>
      <c r="H4" s="145"/>
      <c r="I4" s="145"/>
      <c r="J4" s="145" t="s">
        <v>478</v>
      </c>
      <c r="K4" s="156"/>
      <c r="L4" s="144"/>
      <c r="M4" s="157" t="str">
        <f>IF(AND(ActorType = "CylinderUnits", OR(StandardAction = "TO WORK", StandardAction = "TO HOME")), INDEX(Cylinders[Actuation Time(s)], MATCH(Actor,Cylinders[Unit Name],0)),
   IF(OR(ActorType = "CylinderUnits", ActorType = "SensorUnits"), 0, ""))</f>
        <v/>
      </c>
      <c r="N4" s="157" t="str">
        <f>IFERROR(
  IF(AND(ActorType = "CylinderUnits",Actor&lt;&gt;""), INDEX(Cylinders[MotionGroup Description], MATCH(Actor,Cylinders[Unit Name],0)),
  IF(AND(ActorType = "SensorUnits",Actor&lt;&gt;""), INDEX(Sensors[Sensor Description], MATCH(Actor,Sensors[Mechanical Unit Name],0)), "")),"Error")</f>
        <v/>
      </c>
      <c r="O4" s="141" t="str">
        <f>IFERROR(
  IF(AND(ActorType = "CylinderUnits",Actor&lt;&gt;""), INDEX(Cylinders[Cylinder Name],MATCH(Actor,Cylinders[Unit Name],0)),
  IF(AND(ActorType =    "SensorUnits",Actor&lt;&gt;""), INDEX(Sensors[Sensor Name],  MATCH(Actor,Sensors[Mechanical Unit Name],0)),"")),"Error")</f>
        <v/>
      </c>
      <c r="P4" s="141" t="str">
        <f>IFERROR(
  IF(ActorType = "CylinderUnits", INDEX(Cylinders[Valve Name], MATCH(Actor,Cylinders[Unit Name],0)), ""),"Error")</f>
        <v/>
      </c>
      <c r="Q4" s="158"/>
      <c r="R4" s="141" t="str">
        <f t="shared" ref="R4" ca="1" si="0">IF(LEN(Auxiliar)&gt;0,Auxiliar,
  IF(OR(RowType="Start Conditions",RowType="Start Conditions Header",RowType="Sequence Header"),"",
  OFFSET(DepID,-1,0)))</f>
        <v/>
      </c>
      <c r="S4" s="179" t="str">
        <f t="shared" ref="S4" ca="1" si="1">IF(OR(RowType="Fixed State", RowType="Step1", RowType="Step2",RowType="Step3", RowType="Step4", RowType="Step5"),
  IF(RowType&lt;&gt;OFFSET(RowType, -1, 0), ID, ""), "")</f>
        <v/>
      </c>
      <c r="T4" s="157" t="str">
        <f t="shared" ref="T4" ca="1" si="2">IFERROR(
  IF(OR(RowType="Start Conditions Header",RowType="Sequence Header"), "",
  IF(IndStart&lt;&gt;"", IndStart,
  IF(OR(AND(Auxiliar&gt;0,Auxiliar=DepID),Duration=0,Duration&lt;OFFSET(Duration,-1,0),RowType="Wait Conditions"), OFFSET(End, -1, 0),OFFSET(Start, -1, 0)))),"")</f>
        <v/>
      </c>
      <c r="U4" s="157" t="str">
        <f t="shared" ref="U4" si="3">IF(OR(RowType="Start Conditions",RowType="Start Conditions Header",RowType="Sequence Header"),"",
  IF(NOT(ISBLANK(CustomDuration)),CustomDuration,IF(LEN(StandardDuration)&gt;0,StandardDuration,0)))</f>
        <v/>
      </c>
      <c r="V4" s="159" t="str">
        <f t="shared" ref="V4" ca="1" si="4">IF(RowType="Start Conditions Header","",
  IF(AND(OFFSET(Duration,-1,0)&gt;Duration,RowType=OFFSET(RowType,-1,0),RowType&lt;&gt;"Wait Conditions"),OFFSET(End,-1,0),
  IF(AND(Start&lt;&gt;"",Duration&lt;&gt;""),Start+Duration,"")))</f>
        <v/>
      </c>
    </row>
    <row r="5" spans="1:23" ht="17.100000000000001" customHeight="1">
      <c r="B5" s="65" t="s">
        <v>6</v>
      </c>
      <c r="C5" s="87" t="str">
        <f>IF(Line &lt;&gt; "", Line, "")</f>
        <v>FFLR</v>
      </c>
      <c r="D5" s="155"/>
      <c r="E5" s="235">
        <f>ROW() - ROW(Sequence[[#Headers],[ID]])</f>
        <v>2</v>
      </c>
      <c r="F5" s="145" t="s">
        <v>429</v>
      </c>
      <c r="G5" s="236" t="s">
        <v>425</v>
      </c>
      <c r="H5" s="236" t="s">
        <v>496</v>
      </c>
      <c r="I5" s="236" t="s">
        <v>522</v>
      </c>
      <c r="J5" s="236" t="s">
        <v>494</v>
      </c>
      <c r="K5" s="237"/>
      <c r="L5" s="236" t="s">
        <v>206</v>
      </c>
      <c r="M5" s="238">
        <f>IF(AND(ActorType = "CylinderUnits", OR(StandardAction = "TO WORK", StandardAction = "TO HOME")), INDEX(Cylinders[Actuation Time(s)], MATCH(Actor,Cylinders[Unit Name],0)),
   IF(OR(ActorType = "CylinderUnits", ActorType = "SensorUnits"), 0, ""))</f>
        <v>0</v>
      </c>
      <c r="N5" s="238" t="str">
        <f>IFERROR(
  IF(AND(ActorType = "CylinderUnits",Actor&lt;&gt;""), INDEX(Cylinders[MotionGroup Description], MATCH(Actor,Cylinders[Unit Name],0)),
  IF(AND(ActorType = "SensorUnits",Actor&lt;&gt;""), INDEX(Sensors[Sensor Description], MATCH(Actor,Sensors[Mechanical Unit Name],0)), "")),"Error")</f>
        <v>Group 1 Clamps</v>
      </c>
      <c r="O5" s="235" t="str">
        <f>IFERROR(
  IF(AND(ActorType = "CylinderUnits",Actor&lt;&gt;""), INDEX(Cylinders[Cylinder Name],MATCH(Actor,Cylinders[Unit Name],0)),
  IF(AND(ActorType =    "SensorUnits",Actor&lt;&gt;""), INDEX(Sensors[Sensor Name],  MATCH(Actor,Sensors[Mechanical Unit Name],0)),"")),"Error")</f>
        <v>=MM1-MMB1</v>
      </c>
      <c r="P5" s="235" t="str">
        <f>IFERROR(
  IF(ActorType = "CylinderUnits", INDEX(Cylinders[Valve Name], MATCH(Actor,Cylinders[Unit Name],0)), ""),"Error")</f>
        <v>=KJ1-QMB1</v>
      </c>
      <c r="Q5" s="239"/>
      <c r="R5" s="270" t="str">
        <f t="shared" ref="R5:R59" ca="1" si="5">IF(LEN(Auxiliar)&gt;0,Auxiliar,
  IF(OR(RowType="Start Conditions",RowType="Start Conditions Header",RowType="Sequence Header"),"",
  OFFSET(DepID,-1,0)))</f>
        <v/>
      </c>
      <c r="S5" s="240" t="str">
        <f t="shared" ref="S5:S59" ca="1" si="6">IF(OR(RowType="Fixed State", RowType="Step1", RowType="Step2",RowType="Step3", RowType="Step4", RowType="Step5"),
  IF(RowType&lt;&gt;OFFSET(RowType, -1, 0), ID, ""), "")</f>
        <v/>
      </c>
      <c r="T5" s="238" t="str">
        <f t="shared" ref="T5:T59" ca="1" si="7">IFERROR(
  IF(OR(RowType="Start Conditions Header",RowType="Sequence Header"), "",
  IF(IndStart&lt;&gt;"", IndStart,
  IF(OR(AND(Auxiliar&gt;0,Auxiliar=DepID),Duration=0,Duration&lt;OFFSET(Duration,-1,0),RowType="Wait Conditions"), OFFSET(End, -1, 0),OFFSET(Start, -1, 0)))),"")</f>
        <v/>
      </c>
      <c r="U5" s="238" t="str">
        <f t="shared" ref="U5:U59" si="8">IF(OR(RowType="Start Conditions",RowType="Start Conditions Header",RowType="Sequence Header"),"",
  IF(NOT(ISBLANK(CustomDuration)),CustomDuration,IF(LEN(StandardDuration)&gt;0,StandardDuration,0)))</f>
        <v/>
      </c>
      <c r="V5" s="241" t="str">
        <f t="shared" ref="V5:V59" ca="1" si="9">IF(RowType="Start Conditions Header","",
  IF(AND(OFFSET(Duration,-1,0)&gt;Duration,RowType=OFFSET(RowType,-1,0),RowType&lt;&gt;"Wait Conditions"),OFFSET(End,-1,0),
  IF(AND(Start&lt;&gt;"",Duration&lt;&gt;""),Start+Duration,"")))</f>
        <v/>
      </c>
    </row>
    <row r="6" spans="1:23" ht="17.100000000000001" customHeight="1">
      <c r="B6" s="65" t="s">
        <v>4</v>
      </c>
      <c r="C6" s="89" t="str">
        <f>IF(LineDescription&lt;&gt;"",LineDescription,"")</f>
        <v>Front Floor</v>
      </c>
      <c r="D6" s="155"/>
      <c r="E6" s="141">
        <f>ROW() - ROW(Sequence[[#Headers],[ID]])</f>
        <v>3</v>
      </c>
      <c r="F6" s="145" t="s">
        <v>429</v>
      </c>
      <c r="G6" s="236" t="s">
        <v>425</v>
      </c>
      <c r="H6" s="236" t="s">
        <v>496</v>
      </c>
      <c r="I6" s="236" t="s">
        <v>523</v>
      </c>
      <c r="J6" s="236" t="s">
        <v>494</v>
      </c>
      <c r="K6" s="237"/>
      <c r="L6" s="236" t="s">
        <v>206</v>
      </c>
      <c r="M6" s="238">
        <f>IF(AND(ActorType = "CylinderUnits", OR(StandardAction = "TO WORK", StandardAction = "TO HOME")), INDEX(Cylinders[Actuation Time(s)], MATCH(Actor,Cylinders[Unit Name],0)),
   IF(OR(ActorType = "CylinderUnits", ActorType = "SensorUnits"), 0, ""))</f>
        <v>0</v>
      </c>
      <c r="N6" s="238" t="str">
        <f>IFERROR(
  IF(AND(ActorType = "CylinderUnits",Actor&lt;&gt;""), INDEX(Cylinders[MotionGroup Description], MATCH(Actor,Cylinders[Unit Name],0)),
  IF(AND(ActorType = "SensorUnits",Actor&lt;&gt;""), INDEX(Sensors[Sensor Description], MATCH(Actor,Sensors[Mechanical Unit Name],0)), "")),"Error")</f>
        <v>Group 1 Clamps</v>
      </c>
      <c r="O6" s="235" t="str">
        <f>IFERROR(
  IF(AND(ActorType = "CylinderUnits",Actor&lt;&gt;""), INDEX(Cylinders[Cylinder Name],MATCH(Actor,Cylinders[Unit Name],0)),
  IF(AND(ActorType =    "SensorUnits",Actor&lt;&gt;""), INDEX(Sensors[Sensor Name],  MATCH(Actor,Sensors[Mechanical Unit Name],0)),"")),"Error")</f>
        <v>=MM1-MMB2</v>
      </c>
      <c r="P6" s="235" t="str">
        <f>IFERROR(
  IF(ActorType = "CylinderUnits", INDEX(Cylinders[Valve Name], MATCH(Actor,Cylinders[Unit Name],0)), ""),"Error")</f>
        <v>=KJ1-QMB1</v>
      </c>
      <c r="Q6" s="239"/>
      <c r="R6" s="270" t="str">
        <f t="shared" ca="1" si="5"/>
        <v/>
      </c>
      <c r="S6" s="240" t="str">
        <f t="shared" ca="1" si="6"/>
        <v/>
      </c>
      <c r="T6" s="238" t="str">
        <f t="shared" ca="1" si="7"/>
        <v/>
      </c>
      <c r="U6" s="238" t="str">
        <f t="shared" si="8"/>
        <v/>
      </c>
      <c r="V6" s="241" t="str">
        <f t="shared" ca="1" si="9"/>
        <v/>
      </c>
    </row>
    <row r="7" spans="1:23" ht="17.100000000000001" customHeight="1">
      <c r="B7" s="65" t="s">
        <v>8</v>
      </c>
      <c r="C7" s="89" t="str">
        <f>IF(Station &lt;&gt; "", Station, "")</f>
        <v>010</v>
      </c>
      <c r="D7" s="155"/>
      <c r="E7" s="235">
        <f>ROW() - ROW(Sequence[[#Headers],[ID]])</f>
        <v>4</v>
      </c>
      <c r="F7" s="145" t="s">
        <v>429</v>
      </c>
      <c r="G7" s="236" t="s">
        <v>425</v>
      </c>
      <c r="H7" s="236" t="s">
        <v>496</v>
      </c>
      <c r="I7" s="236" t="s">
        <v>524</v>
      </c>
      <c r="J7" s="236" t="s">
        <v>494</v>
      </c>
      <c r="K7" s="237"/>
      <c r="L7" s="236" t="s">
        <v>206</v>
      </c>
      <c r="M7" s="238">
        <f>IF(AND(ActorType = "CylinderUnits", OR(StandardAction = "TO WORK", StandardAction = "TO HOME")), INDEX(Cylinders[Actuation Time(s)], MATCH(Actor,Cylinders[Unit Name],0)),
   IF(OR(ActorType = "CylinderUnits", ActorType = "SensorUnits"), 0, ""))</f>
        <v>0</v>
      </c>
      <c r="N7" s="238" t="str">
        <f>IFERROR(
  IF(AND(ActorType = "CylinderUnits",Actor&lt;&gt;""), INDEX(Cylinders[MotionGroup Description], MATCH(Actor,Cylinders[Unit Name],0)),
  IF(AND(ActorType = "SensorUnits",Actor&lt;&gt;""), INDEX(Sensors[Sensor Description], MATCH(Actor,Sensors[Mechanical Unit Name],0)), "")),"Error")</f>
        <v>Group 1 Clamps</v>
      </c>
      <c r="O7" s="235" t="str">
        <f>IFERROR(
  IF(AND(ActorType = "CylinderUnits",Actor&lt;&gt;""), INDEX(Cylinders[Cylinder Name],MATCH(Actor,Cylinders[Unit Name],0)),
  IF(AND(ActorType =    "SensorUnits",Actor&lt;&gt;""), INDEX(Sensors[Sensor Name],  MATCH(Actor,Sensors[Mechanical Unit Name],0)),"")),"Error")</f>
        <v>=MM1-MMB3</v>
      </c>
      <c r="P7" s="235" t="str">
        <f>IFERROR(
  IF(ActorType = "CylinderUnits", INDEX(Cylinders[Valve Name], MATCH(Actor,Cylinders[Unit Name],0)), ""),"Error")</f>
        <v>=KJ1-QMB1</v>
      </c>
      <c r="Q7" s="239"/>
      <c r="R7" s="270" t="str">
        <f t="shared" ca="1" si="5"/>
        <v/>
      </c>
      <c r="S7" s="240" t="str">
        <f t="shared" ca="1" si="6"/>
        <v/>
      </c>
      <c r="T7" s="238" t="str">
        <f t="shared" ca="1" si="7"/>
        <v/>
      </c>
      <c r="U7" s="238" t="str">
        <f t="shared" si="8"/>
        <v/>
      </c>
      <c r="V7" s="241" t="str">
        <f t="shared" ca="1" si="9"/>
        <v/>
      </c>
    </row>
    <row r="8" spans="1:23" ht="17.100000000000001" customHeight="1">
      <c r="B8" s="65" t="s">
        <v>10</v>
      </c>
      <c r="C8" s="89" t="str">
        <f>StationDescription</f>
        <v>Station 010</v>
      </c>
      <c r="D8" s="155"/>
      <c r="E8" s="141">
        <f>ROW() - ROW(Sequence[[#Headers],[ID]])</f>
        <v>5</v>
      </c>
      <c r="F8" s="145" t="s">
        <v>429</v>
      </c>
      <c r="G8" s="236" t="s">
        <v>425</v>
      </c>
      <c r="H8" s="236" t="s">
        <v>496</v>
      </c>
      <c r="I8" s="145" t="s">
        <v>519</v>
      </c>
      <c r="J8" s="145" t="s">
        <v>494</v>
      </c>
      <c r="K8" s="156"/>
      <c r="L8" s="236" t="s">
        <v>206</v>
      </c>
      <c r="M8" s="157">
        <f>IF(AND(ActorType = "CylinderUnits", OR(StandardAction = "TO WORK", StandardAction = "TO HOME")), INDEX(Cylinders[Actuation Time(s)], MATCH(Actor,Cylinders[Unit Name],0)),
   IF(OR(ActorType = "CylinderUnits", ActorType = "SensorUnits"), 0, ""))</f>
        <v>0</v>
      </c>
      <c r="N8" s="157" t="str">
        <f>IFERROR(
  IF(AND(ActorType = "CylinderUnits",Actor&lt;&gt;""), INDEX(Cylinders[MotionGroup Description], MATCH(Actor,Cylinders[Unit Name],0)),
  IF(AND(ActorType = "SensorUnits",Actor&lt;&gt;""), INDEX(Sensors[Sensor Description], MATCH(Actor,Sensors[Mechanical Unit Name],0)), "")),"Error")</f>
        <v>Group 1 Clamps</v>
      </c>
      <c r="O8" s="141" t="str">
        <f>IFERROR(
  IF(AND(ActorType = "CylinderUnits",Actor&lt;&gt;""), INDEX(Cylinders[Cylinder Name],MATCH(Actor,Cylinders[Unit Name],0)),
  IF(AND(ActorType =    "SensorUnits",Actor&lt;&gt;""), INDEX(Sensors[Sensor Name],  MATCH(Actor,Sensors[Mechanical Unit Name],0)),"")),"Error")</f>
        <v>=MM1-MMB4</v>
      </c>
      <c r="P8" s="141" t="str">
        <f>IFERROR(
  IF(ActorType = "CylinderUnits", INDEX(Cylinders[Valve Name], MATCH(Actor,Cylinders[Unit Name],0)), ""),"Error")</f>
        <v>=KJ1-QMB1</v>
      </c>
      <c r="Q8" s="158"/>
      <c r="R8" s="271" t="str">
        <f t="shared" ca="1" si="5"/>
        <v/>
      </c>
      <c r="S8" s="179" t="str">
        <f t="shared" ca="1" si="6"/>
        <v/>
      </c>
      <c r="T8" s="157" t="str">
        <f t="shared" ca="1" si="7"/>
        <v/>
      </c>
      <c r="U8" s="157" t="str">
        <f t="shared" si="8"/>
        <v/>
      </c>
      <c r="V8" s="234" t="str">
        <f t="shared" ca="1" si="9"/>
        <v/>
      </c>
    </row>
    <row r="9" spans="1:23" ht="17.100000000000001" customHeight="1">
      <c r="B9" s="65" t="s">
        <v>12</v>
      </c>
      <c r="C9" s="89" t="str">
        <f>IF(System &lt;&gt; "", System, "")</f>
        <v/>
      </c>
      <c r="D9" s="155"/>
      <c r="E9" s="235">
        <f>ROW() - ROW(Sequence[[#Headers],[ID]])</f>
        <v>6</v>
      </c>
      <c r="F9" s="145" t="s">
        <v>429</v>
      </c>
      <c r="G9" s="236" t="s">
        <v>425</v>
      </c>
      <c r="H9" s="236" t="s">
        <v>496</v>
      </c>
      <c r="I9" s="145" t="s">
        <v>525</v>
      </c>
      <c r="J9" s="145" t="s">
        <v>494</v>
      </c>
      <c r="K9" s="156"/>
      <c r="L9" s="236" t="s">
        <v>206</v>
      </c>
      <c r="M9" s="157">
        <f>IF(AND(ActorType = "CylinderUnits", OR(StandardAction = "TO WORK", StandardAction = "TO HOME")), INDEX(Cylinders[Actuation Time(s)], MATCH(Actor,Cylinders[Unit Name],0)),
   IF(OR(ActorType = "CylinderUnits", ActorType = "SensorUnits"), 0, ""))</f>
        <v>0</v>
      </c>
      <c r="N9" s="157" t="str">
        <f>IFERROR(
  IF(AND(ActorType = "CylinderUnits",Actor&lt;&gt;""), INDEX(Cylinders[MotionGroup Description], MATCH(Actor,Cylinders[Unit Name],0)),
  IF(AND(ActorType = "SensorUnits",Actor&lt;&gt;""), INDEX(Sensors[Sensor Description], MATCH(Actor,Sensors[Mechanical Unit Name],0)), "")),"Error")</f>
        <v>Group 1 Clamps</v>
      </c>
      <c r="O9" s="141" t="str">
        <f>IFERROR(
  IF(AND(ActorType = "CylinderUnits",Actor&lt;&gt;""), INDEX(Cylinders[Cylinder Name],MATCH(Actor,Cylinders[Unit Name],0)),
  IF(AND(ActorType =    "SensorUnits",Actor&lt;&gt;""), INDEX(Sensors[Sensor Name],  MATCH(Actor,Sensors[Mechanical Unit Name],0)),"")),"Error")</f>
        <v>=MM1-MMB5</v>
      </c>
      <c r="P9" s="141" t="str">
        <f>IFERROR(
  IF(ActorType = "CylinderUnits", INDEX(Cylinders[Valve Name], MATCH(Actor,Cylinders[Unit Name],0)), ""),"Error")</f>
        <v>=KJ1-QMB1</v>
      </c>
      <c r="Q9" s="158"/>
      <c r="R9" s="271" t="str">
        <f t="shared" ca="1" si="5"/>
        <v/>
      </c>
      <c r="S9" s="179" t="str">
        <f t="shared" ca="1" si="6"/>
        <v/>
      </c>
      <c r="T9" s="157" t="str">
        <f t="shared" ca="1" si="7"/>
        <v/>
      </c>
      <c r="U9" s="157" t="str">
        <f t="shared" si="8"/>
        <v/>
      </c>
      <c r="V9" s="234" t="str">
        <f t="shared" ca="1" si="9"/>
        <v/>
      </c>
    </row>
    <row r="10" spans="1:23" ht="17.100000000000001" customHeight="1">
      <c r="B10" s="65" t="s">
        <v>428</v>
      </c>
      <c r="C10" s="89" t="str">
        <f>IF(SystemDescription &lt;&gt; "", SystemDescription, "")</f>
        <v/>
      </c>
      <c r="D10" s="160"/>
      <c r="E10" s="141">
        <f>ROW() - ROW(Sequence[[#Headers],[ID]])</f>
        <v>7</v>
      </c>
      <c r="F10" s="145" t="s">
        <v>429</v>
      </c>
      <c r="G10" s="236" t="s">
        <v>425</v>
      </c>
      <c r="H10" s="236" t="s">
        <v>496</v>
      </c>
      <c r="I10" s="145" t="s">
        <v>534</v>
      </c>
      <c r="J10" s="145" t="s">
        <v>494</v>
      </c>
      <c r="K10" s="156"/>
      <c r="L10" s="236" t="s">
        <v>207</v>
      </c>
      <c r="M10" s="157">
        <f>IF(AND(ActorType = "CylinderUnits", OR(StandardAction = "TO WORK", StandardAction = "TO HOME")), INDEX(Cylinders[Actuation Time(s)], MATCH(Actor,Cylinders[Unit Name],0)),
   IF(OR(ActorType = "CylinderUnits", ActorType = "SensorUnits"), 0, ""))</f>
        <v>0</v>
      </c>
      <c r="N10" s="157" t="str">
        <f>IFERROR(
  IF(AND(ActorType = "CylinderUnits",Actor&lt;&gt;""), INDEX(Cylinders[MotionGroup Description], MATCH(Actor,Cylinders[Unit Name],0)),
  IF(AND(ActorType = "SensorUnits",Actor&lt;&gt;""), INDEX(Sensors[Sensor Description], MATCH(Actor,Sensors[Mechanical Unit Name],0)), "")),"Error")</f>
        <v>Group 4 Pins</v>
      </c>
      <c r="O10" s="141" t="str">
        <f>IFERROR(
  IF(AND(ActorType = "CylinderUnits",Actor&lt;&gt;""), INDEX(Cylinders[Cylinder Name],MATCH(Actor,Cylinders[Unit Name],0)),
  IF(AND(ActorType =    "SensorUnits",Actor&lt;&gt;""), INDEX(Sensors[Sensor Name],  MATCH(Actor,Sensors[Mechanical Unit Name],0)),"")),"Error")</f>
        <v>=MM4-MMB1</v>
      </c>
      <c r="P10" s="141" t="str">
        <f>IFERROR(
  IF(ActorType = "CylinderUnits", INDEX(Cylinders[Valve Name], MATCH(Actor,Cylinders[Unit Name],0)), ""),"Error")</f>
        <v>=KJ1-QMB4</v>
      </c>
      <c r="Q10" s="158"/>
      <c r="R10" s="271" t="str">
        <f t="shared" ca="1" si="5"/>
        <v/>
      </c>
      <c r="S10" s="179" t="str">
        <f t="shared" ca="1" si="6"/>
        <v/>
      </c>
      <c r="T10" s="157" t="str">
        <f t="shared" ca="1" si="7"/>
        <v/>
      </c>
      <c r="U10" s="157" t="str">
        <f t="shared" si="8"/>
        <v/>
      </c>
      <c r="V10" s="234" t="str">
        <f t="shared" ca="1" si="9"/>
        <v/>
      </c>
    </row>
    <row r="11" spans="1:23" ht="17.100000000000001" customHeight="1">
      <c r="B11" s="71" t="s">
        <v>13</v>
      </c>
      <c r="C11" s="87" t="str">
        <f>IF(Tool &lt;&gt; "", Tool, "")</f>
        <v>UA1</v>
      </c>
      <c r="D11" s="161"/>
      <c r="E11" s="235">
        <f>ROW() - ROW(Sequence[[#Headers],[ID]])</f>
        <v>8</v>
      </c>
      <c r="F11" s="145" t="s">
        <v>429</v>
      </c>
      <c r="G11" s="236" t="s">
        <v>425</v>
      </c>
      <c r="H11" s="236" t="s">
        <v>496</v>
      </c>
      <c r="I11" s="145" t="s">
        <v>526</v>
      </c>
      <c r="J11" s="145" t="s">
        <v>494</v>
      </c>
      <c r="K11" s="156"/>
      <c r="L11" s="236" t="s">
        <v>206</v>
      </c>
      <c r="M11" s="157">
        <f>IF(AND(ActorType = "CylinderUnits", OR(StandardAction = "TO WORK", StandardAction = "TO HOME")), INDEX(Cylinders[Actuation Time(s)], MATCH(Actor,Cylinders[Unit Name],0)),
   IF(OR(ActorType = "CylinderUnits", ActorType = "SensorUnits"), 0, ""))</f>
        <v>0</v>
      </c>
      <c r="N11" s="157" t="str">
        <f>IFERROR(
  IF(AND(ActorType = "CylinderUnits",Actor&lt;&gt;""), INDEX(Cylinders[MotionGroup Description], MATCH(Actor,Cylinders[Unit Name],0)),
  IF(AND(ActorType = "SensorUnits",Actor&lt;&gt;""), INDEX(Sensors[Sensor Description], MATCH(Actor,Sensors[Mechanical Unit Name],0)), "")),"Error")</f>
        <v>Group 1 Clamps</v>
      </c>
      <c r="O11" s="141" t="str">
        <f>IFERROR(
  IF(AND(ActorType = "CylinderUnits",Actor&lt;&gt;""), INDEX(Cylinders[Cylinder Name],MATCH(Actor,Cylinders[Unit Name],0)),
  IF(AND(ActorType =    "SensorUnits",Actor&lt;&gt;""), INDEX(Sensors[Sensor Name],  MATCH(Actor,Sensors[Mechanical Unit Name],0)),"")),"Error")</f>
        <v>=MM1-MMB6</v>
      </c>
      <c r="P11" s="141" t="str">
        <f>IFERROR(
  IF(ActorType = "CylinderUnits", INDEX(Cylinders[Valve Name], MATCH(Actor,Cylinders[Unit Name],0)), ""),"Error")</f>
        <v>=KJ1-QMB1</v>
      </c>
      <c r="Q11" s="158"/>
      <c r="R11" s="271" t="str">
        <f t="shared" ca="1" si="5"/>
        <v/>
      </c>
      <c r="S11" s="179" t="str">
        <f t="shared" ca="1" si="6"/>
        <v/>
      </c>
      <c r="T11" s="157" t="str">
        <f t="shared" ca="1" si="7"/>
        <v/>
      </c>
      <c r="U11" s="157" t="str">
        <f t="shared" si="8"/>
        <v/>
      </c>
      <c r="V11" s="234" t="str">
        <f t="shared" ca="1" si="9"/>
        <v/>
      </c>
    </row>
    <row r="12" spans="1:23" ht="17.100000000000001" customHeight="1">
      <c r="B12" s="65" t="s">
        <v>16</v>
      </c>
      <c r="C12" s="87" t="str">
        <f>IF(ToolDescription &lt;&gt; "", ToolDescription, "")</f>
        <v>Fixture</v>
      </c>
      <c r="D12" s="155"/>
      <c r="E12" s="141">
        <f>ROW() - ROW(Sequence[[#Headers],[ID]])</f>
        <v>9</v>
      </c>
      <c r="F12" s="145" t="s">
        <v>429</v>
      </c>
      <c r="G12" s="236" t="s">
        <v>425</v>
      </c>
      <c r="H12" s="145" t="s">
        <v>496</v>
      </c>
      <c r="I12" s="145" t="s">
        <v>542</v>
      </c>
      <c r="J12" s="145" t="s">
        <v>494</v>
      </c>
      <c r="K12" s="156"/>
      <c r="L12" s="236" t="s">
        <v>206</v>
      </c>
      <c r="M12" s="157">
        <f>IF(AND(ActorType = "CylinderUnits", OR(StandardAction = "TO WORK", StandardAction = "TO HOME")), INDEX(Cylinders[Actuation Time(s)], MATCH(Actor,Cylinders[Unit Name],0)),
   IF(OR(ActorType = "CylinderUnits", ActorType = "SensorUnits"), 0, ""))</f>
        <v>0</v>
      </c>
      <c r="N12" s="157" t="str">
        <f>IFERROR(
  IF(AND(ActorType = "CylinderUnits",Actor&lt;&gt;""), INDEX(Cylinders[MotionGroup Description], MATCH(Actor,Cylinders[Unit Name],0)),
  IF(AND(ActorType = "SensorUnits",Actor&lt;&gt;""), INDEX(Sensors[Sensor Description], MATCH(Actor,Sensors[Mechanical Unit Name],0)), "")),"Error")</f>
        <v>Group 1 Clamps</v>
      </c>
      <c r="O12" s="141" t="str">
        <f>IFERROR(
  IF(AND(ActorType = "CylinderUnits",Actor&lt;&gt;""), INDEX(Cylinders[Cylinder Name],MATCH(Actor,Cylinders[Unit Name],0)),
  IF(AND(ActorType =    "SensorUnits",Actor&lt;&gt;""), INDEX(Sensors[Sensor Name],  MATCH(Actor,Sensors[Mechanical Unit Name],0)),"")),"Error")</f>
        <v>=MM1-MMB7</v>
      </c>
      <c r="P12" s="141" t="str">
        <f>IFERROR(
  IF(ActorType = "CylinderUnits", INDEX(Cylinders[Valve Name], MATCH(Actor,Cylinders[Unit Name],0)), ""),"Error")</f>
        <v>=KJ1-QMB1</v>
      </c>
      <c r="Q12" s="158"/>
      <c r="R12" s="271" t="str">
        <f t="shared" ca="1" si="5"/>
        <v/>
      </c>
      <c r="S12" s="179" t="str">
        <f t="shared" ca="1" si="6"/>
        <v/>
      </c>
      <c r="T12" s="157" t="str">
        <f t="shared" ca="1" si="7"/>
        <v/>
      </c>
      <c r="U12" s="157" t="str">
        <f t="shared" si="8"/>
        <v/>
      </c>
      <c r="V12" s="234" t="str">
        <f t="shared" ca="1" si="9"/>
        <v/>
      </c>
    </row>
    <row r="13" spans="1:23" ht="17.100000000000001" customHeight="1">
      <c r="B13" s="65" t="s">
        <v>3</v>
      </c>
      <c r="C13" s="89" t="str">
        <f>IF(Integrator &lt;&gt; "", Integrator, "")</f>
        <v>Mino</v>
      </c>
      <c r="D13" s="155"/>
      <c r="E13" s="235">
        <f>ROW() - ROW(Sequence[[#Headers],[ID]])</f>
        <v>10</v>
      </c>
      <c r="F13" s="145" t="s">
        <v>429</v>
      </c>
      <c r="G13" s="236" t="s">
        <v>425</v>
      </c>
      <c r="H13" s="145" t="s">
        <v>496</v>
      </c>
      <c r="I13" s="145" t="s">
        <v>543</v>
      </c>
      <c r="J13" s="145" t="s">
        <v>494</v>
      </c>
      <c r="K13" s="156"/>
      <c r="L13" s="236" t="s">
        <v>206</v>
      </c>
      <c r="M13" s="157">
        <f>IF(AND(ActorType = "CylinderUnits", OR(StandardAction = "TO WORK", StandardAction = "TO HOME")), INDEX(Cylinders[Actuation Time(s)], MATCH(Actor,Cylinders[Unit Name],0)),
   IF(OR(ActorType = "CylinderUnits", ActorType = "SensorUnits"), 0, ""))</f>
        <v>0</v>
      </c>
      <c r="N13" s="157" t="str">
        <f>IFERROR(
  IF(AND(ActorType = "CylinderUnits",Actor&lt;&gt;""), INDEX(Cylinders[MotionGroup Description], MATCH(Actor,Cylinders[Unit Name],0)),
  IF(AND(ActorType = "SensorUnits",Actor&lt;&gt;""), INDEX(Sensors[Sensor Description], MATCH(Actor,Sensors[Mechanical Unit Name],0)), "")),"Error")</f>
        <v>Group 1 Clamps</v>
      </c>
      <c r="O13" s="141" t="str">
        <f>IFERROR(
  IF(AND(ActorType = "CylinderUnits",Actor&lt;&gt;""), INDEX(Cylinders[Cylinder Name],MATCH(Actor,Cylinders[Unit Name],0)),
  IF(AND(ActorType =    "SensorUnits",Actor&lt;&gt;""), INDEX(Sensors[Sensor Name],  MATCH(Actor,Sensors[Mechanical Unit Name],0)),"")),"Error")</f>
        <v>=MM1-MMB8</v>
      </c>
      <c r="P13" s="141" t="str">
        <f>IFERROR(
  IF(ActorType = "CylinderUnits", INDEX(Cylinders[Valve Name], MATCH(Actor,Cylinders[Unit Name],0)), ""),"Error")</f>
        <v>=KJ1-QMB1</v>
      </c>
      <c r="Q13" s="158"/>
      <c r="R13" s="271" t="str">
        <f t="shared" ca="1" si="5"/>
        <v/>
      </c>
      <c r="S13" s="179" t="str">
        <f t="shared" ca="1" si="6"/>
        <v/>
      </c>
      <c r="T13" s="157" t="str">
        <f t="shared" ca="1" si="7"/>
        <v/>
      </c>
      <c r="U13" s="157" t="str">
        <f t="shared" si="8"/>
        <v/>
      </c>
      <c r="V13" s="234" t="str">
        <f t="shared" ca="1" si="9"/>
        <v/>
      </c>
    </row>
    <row r="14" spans="1:23" ht="17.100000000000001" customHeight="1">
      <c r="B14" s="65" t="s">
        <v>7</v>
      </c>
      <c r="C14" s="94">
        <f>IF(DesignStatus &lt;&gt; "", DesignStatus, "")</f>
        <v>1</v>
      </c>
      <c r="E14" s="141">
        <f>ROW() - ROW(Sequence[[#Headers],[ID]])</f>
        <v>11</v>
      </c>
      <c r="F14" s="145" t="s">
        <v>429</v>
      </c>
      <c r="G14" s="236" t="s">
        <v>425</v>
      </c>
      <c r="H14" s="145" t="s">
        <v>496</v>
      </c>
      <c r="I14" s="236" t="s">
        <v>527</v>
      </c>
      <c r="J14" s="236" t="s">
        <v>494</v>
      </c>
      <c r="K14" s="237"/>
      <c r="L14" s="236" t="s">
        <v>206</v>
      </c>
      <c r="M14" s="238">
        <f>IF(AND(ActorType = "CylinderUnits", OR(StandardAction = "TO WORK", StandardAction = "TO HOME")), INDEX(Cylinders[Actuation Time(s)], MATCH(Actor,Cylinders[Unit Name],0)),
   IF(OR(ActorType = "CylinderUnits", ActorType = "SensorUnits"), 0, ""))</f>
        <v>0</v>
      </c>
      <c r="N14" s="238" t="str">
        <f>IFERROR(
  IF(AND(ActorType = "CylinderUnits",Actor&lt;&gt;""), INDEX(Cylinders[MotionGroup Description], MATCH(Actor,Cylinders[Unit Name],0)),
  IF(AND(ActorType = "SensorUnits",Actor&lt;&gt;""), INDEX(Sensors[Sensor Description], MATCH(Actor,Sensors[Mechanical Unit Name],0)), "")),"Error")</f>
        <v>Group 2 Clamps</v>
      </c>
      <c r="O14" s="235" t="str">
        <f>IFERROR(
  IF(AND(ActorType = "CylinderUnits",Actor&lt;&gt;""), INDEX(Cylinders[Cylinder Name],MATCH(Actor,Cylinders[Unit Name],0)),
  IF(AND(ActorType =    "SensorUnits",Actor&lt;&gt;""), INDEX(Sensors[Sensor Name],  MATCH(Actor,Sensors[Mechanical Unit Name],0)),"")),"Error")</f>
        <v>=MM2-MMB1</v>
      </c>
      <c r="P14" s="235" t="str">
        <f>IFERROR(
  IF(ActorType = "CylinderUnits", INDEX(Cylinders[Valve Name], MATCH(Actor,Cylinders[Unit Name],0)), ""),"Error")</f>
        <v>=KJ1-QMB2</v>
      </c>
      <c r="Q14" s="239"/>
      <c r="R14" s="270" t="str">
        <f t="shared" ca="1" si="5"/>
        <v/>
      </c>
      <c r="S14" s="240" t="str">
        <f t="shared" ca="1" si="6"/>
        <v/>
      </c>
      <c r="T14" s="238" t="str">
        <f t="shared" ca="1" si="7"/>
        <v/>
      </c>
      <c r="U14" s="238" t="str">
        <f t="shared" si="8"/>
        <v/>
      </c>
      <c r="V14" s="241" t="str">
        <f t="shared" ca="1" si="9"/>
        <v/>
      </c>
    </row>
    <row r="15" spans="1:23" ht="17.100000000000001" customHeight="1">
      <c r="B15" s="65" t="s">
        <v>5</v>
      </c>
      <c r="C15" s="95" t="str">
        <f>IF(Date &lt;&gt; "", Date, "")</f>
        <v>1/15/2025</v>
      </c>
      <c r="E15" s="235">
        <f>ROW() - ROW(Sequence[[#Headers],[ID]])</f>
        <v>12</v>
      </c>
      <c r="F15" s="145" t="s">
        <v>429</v>
      </c>
      <c r="G15" s="145" t="s">
        <v>425</v>
      </c>
      <c r="H15" s="145" t="s">
        <v>496</v>
      </c>
      <c r="I15" s="145" t="s">
        <v>547</v>
      </c>
      <c r="J15" s="145" t="s">
        <v>494</v>
      </c>
      <c r="K15" s="156"/>
      <c r="L15" s="236" t="s">
        <v>207</v>
      </c>
      <c r="M15" s="157">
        <f>IF(AND(ActorType = "CylinderUnits", OR(StandardAction = "TO WORK", StandardAction = "TO HOME")), INDEX(Cylinders[Actuation Time(s)], MATCH(Actor,Cylinders[Unit Name],0)),
   IF(OR(ActorType = "CylinderUnits", ActorType = "SensorUnits"), 0, ""))</f>
        <v>0</v>
      </c>
      <c r="N15" s="157" t="str">
        <f>IFERROR(
  IF(AND(ActorType = "CylinderUnits",Actor&lt;&gt;""), INDEX(Cylinders[MotionGroup Description], MATCH(Actor,Cylinders[Unit Name],0)),
  IF(AND(ActorType = "SensorUnits",Actor&lt;&gt;""), INDEX(Sensors[Sensor Description], MATCH(Actor,Sensors[Mechanical Unit Name],0)), "")),"Error")</f>
        <v>Group 4 Pins</v>
      </c>
      <c r="O15" s="141" t="str">
        <f>IFERROR(
  IF(AND(ActorType = "CylinderUnits",Actor&lt;&gt;""), INDEX(Cylinders[Cylinder Name],MATCH(Actor,Cylinders[Unit Name],0)),
  IF(AND(ActorType =    "SensorUnits",Actor&lt;&gt;""), INDEX(Sensors[Sensor Name],  MATCH(Actor,Sensors[Mechanical Unit Name],0)),"")),"Error")</f>
        <v>=MM4-MMB2</v>
      </c>
      <c r="P15" s="141" t="str">
        <f>IFERROR(
  IF(ActorType = "CylinderUnits", INDEX(Cylinders[Valve Name], MATCH(Actor,Cylinders[Unit Name],0)), ""),"Error")</f>
        <v>=KJ1-QMB4</v>
      </c>
      <c r="Q15" s="158"/>
      <c r="R15" s="271" t="str">
        <f t="shared" ca="1" si="5"/>
        <v/>
      </c>
      <c r="S15" s="179" t="str">
        <f t="shared" ca="1" si="6"/>
        <v/>
      </c>
      <c r="T15" s="157" t="str">
        <f t="shared" ca="1" si="7"/>
        <v/>
      </c>
      <c r="U15" s="157" t="str">
        <f t="shared" si="8"/>
        <v/>
      </c>
      <c r="V15" s="234" t="str">
        <f t="shared" ca="1" si="9"/>
        <v/>
      </c>
    </row>
    <row r="16" spans="1:23" ht="17.100000000000001" customHeight="1">
      <c r="B16" s="65" t="s">
        <v>9</v>
      </c>
      <c r="C16" s="89" t="str">
        <f>IF(IntegratorResponsibleEngineer &lt;&gt; "", IntegratorResponsibleEngineer, "")</f>
        <v>wei  jiang</v>
      </c>
      <c r="E16" s="141">
        <f>ROW() - ROW(Sequence[[#Headers],[ID]])</f>
        <v>13</v>
      </c>
      <c r="F16" s="236" t="s">
        <v>429</v>
      </c>
      <c r="G16" s="236" t="s">
        <v>425</v>
      </c>
      <c r="H16" s="236" t="s">
        <v>496</v>
      </c>
      <c r="I16" s="236" t="s">
        <v>528</v>
      </c>
      <c r="J16" s="236" t="s">
        <v>494</v>
      </c>
      <c r="K16" s="237"/>
      <c r="L16" s="236" t="s">
        <v>206</v>
      </c>
      <c r="M16" s="238">
        <f>IF(AND(ActorType = "CylinderUnits", OR(StandardAction = "TO WORK", StandardAction = "TO HOME")), INDEX(Cylinders[Actuation Time(s)], MATCH(Actor,Cylinders[Unit Name],0)),
   IF(OR(ActorType = "CylinderUnits", ActorType = "SensorUnits"), 0, ""))</f>
        <v>0</v>
      </c>
      <c r="N16" s="238" t="str">
        <f>IFERROR(
  IF(AND(ActorType = "CylinderUnits",Actor&lt;&gt;""), INDEX(Cylinders[MotionGroup Description], MATCH(Actor,Cylinders[Unit Name],0)),
  IF(AND(ActorType = "SensorUnits",Actor&lt;&gt;""), INDEX(Sensors[Sensor Description], MATCH(Actor,Sensors[Mechanical Unit Name],0)), "")),"Error")</f>
        <v>Group 2 Clamps</v>
      </c>
      <c r="O16" s="235" t="str">
        <f>IFERROR(
  IF(AND(ActorType = "CylinderUnits",Actor&lt;&gt;""), INDEX(Cylinders[Cylinder Name],MATCH(Actor,Cylinders[Unit Name],0)),
  IF(AND(ActorType =    "SensorUnits",Actor&lt;&gt;""), INDEX(Sensors[Sensor Name],  MATCH(Actor,Sensors[Mechanical Unit Name],0)),"")),"Error")</f>
        <v>=MM2-MMB2</v>
      </c>
      <c r="P16" s="235" t="str">
        <f>IFERROR(
  IF(ActorType = "CylinderUnits", INDEX(Cylinders[Valve Name], MATCH(Actor,Cylinders[Unit Name],0)), ""),"Error")</f>
        <v>=KJ1-QMB2</v>
      </c>
      <c r="Q16" s="239"/>
      <c r="R16" s="270" t="str">
        <f t="shared" ca="1" si="5"/>
        <v/>
      </c>
      <c r="S16" s="240" t="str">
        <f t="shared" ca="1" si="6"/>
        <v/>
      </c>
      <c r="T16" s="238" t="str">
        <f t="shared" ca="1" si="7"/>
        <v/>
      </c>
      <c r="U16" s="238" t="str">
        <f t="shared" si="8"/>
        <v/>
      </c>
      <c r="V16" s="241" t="str">
        <f t="shared" ca="1" si="9"/>
        <v/>
      </c>
    </row>
    <row r="17" spans="2:22" ht="17.100000000000001" customHeight="1">
      <c r="B17" s="65" t="s">
        <v>11</v>
      </c>
      <c r="C17" s="89" t="str">
        <f>IF(RivianResponsibleEngineer &lt;&gt; "", RivianResponsibleEngineer, "")</f>
        <v>Abraham Reyes</v>
      </c>
      <c r="E17" s="235">
        <f>ROW() - ROW(Sequence[[#Headers],[ID]])</f>
        <v>14</v>
      </c>
      <c r="F17" s="145" t="s">
        <v>429</v>
      </c>
      <c r="G17" s="145" t="s">
        <v>425</v>
      </c>
      <c r="H17" s="145" t="s">
        <v>496</v>
      </c>
      <c r="I17" s="145" t="s">
        <v>548</v>
      </c>
      <c r="J17" s="145" t="s">
        <v>494</v>
      </c>
      <c r="K17" s="156"/>
      <c r="L17" s="236" t="s">
        <v>207</v>
      </c>
      <c r="M17" s="157">
        <f>IF(AND(ActorType = "CylinderUnits", OR(StandardAction = "TO WORK", StandardAction = "TO HOME")), INDEX(Cylinders[Actuation Time(s)], MATCH(Actor,Cylinders[Unit Name],0)),
   IF(OR(ActorType = "CylinderUnits", ActorType = "SensorUnits"), 0, ""))</f>
        <v>0</v>
      </c>
      <c r="N17" s="157" t="str">
        <f>IFERROR(
  IF(AND(ActorType = "CylinderUnits",Actor&lt;&gt;""), INDEX(Cylinders[MotionGroup Description], MATCH(Actor,Cylinders[Unit Name],0)),
  IF(AND(ActorType = "SensorUnits",Actor&lt;&gt;""), INDEX(Sensors[Sensor Description], MATCH(Actor,Sensors[Mechanical Unit Name],0)), "")),"Error")</f>
        <v>Group 4 Pins</v>
      </c>
      <c r="O17" s="141" t="str">
        <f>IFERROR(
  IF(AND(ActorType = "CylinderUnits",Actor&lt;&gt;""), INDEX(Cylinders[Cylinder Name],MATCH(Actor,Cylinders[Unit Name],0)),
  IF(AND(ActorType =    "SensorUnits",Actor&lt;&gt;""), INDEX(Sensors[Sensor Name],  MATCH(Actor,Sensors[Mechanical Unit Name],0)),"")),"Error")</f>
        <v>=MM4-MMB3</v>
      </c>
      <c r="P17" s="141" t="str">
        <f>IFERROR(
  IF(ActorType = "CylinderUnits", INDEX(Cylinders[Valve Name], MATCH(Actor,Cylinders[Unit Name],0)), ""),"Error")</f>
        <v>=KJ1-QMB4</v>
      </c>
      <c r="Q17" s="158"/>
      <c r="R17" s="271" t="str">
        <f t="shared" ca="1" si="5"/>
        <v/>
      </c>
      <c r="S17" s="179" t="str">
        <f t="shared" ca="1" si="6"/>
        <v/>
      </c>
      <c r="T17" s="157" t="str">
        <f t="shared" ca="1" si="7"/>
        <v/>
      </c>
      <c r="U17" s="157" t="str">
        <f t="shared" si="8"/>
        <v/>
      </c>
      <c r="V17" s="234" t="str">
        <f t="shared" ca="1" si="9"/>
        <v/>
      </c>
    </row>
    <row r="18" spans="2:22" ht="17.100000000000001" customHeight="1">
      <c r="B18" s="65" t="s">
        <v>14</v>
      </c>
      <c r="C18" s="89" t="str">
        <f>IF(ManifoldConnection &lt;&gt; "", ManifoldConnection, "")</f>
        <v>M12 5-Pin</v>
      </c>
      <c r="E18" s="141">
        <f>ROW() - ROW(Sequence[[#Headers],[ID]])</f>
        <v>15</v>
      </c>
      <c r="F18" s="236" t="s">
        <v>429</v>
      </c>
      <c r="G18" s="236" t="s">
        <v>425</v>
      </c>
      <c r="H18" s="236" t="s">
        <v>496</v>
      </c>
      <c r="I18" s="236" t="s">
        <v>572</v>
      </c>
      <c r="J18" s="236" t="s">
        <v>494</v>
      </c>
      <c r="K18" s="237"/>
      <c r="L18" s="236" t="s">
        <v>207</v>
      </c>
      <c r="M18" s="238">
        <f>IF(AND(ActorType = "CylinderUnits", OR(StandardAction = "TO WORK", StandardAction = "TO HOME")), INDEX(Cylinders[Actuation Time(s)], MATCH(Actor,Cylinders[Unit Name],0)),
   IF(OR(ActorType = "CylinderUnits", ActorType = "SensorUnits"), 0, ""))</f>
        <v>0</v>
      </c>
      <c r="N18" s="238" t="str">
        <f>IFERROR(
  IF(AND(ActorType = "CylinderUnits",Actor&lt;&gt;""), INDEX(Cylinders[MotionGroup Description], MATCH(Actor,Cylinders[Unit Name],0)),
  IF(AND(ActorType = "SensorUnits",Actor&lt;&gt;""), INDEX(Sensors[Sensor Description], MATCH(Actor,Sensors[Mechanical Unit Name],0)), "")),"Error")</f>
        <v>Group 4 Pins</v>
      </c>
      <c r="O18" s="235" t="str">
        <f>IFERROR(
  IF(AND(ActorType = "CylinderUnits",Actor&lt;&gt;""), INDEX(Cylinders[Cylinder Name],MATCH(Actor,Cylinders[Unit Name],0)),
  IF(AND(ActorType =    "SensorUnits",Actor&lt;&gt;""), INDEX(Sensors[Sensor Name],  MATCH(Actor,Sensors[Mechanical Unit Name],0)),"")),"Error")</f>
        <v>=MM4-MMB4</v>
      </c>
      <c r="P18" s="235" t="str">
        <f>IFERROR(
  IF(ActorType = "CylinderUnits", INDEX(Cylinders[Valve Name], MATCH(Actor,Cylinders[Unit Name],0)), ""),"Error")</f>
        <v>=KJ1-QMB4</v>
      </c>
      <c r="Q18" s="239"/>
      <c r="R18" s="270" t="str">
        <f t="shared" ca="1" si="5"/>
        <v/>
      </c>
      <c r="S18" s="240" t="str">
        <f t="shared" ca="1" si="6"/>
        <v/>
      </c>
      <c r="T18" s="238" t="str">
        <f t="shared" ca="1" si="7"/>
        <v/>
      </c>
      <c r="U18" s="238" t="str">
        <f t="shared" si="8"/>
        <v/>
      </c>
      <c r="V18" s="241" t="str">
        <f t="shared" ca="1" si="9"/>
        <v/>
      </c>
    </row>
    <row r="19" spans="2:22" ht="17.100000000000001" customHeight="1">
      <c r="B19" s="65" t="s">
        <v>17</v>
      </c>
      <c r="C19" s="89" t="str">
        <f>IF(ToolType &lt;&gt; "", ToolType, "")</f>
        <v>Fixture</v>
      </c>
      <c r="E19" s="235">
        <f>ROW() - ROW(Sequence[[#Headers],[ID]])</f>
        <v>16</v>
      </c>
      <c r="F19" s="236" t="s">
        <v>429</v>
      </c>
      <c r="G19" s="236" t="s">
        <v>425</v>
      </c>
      <c r="H19" s="236" t="s">
        <v>496</v>
      </c>
      <c r="I19" s="236" t="s">
        <v>529</v>
      </c>
      <c r="J19" s="236" t="s">
        <v>494</v>
      </c>
      <c r="K19" s="237"/>
      <c r="L19" s="236" t="s">
        <v>206</v>
      </c>
      <c r="M19" s="238">
        <f>IF(AND(ActorType = "CylinderUnits", OR(StandardAction = "TO WORK", StandardAction = "TO HOME")), INDEX(Cylinders[Actuation Time(s)], MATCH(Actor,Cylinders[Unit Name],0)),
   IF(OR(ActorType = "CylinderUnits", ActorType = "SensorUnits"), 0, ""))</f>
        <v>0</v>
      </c>
      <c r="N19" s="238" t="str">
        <f>IFERROR(
  IF(AND(ActorType = "CylinderUnits",Actor&lt;&gt;""), INDEX(Cylinders[MotionGroup Description], MATCH(Actor,Cylinders[Unit Name],0)),
  IF(AND(ActorType = "SensorUnits",Actor&lt;&gt;""), INDEX(Sensors[Sensor Description], MATCH(Actor,Sensors[Mechanical Unit Name],0)), "")),"Error")</f>
        <v>Group 3 Clamps</v>
      </c>
      <c r="O19" s="235" t="str">
        <f>IFERROR(
  IF(AND(ActorType = "CylinderUnits",Actor&lt;&gt;""), INDEX(Cylinders[Cylinder Name],MATCH(Actor,Cylinders[Unit Name],0)),
  IF(AND(ActorType =    "SensorUnits",Actor&lt;&gt;""), INDEX(Sensors[Sensor Name],  MATCH(Actor,Sensors[Mechanical Unit Name],0)),"")),"Error")</f>
        <v>=MM3-MMB1</v>
      </c>
      <c r="P19" s="235" t="str">
        <f>IFERROR(
  IF(ActorType = "CylinderUnits", INDEX(Cylinders[Valve Name], MATCH(Actor,Cylinders[Unit Name],0)), ""),"Error")</f>
        <v>=KJ1-QMB3</v>
      </c>
      <c r="Q19" s="239"/>
      <c r="R19" s="270" t="str">
        <f t="shared" ca="1" si="5"/>
        <v/>
      </c>
      <c r="S19" s="240" t="str">
        <f t="shared" ca="1" si="6"/>
        <v/>
      </c>
      <c r="T19" s="238" t="str">
        <f t="shared" ca="1" si="7"/>
        <v/>
      </c>
      <c r="U19" s="238" t="str">
        <f t="shared" si="8"/>
        <v/>
      </c>
      <c r="V19" s="241" t="str">
        <f t="shared" ca="1" si="9"/>
        <v/>
      </c>
    </row>
    <row r="20" spans="2:22" ht="17.100000000000001" customHeight="1">
      <c r="E20" s="141">
        <f>ROW() - ROW(Sequence[[#Headers],[ID]])</f>
        <v>17</v>
      </c>
      <c r="F20" s="236" t="s">
        <v>429</v>
      </c>
      <c r="G20" s="236" t="s">
        <v>425</v>
      </c>
      <c r="H20" s="236" t="s">
        <v>496</v>
      </c>
      <c r="I20" s="236" t="s">
        <v>530</v>
      </c>
      <c r="J20" s="236" t="s">
        <v>494</v>
      </c>
      <c r="K20" s="237"/>
      <c r="L20" s="236" t="s">
        <v>206</v>
      </c>
      <c r="M20" s="238">
        <f>IF(AND(ActorType = "CylinderUnits", OR(StandardAction = "TO WORK", StandardAction = "TO HOME")), INDEX(Cylinders[Actuation Time(s)], MATCH(Actor,Cylinders[Unit Name],0)),
   IF(OR(ActorType = "CylinderUnits", ActorType = "SensorUnits"), 0, ""))</f>
        <v>0</v>
      </c>
      <c r="N20" s="238" t="str">
        <f>IFERROR(
  IF(AND(ActorType = "CylinderUnits",Actor&lt;&gt;""), INDEX(Cylinders[MotionGroup Description], MATCH(Actor,Cylinders[Unit Name],0)),
  IF(AND(ActorType = "SensorUnits",Actor&lt;&gt;""), INDEX(Sensors[Sensor Description], MATCH(Actor,Sensors[Mechanical Unit Name],0)), "")),"Error")</f>
        <v>Group 3 Clamps</v>
      </c>
      <c r="O20" s="235" t="str">
        <f>IFERROR(
  IF(AND(ActorType = "CylinderUnits",Actor&lt;&gt;""), INDEX(Cylinders[Cylinder Name],MATCH(Actor,Cylinders[Unit Name],0)),
  IF(AND(ActorType =    "SensorUnits",Actor&lt;&gt;""), INDEX(Sensors[Sensor Name],  MATCH(Actor,Sensors[Mechanical Unit Name],0)),"")),"Error")</f>
        <v>=MM3-MMB2</v>
      </c>
      <c r="P20" s="235" t="str">
        <f>IFERROR(
  IF(ActorType = "CylinderUnits", INDEX(Cylinders[Valve Name], MATCH(Actor,Cylinders[Unit Name],0)), ""),"Error")</f>
        <v>=KJ1-QMB3</v>
      </c>
      <c r="Q20" s="239"/>
      <c r="R20" s="270" t="str">
        <f t="shared" ca="1" si="5"/>
        <v/>
      </c>
      <c r="S20" s="240" t="str">
        <f t="shared" ca="1" si="6"/>
        <v/>
      </c>
      <c r="T20" s="238" t="str">
        <f t="shared" ca="1" si="7"/>
        <v/>
      </c>
      <c r="U20" s="238" t="str">
        <f t="shared" si="8"/>
        <v/>
      </c>
      <c r="V20" s="241" t="str">
        <f t="shared" ca="1" si="9"/>
        <v/>
      </c>
    </row>
    <row r="21" spans="2:22" ht="17.100000000000001" customHeight="1">
      <c r="B21" s="163"/>
      <c r="E21" s="235">
        <f>ROW() - ROW(Sequence[[#Headers],[ID]])</f>
        <v>18</v>
      </c>
      <c r="F21" s="236" t="s">
        <v>429</v>
      </c>
      <c r="G21" s="236" t="s">
        <v>425</v>
      </c>
      <c r="H21" s="236" t="s">
        <v>496</v>
      </c>
      <c r="I21" s="236" t="s">
        <v>531</v>
      </c>
      <c r="J21" s="236" t="s">
        <v>494</v>
      </c>
      <c r="K21" s="237"/>
      <c r="L21" s="236" t="s">
        <v>206</v>
      </c>
      <c r="M21" s="238">
        <f>IF(AND(ActorType = "CylinderUnits", OR(StandardAction = "TO WORK", StandardAction = "TO HOME")), INDEX(Cylinders[Actuation Time(s)], MATCH(Actor,Cylinders[Unit Name],0)),
   IF(OR(ActorType = "CylinderUnits", ActorType = "SensorUnits"), 0, ""))</f>
        <v>0</v>
      </c>
      <c r="N21" s="238" t="str">
        <f>IFERROR(
  IF(AND(ActorType = "CylinderUnits",Actor&lt;&gt;""), INDEX(Cylinders[MotionGroup Description], MATCH(Actor,Cylinders[Unit Name],0)),
  IF(AND(ActorType = "SensorUnits",Actor&lt;&gt;""), INDEX(Sensors[Sensor Description], MATCH(Actor,Sensors[Mechanical Unit Name],0)), "")),"Error")</f>
        <v>Group 3 Clamps</v>
      </c>
      <c r="O21" s="235" t="str">
        <f>IFERROR(
  IF(AND(ActorType = "CylinderUnits",Actor&lt;&gt;""), INDEX(Cylinders[Cylinder Name],MATCH(Actor,Cylinders[Unit Name],0)),
  IF(AND(ActorType =    "SensorUnits",Actor&lt;&gt;""), INDEX(Sensors[Sensor Name],  MATCH(Actor,Sensors[Mechanical Unit Name],0)),"")),"Error")</f>
        <v>=MM3-MMB3</v>
      </c>
      <c r="P21" s="235" t="str">
        <f>IFERROR(
  IF(ActorType = "CylinderUnits", INDEX(Cylinders[Valve Name], MATCH(Actor,Cylinders[Unit Name],0)), ""),"Error")</f>
        <v>=KJ1-QMB3</v>
      </c>
      <c r="Q21" s="239"/>
      <c r="R21" s="270" t="str">
        <f t="shared" ca="1" si="5"/>
        <v/>
      </c>
      <c r="S21" s="240" t="str">
        <f t="shared" ca="1" si="6"/>
        <v/>
      </c>
      <c r="T21" s="238" t="str">
        <f t="shared" ca="1" si="7"/>
        <v/>
      </c>
      <c r="U21" s="238" t="str">
        <f t="shared" si="8"/>
        <v/>
      </c>
      <c r="V21" s="241" t="str">
        <f t="shared" ca="1" si="9"/>
        <v/>
      </c>
    </row>
    <row r="22" spans="2:22" ht="17.100000000000001" customHeight="1">
      <c r="E22" s="141">
        <f>ROW() - ROW(Sequence[[#Headers],[ID]])</f>
        <v>19</v>
      </c>
      <c r="F22" s="236" t="s">
        <v>429</v>
      </c>
      <c r="G22" s="145" t="s">
        <v>425</v>
      </c>
      <c r="H22" s="145" t="s">
        <v>496</v>
      </c>
      <c r="I22" s="145" t="s">
        <v>520</v>
      </c>
      <c r="J22" s="145" t="s">
        <v>494</v>
      </c>
      <c r="K22" s="156"/>
      <c r="L22" s="236" t="s">
        <v>206</v>
      </c>
      <c r="M22" s="157">
        <f>IF(AND(ActorType = "CylinderUnits", OR(StandardAction = "TO WORK", StandardAction = "TO HOME")), INDEX(Cylinders[Actuation Time(s)], MATCH(Actor,Cylinders[Unit Name],0)),
   IF(OR(ActorType = "CylinderUnits", ActorType = "SensorUnits"), 0, ""))</f>
        <v>0</v>
      </c>
      <c r="N22" s="157" t="str">
        <f>IFERROR(
  IF(AND(ActorType = "CylinderUnits",Actor&lt;&gt;""), INDEX(Cylinders[MotionGroup Description], MATCH(Actor,Cylinders[Unit Name],0)),
  IF(AND(ActorType = "SensorUnits",Actor&lt;&gt;""), INDEX(Sensors[Sensor Description], MATCH(Actor,Sensors[Mechanical Unit Name],0)), "")),"Error")</f>
        <v>Group 3 Clamps</v>
      </c>
      <c r="O22" s="141" t="str">
        <f>IFERROR(
  IF(AND(ActorType = "CylinderUnits",Actor&lt;&gt;""), INDEX(Cylinders[Cylinder Name],MATCH(Actor,Cylinders[Unit Name],0)),
  IF(AND(ActorType =    "SensorUnits",Actor&lt;&gt;""), INDEX(Sensors[Sensor Name],  MATCH(Actor,Sensors[Mechanical Unit Name],0)),"")),"Error")</f>
        <v>=MM3-MMB4</v>
      </c>
      <c r="P22" s="141" t="str">
        <f>IFERROR(
  IF(ActorType = "CylinderUnits", INDEX(Cylinders[Valve Name], MATCH(Actor,Cylinders[Unit Name],0)), ""),"Error")</f>
        <v>=KJ1-QMB3</v>
      </c>
      <c r="Q22" s="158"/>
      <c r="R22" s="271" t="str">
        <f t="shared" ca="1" si="5"/>
        <v/>
      </c>
      <c r="S22" s="179" t="str">
        <f t="shared" ca="1" si="6"/>
        <v/>
      </c>
      <c r="T22" s="157" t="str">
        <f t="shared" ca="1" si="7"/>
        <v/>
      </c>
      <c r="U22" s="157" t="str">
        <f t="shared" si="8"/>
        <v/>
      </c>
      <c r="V22" s="234" t="str">
        <f t="shared" ca="1" si="9"/>
        <v/>
      </c>
    </row>
    <row r="23" spans="2:22" ht="17.100000000000001" customHeight="1">
      <c r="E23" s="235">
        <f>ROW() - ROW(Sequence[[#Headers],[ID]])</f>
        <v>20</v>
      </c>
      <c r="F23" s="236" t="s">
        <v>429</v>
      </c>
      <c r="G23" s="145" t="s">
        <v>425</v>
      </c>
      <c r="H23" s="145" t="s">
        <v>496</v>
      </c>
      <c r="I23" s="145" t="s">
        <v>532</v>
      </c>
      <c r="J23" s="145" t="s">
        <v>494</v>
      </c>
      <c r="K23" s="156"/>
      <c r="L23" s="236" t="s">
        <v>206</v>
      </c>
      <c r="M23" s="157">
        <f>IF(AND(ActorType = "CylinderUnits", OR(StandardAction = "TO WORK", StandardAction = "TO HOME")), INDEX(Cylinders[Actuation Time(s)], MATCH(Actor,Cylinders[Unit Name],0)),
   IF(OR(ActorType = "CylinderUnits", ActorType = "SensorUnits"), 0, ""))</f>
        <v>0</v>
      </c>
      <c r="N23" s="157" t="str">
        <f>IFERROR(
  IF(AND(ActorType = "CylinderUnits",Actor&lt;&gt;""), INDEX(Cylinders[MotionGroup Description], MATCH(Actor,Cylinders[Unit Name],0)),
  IF(AND(ActorType = "SensorUnits",Actor&lt;&gt;""), INDEX(Sensors[Sensor Description], MATCH(Actor,Sensors[Mechanical Unit Name],0)), "")),"Error")</f>
        <v>Group 3 Clamps</v>
      </c>
      <c r="O23" s="141" t="str">
        <f>IFERROR(
  IF(AND(ActorType = "CylinderUnits",Actor&lt;&gt;""), INDEX(Cylinders[Cylinder Name],MATCH(Actor,Cylinders[Unit Name],0)),
  IF(AND(ActorType =    "SensorUnits",Actor&lt;&gt;""), INDEX(Sensors[Sensor Name],  MATCH(Actor,Sensors[Mechanical Unit Name],0)),"")),"Error")</f>
        <v>=MM3-MMB5</v>
      </c>
      <c r="P23" s="141" t="str">
        <f>IFERROR(
  IF(ActorType = "CylinderUnits", INDEX(Cylinders[Valve Name], MATCH(Actor,Cylinders[Unit Name],0)), ""),"Error")</f>
        <v>=KJ1-QMB3</v>
      </c>
      <c r="Q23" s="158"/>
      <c r="R23" s="271" t="str">
        <f t="shared" ca="1" si="5"/>
        <v/>
      </c>
      <c r="S23" s="179" t="str">
        <f t="shared" ca="1" si="6"/>
        <v/>
      </c>
      <c r="T23" s="157" t="str">
        <f t="shared" ca="1" si="7"/>
        <v/>
      </c>
      <c r="U23" s="157" t="str">
        <f t="shared" si="8"/>
        <v/>
      </c>
      <c r="V23" s="234" t="str">
        <f t="shared" ca="1" si="9"/>
        <v/>
      </c>
    </row>
    <row r="24" spans="2:22" ht="17.100000000000001" customHeight="1">
      <c r="E24" s="141">
        <f>ROW() - ROW(Sequence[[#Headers],[ID]])</f>
        <v>21</v>
      </c>
      <c r="F24" s="236" t="s">
        <v>429</v>
      </c>
      <c r="G24" s="145" t="s">
        <v>425</v>
      </c>
      <c r="H24" s="145" t="s">
        <v>496</v>
      </c>
      <c r="I24" s="145" t="s">
        <v>535</v>
      </c>
      <c r="J24" s="145" t="s">
        <v>494</v>
      </c>
      <c r="K24" s="156"/>
      <c r="L24" s="236" t="s">
        <v>207</v>
      </c>
      <c r="M24" s="157">
        <f>IF(AND(ActorType = "CylinderUnits", OR(StandardAction = "TO WORK", StandardAction = "TO HOME")), INDEX(Cylinders[Actuation Time(s)], MATCH(Actor,Cylinders[Unit Name],0)),
   IF(OR(ActorType = "CylinderUnits", ActorType = "SensorUnits"), 0, ""))</f>
        <v>0</v>
      </c>
      <c r="N24" s="157" t="str">
        <f>IFERROR(
  IF(AND(ActorType = "CylinderUnits",Actor&lt;&gt;""), INDEX(Cylinders[MotionGroup Description], MATCH(Actor,Cylinders[Unit Name],0)),
  IF(AND(ActorType = "SensorUnits",Actor&lt;&gt;""), INDEX(Sensors[Sensor Description], MATCH(Actor,Sensors[Mechanical Unit Name],0)), "")),"Error")</f>
        <v>Group 4 Pins</v>
      </c>
      <c r="O24" s="141" t="str">
        <f>IFERROR(
  IF(AND(ActorType = "CylinderUnits",Actor&lt;&gt;""), INDEX(Cylinders[Cylinder Name],MATCH(Actor,Cylinders[Unit Name],0)),
  IF(AND(ActorType =    "SensorUnits",Actor&lt;&gt;""), INDEX(Sensors[Sensor Name],  MATCH(Actor,Sensors[Mechanical Unit Name],0)),"")),"Error")</f>
        <v>=MM4-MMB5</v>
      </c>
      <c r="P24" s="141" t="str">
        <f>IFERROR(
  IF(ActorType = "CylinderUnits", INDEX(Cylinders[Valve Name], MATCH(Actor,Cylinders[Unit Name],0)), ""),"Error")</f>
        <v>=KJ1-QMB4</v>
      </c>
      <c r="Q24" s="158"/>
      <c r="R24" s="271" t="str">
        <f t="shared" ca="1" si="5"/>
        <v/>
      </c>
      <c r="S24" s="179" t="str">
        <f t="shared" ca="1" si="6"/>
        <v/>
      </c>
      <c r="T24" s="157" t="str">
        <f t="shared" ca="1" si="7"/>
        <v/>
      </c>
      <c r="U24" s="157" t="str">
        <f t="shared" si="8"/>
        <v/>
      </c>
      <c r="V24" s="234" t="str">
        <f t="shared" ca="1" si="9"/>
        <v/>
      </c>
    </row>
    <row r="25" spans="2:22" ht="17.100000000000001" customHeight="1">
      <c r="E25" s="235">
        <f>ROW() - ROW(Sequence[[#Headers],[ID]])</f>
        <v>22</v>
      </c>
      <c r="F25" s="236" t="s">
        <v>429</v>
      </c>
      <c r="G25" s="145" t="s">
        <v>425</v>
      </c>
      <c r="H25" s="145" t="s">
        <v>496</v>
      </c>
      <c r="I25" s="145" t="s">
        <v>533</v>
      </c>
      <c r="J25" s="145" t="s">
        <v>494</v>
      </c>
      <c r="K25" s="156"/>
      <c r="L25" s="236" t="s">
        <v>206</v>
      </c>
      <c r="M25" s="157">
        <f>IF(AND(ActorType = "CylinderUnits", OR(StandardAction = "TO WORK", StandardAction = "TO HOME")), INDEX(Cylinders[Actuation Time(s)], MATCH(Actor,Cylinders[Unit Name],0)),
   IF(OR(ActorType = "CylinderUnits", ActorType = "SensorUnits"), 0, ""))</f>
        <v>0</v>
      </c>
      <c r="N25" s="157" t="str">
        <f>IFERROR(
  IF(AND(ActorType = "CylinderUnits",Actor&lt;&gt;""), INDEX(Cylinders[MotionGroup Description], MATCH(Actor,Cylinders[Unit Name],0)),
  IF(AND(ActorType = "SensorUnits",Actor&lt;&gt;""), INDEX(Sensors[Sensor Description], MATCH(Actor,Sensors[Mechanical Unit Name],0)), "")),"Error")</f>
        <v>Group 3 Clamps</v>
      </c>
      <c r="O25" s="141" t="str">
        <f>IFERROR(
  IF(AND(ActorType = "CylinderUnits",Actor&lt;&gt;""), INDEX(Cylinders[Cylinder Name],MATCH(Actor,Cylinders[Unit Name],0)),
  IF(AND(ActorType =    "SensorUnits",Actor&lt;&gt;""), INDEX(Sensors[Sensor Name],  MATCH(Actor,Sensors[Mechanical Unit Name],0)),"")),"Error")</f>
        <v>=MM3-MMB6</v>
      </c>
      <c r="P25" s="141" t="str">
        <f>IFERROR(
  IF(ActorType = "CylinderUnits", INDEX(Cylinders[Valve Name], MATCH(Actor,Cylinders[Unit Name],0)), ""),"Error")</f>
        <v>=KJ1-QMB3</v>
      </c>
      <c r="Q25" s="158"/>
      <c r="R25" s="271" t="str">
        <f t="shared" ca="1" si="5"/>
        <v/>
      </c>
      <c r="S25" s="179" t="str">
        <f t="shared" ca="1" si="6"/>
        <v/>
      </c>
      <c r="T25" s="157" t="str">
        <f t="shared" ca="1" si="7"/>
        <v/>
      </c>
      <c r="U25" s="157" t="str">
        <f t="shared" si="8"/>
        <v/>
      </c>
      <c r="V25" s="234" t="str">
        <f t="shared" ca="1" si="9"/>
        <v/>
      </c>
    </row>
    <row r="26" spans="2:22" ht="17.100000000000001" customHeight="1">
      <c r="E26" s="141">
        <f>ROW() - ROW(Sequence[[#Headers],[ID]])</f>
        <v>23</v>
      </c>
      <c r="F26" s="236" t="s">
        <v>429</v>
      </c>
      <c r="G26" s="145" t="s">
        <v>425</v>
      </c>
      <c r="H26" s="145" t="s">
        <v>496</v>
      </c>
      <c r="I26" s="145" t="s">
        <v>544</v>
      </c>
      <c r="J26" s="145" t="s">
        <v>494</v>
      </c>
      <c r="K26" s="156"/>
      <c r="L26" s="236" t="s">
        <v>206</v>
      </c>
      <c r="M26" s="157">
        <f>IF(AND(ActorType = "CylinderUnits", OR(StandardAction = "TO WORK", StandardAction = "TO HOME")), INDEX(Cylinders[Actuation Time(s)], MATCH(Actor,Cylinders[Unit Name],0)),
   IF(OR(ActorType = "CylinderUnits", ActorType = "SensorUnits"), 0, ""))</f>
        <v>0</v>
      </c>
      <c r="N26" s="157" t="str">
        <f>IFERROR(
  IF(AND(ActorType = "CylinderUnits",Actor&lt;&gt;""), INDEX(Cylinders[MotionGroup Description], MATCH(Actor,Cylinders[Unit Name],0)),
  IF(AND(ActorType = "SensorUnits",Actor&lt;&gt;""), INDEX(Sensors[Sensor Description], MATCH(Actor,Sensors[Mechanical Unit Name],0)), "")),"Error")</f>
        <v>Group 3 Clamps</v>
      </c>
      <c r="O26" s="141" t="str">
        <f>IFERROR(
  IF(AND(ActorType = "CylinderUnits",Actor&lt;&gt;""), INDEX(Cylinders[Cylinder Name],MATCH(Actor,Cylinders[Unit Name],0)),
  IF(AND(ActorType =    "SensorUnits",Actor&lt;&gt;""), INDEX(Sensors[Sensor Name],  MATCH(Actor,Sensors[Mechanical Unit Name],0)),"")),"Error")</f>
        <v>=MM3-MMB7</v>
      </c>
      <c r="P26" s="141" t="str">
        <f>IFERROR(
  IF(ActorType = "CylinderUnits", INDEX(Cylinders[Valve Name], MATCH(Actor,Cylinders[Unit Name],0)), ""),"Error")</f>
        <v>=KJ1-QMB3</v>
      </c>
      <c r="Q26" s="158"/>
      <c r="R26" s="271" t="str">
        <f t="shared" ca="1" si="5"/>
        <v/>
      </c>
      <c r="S26" s="179" t="str">
        <f t="shared" ca="1" si="6"/>
        <v/>
      </c>
      <c r="T26" s="157" t="str">
        <f t="shared" ca="1" si="7"/>
        <v/>
      </c>
      <c r="U26" s="157" t="str">
        <f t="shared" si="8"/>
        <v/>
      </c>
      <c r="V26" s="234" t="str">
        <f t="shared" ca="1" si="9"/>
        <v/>
      </c>
    </row>
    <row r="27" spans="2:22" ht="17.100000000000001" customHeight="1">
      <c r="E27" s="235">
        <f>ROW() - ROW(Sequence[[#Headers],[ID]])</f>
        <v>24</v>
      </c>
      <c r="F27" s="236" t="s">
        <v>429</v>
      </c>
      <c r="G27" s="145" t="s">
        <v>425</v>
      </c>
      <c r="H27" s="145" t="s">
        <v>496</v>
      </c>
      <c r="I27" s="145" t="s">
        <v>545</v>
      </c>
      <c r="J27" s="145" t="s">
        <v>494</v>
      </c>
      <c r="K27" s="156"/>
      <c r="L27" s="236" t="s">
        <v>206</v>
      </c>
      <c r="M27" s="157">
        <f>IF(AND(ActorType = "CylinderUnits", OR(StandardAction = "TO WORK", StandardAction = "TO HOME")), INDEX(Cylinders[Actuation Time(s)], MATCH(Actor,Cylinders[Unit Name],0)),
   IF(OR(ActorType = "CylinderUnits", ActorType = "SensorUnits"), 0, ""))</f>
        <v>0</v>
      </c>
      <c r="N27" s="157" t="str">
        <f>IFERROR(
  IF(AND(ActorType = "CylinderUnits",Actor&lt;&gt;""), INDEX(Cylinders[MotionGroup Description], MATCH(Actor,Cylinders[Unit Name],0)),
  IF(AND(ActorType = "SensorUnits",Actor&lt;&gt;""), INDEX(Sensors[Sensor Description], MATCH(Actor,Sensors[Mechanical Unit Name],0)), "")),"Error")</f>
        <v>Group 3 Clamps</v>
      </c>
      <c r="O27" s="141" t="str">
        <f>IFERROR(
  IF(AND(ActorType = "CylinderUnits",Actor&lt;&gt;""), INDEX(Cylinders[Cylinder Name],MATCH(Actor,Cylinders[Unit Name],0)),
  IF(AND(ActorType =    "SensorUnits",Actor&lt;&gt;""), INDEX(Sensors[Sensor Name],  MATCH(Actor,Sensors[Mechanical Unit Name],0)),"")),"Error")</f>
        <v>=MM3-MMB8</v>
      </c>
      <c r="P27" s="141" t="str">
        <f>IFERROR(
  IF(ActorType = "CylinderUnits", INDEX(Cylinders[Valve Name], MATCH(Actor,Cylinders[Unit Name],0)), ""),"Error")</f>
        <v>=KJ1-QMB3</v>
      </c>
      <c r="Q27" s="158"/>
      <c r="R27" s="271" t="str">
        <f t="shared" ca="1" si="5"/>
        <v/>
      </c>
      <c r="S27" s="179" t="str">
        <f t="shared" ca="1" si="6"/>
        <v/>
      </c>
      <c r="T27" s="157" t="str">
        <f t="shared" ca="1" si="7"/>
        <v/>
      </c>
      <c r="U27" s="157" t="str">
        <f t="shared" si="8"/>
        <v/>
      </c>
      <c r="V27" s="234" t="str">
        <f t="shared" ca="1" si="9"/>
        <v/>
      </c>
    </row>
    <row r="28" spans="2:22" ht="17.100000000000001" customHeight="1">
      <c r="E28" s="141">
        <f>ROW() - ROW(Sequence[[#Headers],[ID]])</f>
        <v>25</v>
      </c>
      <c r="F28" s="236" t="s">
        <v>429</v>
      </c>
      <c r="G28" s="145" t="s">
        <v>425</v>
      </c>
      <c r="H28" s="145" t="s">
        <v>496</v>
      </c>
      <c r="I28" s="145" t="s">
        <v>595</v>
      </c>
      <c r="J28" s="145" t="s">
        <v>494</v>
      </c>
      <c r="K28" s="156"/>
      <c r="L28" s="236" t="s">
        <v>207</v>
      </c>
      <c r="M28" s="157">
        <f>IF(AND(ActorType = "CylinderUnits", OR(StandardAction = "TO WORK", StandardAction = "TO HOME")), INDEX(Cylinders[Actuation Time(s)], MATCH(Actor,Cylinders[Unit Name],0)),
   IF(OR(ActorType = "CylinderUnits", ActorType = "SensorUnits"), 0, ""))</f>
        <v>0</v>
      </c>
      <c r="N28" s="157" t="str">
        <f>IFERROR(
  IF(AND(ActorType = "CylinderUnits",Actor&lt;&gt;""), INDEX(Cylinders[MotionGroup Description], MATCH(Actor,Cylinders[Unit Name],0)),
  IF(AND(ActorType = "SensorUnits",Actor&lt;&gt;""), INDEX(Sensors[Sensor Description], MATCH(Actor,Sensors[Mechanical Unit Name],0)), "")),"Error")</f>
        <v>Group 4 Pins</v>
      </c>
      <c r="O28" s="141" t="str">
        <f>IFERROR(
  IF(AND(ActorType = "CylinderUnits",Actor&lt;&gt;""), INDEX(Cylinders[Cylinder Name],MATCH(Actor,Cylinders[Unit Name],0)),
  IF(AND(ActorType =    "SensorUnits",Actor&lt;&gt;""), INDEX(Sensors[Sensor Name],  MATCH(Actor,Sensors[Mechanical Unit Name],0)),"")),"Error")</f>
        <v>=MM4-MMB6</v>
      </c>
      <c r="P28" s="141" t="str">
        <f>IFERROR(
  IF(ActorType = "CylinderUnits", INDEX(Cylinders[Valve Name], MATCH(Actor,Cylinders[Unit Name],0)), ""),"Error")</f>
        <v>=KJ1-QMB4</v>
      </c>
      <c r="Q28" s="158"/>
      <c r="R28" s="271" t="str">
        <f t="shared" ca="1" si="5"/>
        <v/>
      </c>
      <c r="S28" s="179" t="str">
        <f t="shared" ca="1" si="6"/>
        <v/>
      </c>
      <c r="T28" s="157" t="str">
        <f t="shared" ca="1" si="7"/>
        <v/>
      </c>
      <c r="U28" s="157" t="str">
        <f t="shared" si="8"/>
        <v/>
      </c>
      <c r="V28" s="234" t="str">
        <f t="shared" ca="1" si="9"/>
        <v/>
      </c>
    </row>
    <row r="29" spans="2:22" ht="17.100000000000001" customHeight="1">
      <c r="E29" s="235">
        <f>ROW() - ROW(Sequence[[#Headers],[ID]])</f>
        <v>26</v>
      </c>
      <c r="F29" s="236" t="s">
        <v>429</v>
      </c>
      <c r="G29" s="236" t="s">
        <v>425</v>
      </c>
      <c r="H29" s="236" t="s">
        <v>497</v>
      </c>
      <c r="I29" s="236" t="s">
        <v>578</v>
      </c>
      <c r="J29" s="236" t="s">
        <v>494</v>
      </c>
      <c r="K29" s="237"/>
      <c r="L29" s="236" t="s">
        <v>160</v>
      </c>
      <c r="M29" s="238">
        <f>IF(AND(ActorType = "CylinderUnits", OR(StandardAction = "TO WORK", StandardAction = "TO HOME")), INDEX(Cylinders[Actuation Time(s)], MATCH(Actor,Cylinders[Unit Name],0)),
   IF(OR(ActorType = "CylinderUnits", ActorType = "SensorUnits"), 0, ""))</f>
        <v>0</v>
      </c>
      <c r="N29" s="238" t="str">
        <f>IFERROR(
  IF(AND(ActorType = "CylinderUnits",Actor&lt;&gt;""), INDEX(Cylinders[MotionGroup Description], MATCH(Actor,Cylinders[Unit Name],0)),
  IF(AND(ActorType = "SensorUnits",Actor&lt;&gt;""), INDEX(Sensors[Sensor Description], MATCH(Actor,Sensors[Mechanical Unit Name],0)), "")),"Error")</f>
        <v>PANEL - ROCKER LOWER INNER ASSY; LH</v>
      </c>
      <c r="O29" s="235" t="str">
        <f>IFERROR(
  IF(AND(ActorType = "CylinderUnits",Actor&lt;&gt;""), INDEX(Cylinders[Cylinder Name],MATCH(Actor,Cylinders[Unit Name],0)),
  IF(AND(ActorType =    "SensorUnits",Actor&lt;&gt;""), INDEX(Sensors[Sensor Name],  MATCH(Actor,Sensors[Mechanical Unit Name],0)),"")),"Error")</f>
        <v>=BG1-BGB1</v>
      </c>
      <c r="P29" s="235" t="str">
        <f>IFERROR(
  IF(ActorType = "CylinderUnits", INDEX(Cylinders[Valve Name], MATCH(Actor,Cylinders[Unit Name],0)), ""),"Error")</f>
        <v/>
      </c>
      <c r="Q29" s="239"/>
      <c r="R29" s="270" t="str">
        <f t="shared" ca="1" si="5"/>
        <v/>
      </c>
      <c r="S29" s="240" t="str">
        <f t="shared" ca="1" si="6"/>
        <v/>
      </c>
      <c r="T29" s="238" t="str">
        <f t="shared" ca="1" si="7"/>
        <v/>
      </c>
      <c r="U29" s="238" t="str">
        <f t="shared" si="8"/>
        <v/>
      </c>
      <c r="V29" s="241" t="str">
        <f t="shared" ca="1" si="9"/>
        <v/>
      </c>
    </row>
    <row r="30" spans="2:22" ht="17.100000000000001" customHeight="1">
      <c r="E30" s="141">
        <f>ROW() - ROW(Sequence[[#Headers],[ID]])</f>
        <v>27</v>
      </c>
      <c r="F30" s="236" t="s">
        <v>429</v>
      </c>
      <c r="G30" s="236" t="s">
        <v>425</v>
      </c>
      <c r="H30" s="236" t="s">
        <v>497</v>
      </c>
      <c r="I30" s="236" t="s">
        <v>580</v>
      </c>
      <c r="J30" s="236" t="s">
        <v>494</v>
      </c>
      <c r="K30" s="237"/>
      <c r="L30" s="236" t="s">
        <v>160</v>
      </c>
      <c r="M30" s="238">
        <f>IF(AND(ActorType = "CylinderUnits", OR(StandardAction = "TO WORK", StandardAction = "TO HOME")), INDEX(Cylinders[Actuation Time(s)], MATCH(Actor,Cylinders[Unit Name],0)),
   IF(OR(ActorType = "CylinderUnits", ActorType = "SensorUnits"), 0, ""))</f>
        <v>0</v>
      </c>
      <c r="N30" s="238" t="str">
        <f>IFERROR(
  IF(AND(ActorType = "CylinderUnits",Actor&lt;&gt;""), INDEX(Cylinders[MotionGroup Description], MATCH(Actor,Cylinders[Unit Name],0)),
  IF(AND(ActorType = "SensorUnits",Actor&lt;&gt;""), INDEX(Sensors[Sensor Description], MATCH(Actor,Sensors[Mechanical Unit Name],0)), "")),"Error")</f>
        <v>PANEL - ROCKER LOWER INNER ASSY; LH</v>
      </c>
      <c r="O30" s="235" t="str">
        <f>IFERROR(
  IF(AND(ActorType = "CylinderUnits",Actor&lt;&gt;""), INDEX(Cylinders[Cylinder Name],MATCH(Actor,Cylinders[Unit Name],0)),
  IF(AND(ActorType =    "SensorUnits",Actor&lt;&gt;""), INDEX(Sensors[Sensor Name],  MATCH(Actor,Sensors[Mechanical Unit Name],0)),"")),"Error")</f>
        <v>=BG1-BGB2</v>
      </c>
      <c r="P30" s="235" t="str">
        <f>IFERROR(
  IF(ActorType = "CylinderUnits", INDEX(Cylinders[Valve Name], MATCH(Actor,Cylinders[Unit Name],0)), ""),"Error")</f>
        <v/>
      </c>
      <c r="Q30" s="239"/>
      <c r="R30" s="270" t="str">
        <f t="shared" ca="1" si="5"/>
        <v/>
      </c>
      <c r="S30" s="240" t="str">
        <f t="shared" ca="1" si="6"/>
        <v/>
      </c>
      <c r="T30" s="238" t="str">
        <f t="shared" ca="1" si="7"/>
        <v/>
      </c>
      <c r="U30" s="238" t="str">
        <f t="shared" si="8"/>
        <v/>
      </c>
      <c r="V30" s="241" t="str">
        <f t="shared" ca="1" si="9"/>
        <v/>
      </c>
    </row>
    <row r="31" spans="2:22" ht="17.100000000000001" customHeight="1">
      <c r="E31" s="235">
        <f>ROW() - ROW(Sequence[[#Headers],[ID]])</f>
        <v>28</v>
      </c>
      <c r="F31" s="236" t="s">
        <v>429</v>
      </c>
      <c r="G31" s="236" t="s">
        <v>425</v>
      </c>
      <c r="H31" s="145" t="s">
        <v>497</v>
      </c>
      <c r="I31" s="145" t="s">
        <v>599</v>
      </c>
      <c r="J31" s="145" t="s">
        <v>494</v>
      </c>
      <c r="K31" s="156"/>
      <c r="L31" s="145" t="s">
        <v>160</v>
      </c>
      <c r="M31" s="157">
        <f>IF(AND(ActorType = "CylinderUnits", OR(StandardAction = "TO WORK", StandardAction = "TO HOME")), INDEX(Cylinders[Actuation Time(s)], MATCH(Actor,Cylinders[Unit Name],0)),
   IF(OR(ActorType = "CylinderUnits", ActorType = "SensorUnits"), 0, ""))</f>
        <v>0</v>
      </c>
      <c r="N31" s="157" t="str">
        <f>IFERROR(
  IF(AND(ActorType = "CylinderUnits",Actor&lt;&gt;""), INDEX(Cylinders[MotionGroup Description], MATCH(Actor,Cylinders[Unit Name],0)),
  IF(AND(ActorType = "SensorUnits",Actor&lt;&gt;""), INDEX(Sensors[Sensor Description], MATCH(Actor,Sensors[Mechanical Unit Name],0)), "")),"Error")</f>
        <v>PANEL - FFLR</v>
      </c>
      <c r="O31" s="141" t="str">
        <f>IFERROR(
  IF(AND(ActorType = "CylinderUnits",Actor&lt;&gt;""), INDEX(Cylinders[Cylinder Name],MATCH(Actor,Cylinders[Unit Name],0)),
  IF(AND(ActorType =    "SensorUnits",Actor&lt;&gt;""), INDEX(Sensors[Sensor Name],  MATCH(Actor,Sensors[Mechanical Unit Name],0)),"")),"Error")</f>
        <v>=BG2-BGB1</v>
      </c>
      <c r="P31" s="141" t="str">
        <f>IFERROR(
  IF(ActorType = "CylinderUnits", INDEX(Cylinders[Valve Name], MATCH(Actor,Cylinders[Unit Name],0)), ""),"Error")</f>
        <v/>
      </c>
      <c r="Q31" s="158"/>
      <c r="R31" s="271" t="str">
        <f t="shared" ca="1" si="5"/>
        <v/>
      </c>
      <c r="S31" s="179" t="str">
        <f t="shared" ca="1" si="6"/>
        <v/>
      </c>
      <c r="T31" s="157" t="str">
        <f t="shared" ca="1" si="7"/>
        <v/>
      </c>
      <c r="U31" s="157" t="str">
        <f t="shared" si="8"/>
        <v/>
      </c>
      <c r="V31" s="234" t="str">
        <f t="shared" ca="1" si="9"/>
        <v/>
      </c>
    </row>
    <row r="32" spans="2:22" ht="17.100000000000001" customHeight="1">
      <c r="E32" s="141">
        <f>ROW() - ROW(Sequence[[#Headers],[ID]])</f>
        <v>29</v>
      </c>
      <c r="F32" s="236" t="s">
        <v>429</v>
      </c>
      <c r="G32" s="236" t="s">
        <v>425</v>
      </c>
      <c r="H32" s="145" t="s">
        <v>497</v>
      </c>
      <c r="I32" s="145" t="s">
        <v>601</v>
      </c>
      <c r="J32" s="145" t="s">
        <v>494</v>
      </c>
      <c r="K32" s="156"/>
      <c r="L32" s="145" t="s">
        <v>160</v>
      </c>
      <c r="M32" s="157">
        <f>IF(AND(ActorType = "CylinderUnits", OR(StandardAction = "TO WORK", StandardAction = "TO HOME")), INDEX(Cylinders[Actuation Time(s)], MATCH(Actor,Cylinders[Unit Name],0)),
   IF(OR(ActorType = "CylinderUnits", ActorType = "SensorUnits"), 0, ""))</f>
        <v>0</v>
      </c>
      <c r="N32" s="157" t="str">
        <f>IFERROR(
  IF(AND(ActorType = "CylinderUnits",Actor&lt;&gt;""), INDEX(Cylinders[MotionGroup Description], MATCH(Actor,Cylinders[Unit Name],0)),
  IF(AND(ActorType = "SensorUnits",Actor&lt;&gt;""), INDEX(Sensors[Sensor Description], MATCH(Actor,Sensors[Mechanical Unit Name],0)), "")),"Error")</f>
        <v>PANEL - FFLR</v>
      </c>
      <c r="O32" s="141" t="str">
        <f>IFERROR(
  IF(AND(ActorType = "CylinderUnits",Actor&lt;&gt;""), INDEX(Cylinders[Cylinder Name],MATCH(Actor,Cylinders[Unit Name],0)),
  IF(AND(ActorType =    "SensorUnits",Actor&lt;&gt;""), INDEX(Sensors[Sensor Name],  MATCH(Actor,Sensors[Mechanical Unit Name],0)),"")),"Error")</f>
        <v>=BG2-BGB2</v>
      </c>
      <c r="P32" s="141" t="str">
        <f>IFERROR(
  IF(ActorType = "CylinderUnits", INDEX(Cylinders[Valve Name], MATCH(Actor,Cylinders[Unit Name],0)), ""),"Error")</f>
        <v/>
      </c>
      <c r="Q32" s="158"/>
      <c r="R32" s="271" t="str">
        <f t="shared" ca="1" si="5"/>
        <v/>
      </c>
      <c r="S32" s="179" t="str">
        <f t="shared" ca="1" si="6"/>
        <v/>
      </c>
      <c r="T32" s="157" t="str">
        <f t="shared" ca="1" si="7"/>
        <v/>
      </c>
      <c r="U32" s="157" t="str">
        <f t="shared" si="8"/>
        <v/>
      </c>
      <c r="V32" s="234" t="str">
        <f t="shared" ca="1" si="9"/>
        <v/>
      </c>
    </row>
    <row r="33" spans="5:22" ht="17.100000000000001" customHeight="1">
      <c r="E33" s="235">
        <f>ROW() - ROW(Sequence[[#Headers],[ID]])</f>
        <v>30</v>
      </c>
      <c r="F33" s="236" t="s">
        <v>429</v>
      </c>
      <c r="G33" s="236" t="s">
        <v>425</v>
      </c>
      <c r="H33" s="145" t="s">
        <v>497</v>
      </c>
      <c r="I33" s="145" t="s">
        <v>582</v>
      </c>
      <c r="J33" s="145" t="s">
        <v>494</v>
      </c>
      <c r="K33" s="156"/>
      <c r="L33" s="145" t="s">
        <v>160</v>
      </c>
      <c r="M33" s="157">
        <f>IF(AND(ActorType = "CylinderUnits", OR(StandardAction = "TO WORK", StandardAction = "TO HOME")), INDEX(Cylinders[Actuation Time(s)], MATCH(Actor,Cylinders[Unit Name],0)),
   IF(OR(ActorType = "CylinderUnits", ActorType = "SensorUnits"), 0, ""))</f>
        <v>0</v>
      </c>
      <c r="N33" s="157" t="str">
        <f>IFERROR(
  IF(AND(ActorType = "CylinderUnits",Actor&lt;&gt;""), INDEX(Cylinders[MotionGroup Description], MATCH(Actor,Cylinders[Unit Name],0)),
  IF(AND(ActorType = "SensorUnits",Actor&lt;&gt;""), INDEX(Sensors[Sensor Description], MATCH(Actor,Sensors[Mechanical Unit Name],0)), "")),"Error")</f>
        <v>PANEL - ROCKER LOWER INNER ASSY; RH</v>
      </c>
      <c r="O33" s="141" t="str">
        <f>IFERROR(
  IF(AND(ActorType = "CylinderUnits",Actor&lt;&gt;""), INDEX(Cylinders[Cylinder Name],MATCH(Actor,Cylinders[Unit Name],0)),
  IF(AND(ActorType =    "SensorUnits",Actor&lt;&gt;""), INDEX(Sensors[Sensor Name],  MATCH(Actor,Sensors[Mechanical Unit Name],0)),"")),"Error")</f>
        <v>=BG3-BGB1</v>
      </c>
      <c r="P33" s="141" t="str">
        <f>IFERROR(
  IF(ActorType = "CylinderUnits", INDEX(Cylinders[Valve Name], MATCH(Actor,Cylinders[Unit Name],0)), ""),"Error")</f>
        <v/>
      </c>
      <c r="Q33" s="158"/>
      <c r="R33" s="271" t="str">
        <f t="shared" ca="1" si="5"/>
        <v/>
      </c>
      <c r="S33" s="179" t="str">
        <f t="shared" ca="1" si="6"/>
        <v/>
      </c>
      <c r="T33" s="157" t="str">
        <f t="shared" ca="1" si="7"/>
        <v/>
      </c>
      <c r="U33" s="157" t="str">
        <f t="shared" si="8"/>
        <v/>
      </c>
      <c r="V33" s="234" t="str">
        <f t="shared" ca="1" si="9"/>
        <v/>
      </c>
    </row>
    <row r="34" spans="5:22" ht="17.100000000000001" customHeight="1">
      <c r="E34" s="141">
        <f>ROW() - ROW(Sequence[[#Headers],[ID]])</f>
        <v>31</v>
      </c>
      <c r="F34" s="236" t="s">
        <v>429</v>
      </c>
      <c r="G34" s="145" t="s">
        <v>425</v>
      </c>
      <c r="H34" s="145" t="s">
        <v>497</v>
      </c>
      <c r="I34" s="145" t="s">
        <v>584</v>
      </c>
      <c r="J34" s="145" t="s">
        <v>494</v>
      </c>
      <c r="K34" s="156"/>
      <c r="L34" s="145" t="s">
        <v>160</v>
      </c>
      <c r="M34" s="157">
        <f>IF(AND(ActorType = "CylinderUnits", OR(StandardAction = "TO WORK", StandardAction = "TO HOME")), INDEX(Cylinders[Actuation Time(s)], MATCH(Actor,Cylinders[Unit Name],0)),
   IF(OR(ActorType = "CylinderUnits", ActorType = "SensorUnits"), 0, ""))</f>
        <v>0</v>
      </c>
      <c r="N34" s="157" t="str">
        <f>IFERROR(
  IF(AND(ActorType = "CylinderUnits",Actor&lt;&gt;""), INDEX(Cylinders[MotionGroup Description], MATCH(Actor,Cylinders[Unit Name],0)),
  IF(AND(ActorType = "SensorUnits",Actor&lt;&gt;""), INDEX(Sensors[Sensor Description], MATCH(Actor,Sensors[Mechanical Unit Name],0)), "")),"Error")</f>
        <v>PANEL - ROCKER LOWER INNER ASSY; RH</v>
      </c>
      <c r="O34" s="141" t="str">
        <f>IFERROR(
  IF(AND(ActorType = "CylinderUnits",Actor&lt;&gt;""), INDEX(Cylinders[Cylinder Name],MATCH(Actor,Cylinders[Unit Name],0)),
  IF(AND(ActorType =    "SensorUnits",Actor&lt;&gt;""), INDEX(Sensors[Sensor Name],  MATCH(Actor,Sensors[Mechanical Unit Name],0)),"")),"Error")</f>
        <v>=BG3-BGB2</v>
      </c>
      <c r="P34" s="141" t="str">
        <f>IFERROR(
  IF(ActorType = "CylinderUnits", INDEX(Cylinders[Valve Name], MATCH(Actor,Cylinders[Unit Name],0)), ""),"Error")</f>
        <v/>
      </c>
      <c r="Q34" s="158"/>
      <c r="R34" s="271" t="str">
        <f t="shared" ca="1" si="5"/>
        <v/>
      </c>
      <c r="S34" s="179" t="str">
        <f t="shared" ca="1" si="6"/>
        <v/>
      </c>
      <c r="T34" s="157" t="str">
        <f t="shared" ca="1" si="7"/>
        <v/>
      </c>
      <c r="U34" s="157" t="str">
        <f t="shared" si="8"/>
        <v/>
      </c>
      <c r="V34" s="234" t="str">
        <f t="shared" ca="1" si="9"/>
        <v/>
      </c>
    </row>
    <row r="35" spans="5:22" ht="17.100000000000001" customHeight="1">
      <c r="E35" s="235">
        <f>ROW() - ROW(Sequence[[#Headers],[ID]])</f>
        <v>32</v>
      </c>
      <c r="F35" s="236" t="s">
        <v>429</v>
      </c>
      <c r="G35" s="145" t="s">
        <v>421</v>
      </c>
      <c r="H35" s="145"/>
      <c r="I35" s="145"/>
      <c r="J35" s="145" t="s">
        <v>498</v>
      </c>
      <c r="K35" s="156"/>
      <c r="L35" s="145"/>
      <c r="M35" s="157" t="str">
        <f>IF(AND(ActorType = "CylinderUnits", OR(StandardAction = "TO WORK", StandardAction = "TO HOME")), INDEX(Cylinders[Actuation Time(s)], MATCH(Actor,Cylinders[Unit Name],0)),
   IF(OR(ActorType = "CylinderUnits", ActorType = "SensorUnits"), 0, ""))</f>
        <v/>
      </c>
      <c r="N35" s="157" t="str">
        <f>IFERROR(
  IF(AND(ActorType = "CylinderUnits",Actor&lt;&gt;""), INDEX(Cylinders[MotionGroup Description], MATCH(Actor,Cylinders[Unit Name],0)),
  IF(AND(ActorType = "SensorUnits",Actor&lt;&gt;""), INDEX(Sensors[Sensor Description], MATCH(Actor,Sensors[Mechanical Unit Name],0)), "")),"Error")</f>
        <v/>
      </c>
      <c r="O35" s="141" t="str">
        <f>IFERROR(
  IF(AND(ActorType = "CylinderUnits",Actor&lt;&gt;""), INDEX(Cylinders[Cylinder Name],MATCH(Actor,Cylinders[Unit Name],0)),
  IF(AND(ActorType =    "SensorUnits",Actor&lt;&gt;""), INDEX(Sensors[Sensor Name],  MATCH(Actor,Sensors[Mechanical Unit Name],0)),"")),"Error")</f>
        <v/>
      </c>
      <c r="P35" s="141" t="str">
        <f>IFERROR(
  IF(ActorType = "CylinderUnits", INDEX(Cylinders[Valve Name], MATCH(Actor,Cylinders[Unit Name],0)), ""),"Error")</f>
        <v/>
      </c>
      <c r="Q35" s="158"/>
      <c r="R35" s="271" t="str">
        <f t="shared" ca="1" si="5"/>
        <v/>
      </c>
      <c r="S35" s="179" t="str">
        <f t="shared" ca="1" si="6"/>
        <v/>
      </c>
      <c r="T35" s="157" t="str">
        <f t="shared" ca="1" si="7"/>
        <v/>
      </c>
      <c r="U35" s="157" t="str">
        <f t="shared" si="8"/>
        <v/>
      </c>
      <c r="V35" s="234" t="str">
        <f t="shared" ca="1" si="9"/>
        <v/>
      </c>
    </row>
    <row r="36" spans="5:22" ht="17.100000000000001" customHeight="1">
      <c r="E36" s="141">
        <f>ROW() - ROW(Sequence[[#Headers],[ID]])</f>
        <v>33</v>
      </c>
      <c r="F36" s="236" t="s">
        <v>429</v>
      </c>
      <c r="G36" s="145" t="s">
        <v>465</v>
      </c>
      <c r="H36" s="145"/>
      <c r="I36" s="145"/>
      <c r="J36" s="145" t="s">
        <v>619</v>
      </c>
      <c r="K36" s="156"/>
      <c r="L36" s="145"/>
      <c r="M36" s="157" t="str">
        <f>IF(AND(ActorType = "CylinderUnits", OR(StandardAction = "TO WORK", StandardAction = "TO HOME")), INDEX(Cylinders[Actuation Time(s)], MATCH(Actor,Cylinders[Unit Name],0)),
   IF(OR(ActorType = "CylinderUnits", ActorType = "SensorUnits"), 0, ""))</f>
        <v/>
      </c>
      <c r="N36" s="157" t="str">
        <f>IFERROR(
  IF(AND(ActorType = "CylinderUnits",Actor&lt;&gt;""), INDEX(Cylinders[MotionGroup Description], MATCH(Actor,Cylinders[Unit Name],0)),
  IF(AND(ActorType = "SensorUnits",Actor&lt;&gt;""), INDEX(Sensors[Sensor Description], MATCH(Actor,Sensors[Mechanical Unit Name],0)), "")),"Error")</f>
        <v/>
      </c>
      <c r="O36" s="141" t="str">
        <f>IFERROR(
  IF(AND(ActorType = "CylinderUnits",Actor&lt;&gt;""), INDEX(Cylinders[Cylinder Name],MATCH(Actor,Cylinders[Unit Name],0)),
  IF(AND(ActorType =    "SensorUnits",Actor&lt;&gt;""), INDEX(Sensors[Sensor Name],  MATCH(Actor,Sensors[Mechanical Unit Name],0)),"")),"Error")</f>
        <v/>
      </c>
      <c r="P36" s="141" t="str">
        <f>IFERROR(
  IF(ActorType = "CylinderUnits", INDEX(Cylinders[Valve Name], MATCH(Actor,Cylinders[Unit Name],0)), ""),"Error")</f>
        <v/>
      </c>
      <c r="Q36" s="158"/>
      <c r="R36" s="271" t="str">
        <f t="shared" ca="1" si="5"/>
        <v/>
      </c>
      <c r="S36" s="179" t="str">
        <f t="shared" ca="1" si="6"/>
        <v/>
      </c>
      <c r="T36" s="157" t="str">
        <f t="shared" ca="1" si="7"/>
        <v/>
      </c>
      <c r="U36" s="157">
        <f t="shared" si="8"/>
        <v>0</v>
      </c>
      <c r="V36" s="234" t="str">
        <f t="shared" ca="1" si="9"/>
        <v/>
      </c>
    </row>
    <row r="37" spans="5:22">
      <c r="E37" s="235">
        <f>ROW() - ROW(Sequence[[#Headers],[ID]])</f>
        <v>34</v>
      </c>
      <c r="F37" s="236" t="s">
        <v>429</v>
      </c>
      <c r="G37" s="145" t="s">
        <v>459</v>
      </c>
      <c r="H37" s="145" t="s">
        <v>496</v>
      </c>
      <c r="I37" s="145" t="s">
        <v>534</v>
      </c>
      <c r="J37" s="145"/>
      <c r="K37" s="156"/>
      <c r="L37" s="145" t="s">
        <v>153</v>
      </c>
      <c r="M37" s="157">
        <f>IF(AND(ActorType = "CylinderUnits", OR(StandardAction = "TO WORK", StandardAction = "TO HOME")), INDEX(Cylinders[Actuation Time(s)], MATCH(Actor,Cylinders[Unit Name],0)),
   IF(OR(ActorType = "CylinderUnits", ActorType = "SensorUnits"), 0, ""))</f>
        <v>1.5</v>
      </c>
      <c r="N37" s="157" t="str">
        <f>IFERROR(
  IF(AND(ActorType = "CylinderUnits",Actor&lt;&gt;""), INDEX(Cylinders[MotionGroup Description], MATCH(Actor,Cylinders[Unit Name],0)),
  IF(AND(ActorType = "SensorUnits",Actor&lt;&gt;""), INDEX(Sensors[Sensor Description], MATCH(Actor,Sensors[Mechanical Unit Name],0)), "")),"Error")</f>
        <v>Group 4 Pins</v>
      </c>
      <c r="O37" s="141" t="str">
        <f>IFERROR(
  IF(AND(ActorType = "CylinderUnits",Actor&lt;&gt;""), INDEX(Cylinders[Cylinder Name],MATCH(Actor,Cylinders[Unit Name],0)),
  IF(AND(ActorType =    "SensorUnits",Actor&lt;&gt;""), INDEX(Sensors[Sensor Name],  MATCH(Actor,Sensors[Mechanical Unit Name],0)),"")),"Error")</f>
        <v>=MM4-MMB1</v>
      </c>
      <c r="P37" s="141" t="str">
        <f>IFERROR(
  IF(ActorType = "CylinderUnits", INDEX(Cylinders[Valve Name], MATCH(Actor,Cylinders[Unit Name],0)), ""),"Error")</f>
        <v>=KJ1-QMB4</v>
      </c>
      <c r="Q37" s="158"/>
      <c r="R37" s="271">
        <f t="shared" ref="R37:R43" ca="1" si="10">IF(LEN(Auxiliar)&gt;0,Auxiliar,
  IF(OR(RowType="Start Conditions",RowType="Start Conditions Header",RowType="Sequence Header"),"",
  OFFSET(DepID,-1,0)))</f>
        <v>34</v>
      </c>
      <c r="S37" s="179">
        <f t="shared" ref="S37:S43" ca="1" si="11">IF(OR(RowType="Fixed State", RowType="Step1", RowType="Step2",RowType="Step3", RowType="Step4", RowType="Step5"),
  IF(RowType&lt;&gt;OFFSET(RowType, -1, 0), ID, ""), "")</f>
        <v>34</v>
      </c>
      <c r="T37" s="157" t="str">
        <f t="shared" ref="T37:T43" ca="1" si="12">IFERROR(
  IF(OR(RowType="Start Conditions Header",RowType="Sequence Header"), "",
  IF(IndStart&lt;&gt;"", IndStart,
  IF(OR(AND(Auxiliar&gt;0,Auxiliar=DepID),Duration=0,Duration&lt;OFFSET(Duration,-1,0),RowType="Wait Conditions"), OFFSET(End, -1, 0),OFFSET(Start, -1, 0)))),"")</f>
        <v/>
      </c>
      <c r="U37" s="157">
        <f t="shared" ref="U37:U43" si="13">IF(OR(RowType="Start Conditions",RowType="Start Conditions Header",RowType="Sequence Header"),"",
  IF(NOT(ISBLANK(CustomDuration)),CustomDuration,IF(LEN(StandardDuration)&gt;0,StandardDuration,0)))</f>
        <v>1.5</v>
      </c>
      <c r="V37" s="234" t="str">
        <f t="shared" ref="V37:V43" ca="1" si="14">IF(RowType="Start Conditions Header","",
  IF(AND(OFFSET(Duration,-1,0)&gt;Duration,RowType=OFFSET(RowType,-1,0),RowType&lt;&gt;"Wait Conditions"),OFFSET(End,-1,0),
  IF(AND(Start&lt;&gt;"",Duration&lt;&gt;""),Start+Duration,"")))</f>
        <v/>
      </c>
    </row>
    <row r="38" spans="5:22" ht="17.100000000000001" customHeight="1">
      <c r="E38" s="235">
        <f>ROW() - ROW(Sequence[[#Headers],[ID]])</f>
        <v>35</v>
      </c>
      <c r="F38" s="236" t="s">
        <v>429</v>
      </c>
      <c r="G38" s="145" t="s">
        <v>459</v>
      </c>
      <c r="H38" s="145" t="s">
        <v>496</v>
      </c>
      <c r="I38" s="145" t="s">
        <v>547</v>
      </c>
      <c r="J38" s="145"/>
      <c r="K38" s="156"/>
      <c r="L38" s="145" t="s">
        <v>153</v>
      </c>
      <c r="M38" s="157">
        <f>IF(AND(ActorType = "CylinderUnits", OR(StandardAction = "TO WORK", StandardAction = "TO HOME")), INDEX(Cylinders[Actuation Time(s)], MATCH(Actor,Cylinders[Unit Name],0)),
   IF(OR(ActorType = "CylinderUnits", ActorType = "SensorUnits"), 0, ""))</f>
        <v>1.5</v>
      </c>
      <c r="N38" s="157" t="str">
        <f>IFERROR(
  IF(AND(ActorType = "CylinderUnits",Actor&lt;&gt;""), INDEX(Cylinders[MotionGroup Description], MATCH(Actor,Cylinders[Unit Name],0)),
  IF(AND(ActorType = "SensorUnits",Actor&lt;&gt;""), INDEX(Sensors[Sensor Description], MATCH(Actor,Sensors[Mechanical Unit Name],0)), "")),"Error")</f>
        <v>Group 4 Pins</v>
      </c>
      <c r="O38" s="141" t="str">
        <f>IFERROR(
  IF(AND(ActorType = "CylinderUnits",Actor&lt;&gt;""), INDEX(Cylinders[Cylinder Name],MATCH(Actor,Cylinders[Unit Name],0)),
  IF(AND(ActorType =    "SensorUnits",Actor&lt;&gt;""), INDEX(Sensors[Sensor Name],  MATCH(Actor,Sensors[Mechanical Unit Name],0)),"")),"Error")</f>
        <v>=MM4-MMB2</v>
      </c>
      <c r="P38" s="141" t="str">
        <f>IFERROR(
  IF(ActorType = "CylinderUnits", INDEX(Cylinders[Valve Name], MATCH(Actor,Cylinders[Unit Name],0)), ""),"Error")</f>
        <v>=KJ1-QMB4</v>
      </c>
      <c r="Q38" s="158"/>
      <c r="R38" s="271">
        <f t="shared" ca="1" si="10"/>
        <v>34</v>
      </c>
      <c r="S38" s="179" t="str">
        <f t="shared" ca="1" si="11"/>
        <v/>
      </c>
      <c r="T38" s="157" t="str">
        <f t="shared" ca="1" si="12"/>
        <v/>
      </c>
      <c r="U38" s="157">
        <f t="shared" si="13"/>
        <v>1.5</v>
      </c>
      <c r="V38" s="234" t="str">
        <f t="shared" ca="1" si="14"/>
        <v/>
      </c>
    </row>
    <row r="39" spans="5:22" ht="17.100000000000001" customHeight="1">
      <c r="E39" s="235">
        <f>ROW() - ROW(Sequence[[#Headers],[ID]])</f>
        <v>36</v>
      </c>
      <c r="F39" s="236" t="s">
        <v>429</v>
      </c>
      <c r="G39" s="145" t="s">
        <v>459</v>
      </c>
      <c r="H39" s="145" t="s">
        <v>496</v>
      </c>
      <c r="I39" s="145" t="s">
        <v>548</v>
      </c>
      <c r="J39" s="145"/>
      <c r="K39" s="156"/>
      <c r="L39" s="145" t="s">
        <v>153</v>
      </c>
      <c r="M39" s="157">
        <f>IF(AND(ActorType = "CylinderUnits", OR(StandardAction = "TO WORK", StandardAction = "TO HOME")), INDEX(Cylinders[Actuation Time(s)], MATCH(Actor,Cylinders[Unit Name],0)),
   IF(OR(ActorType = "CylinderUnits", ActorType = "SensorUnits"), 0, ""))</f>
        <v>1.5</v>
      </c>
      <c r="N39" s="157" t="str">
        <f>IFERROR(
  IF(AND(ActorType = "CylinderUnits",Actor&lt;&gt;""), INDEX(Cylinders[MotionGroup Description], MATCH(Actor,Cylinders[Unit Name],0)),
  IF(AND(ActorType = "SensorUnits",Actor&lt;&gt;""), INDEX(Sensors[Sensor Description], MATCH(Actor,Sensors[Mechanical Unit Name],0)), "")),"Error")</f>
        <v>Group 4 Pins</v>
      </c>
      <c r="O39" s="141" t="str">
        <f>IFERROR(
  IF(AND(ActorType = "CylinderUnits",Actor&lt;&gt;""), INDEX(Cylinders[Cylinder Name],MATCH(Actor,Cylinders[Unit Name],0)),
  IF(AND(ActorType =    "SensorUnits",Actor&lt;&gt;""), INDEX(Sensors[Sensor Name],  MATCH(Actor,Sensors[Mechanical Unit Name],0)),"")),"Error")</f>
        <v>=MM4-MMB3</v>
      </c>
      <c r="P39" s="141" t="str">
        <f>IFERROR(
  IF(ActorType = "CylinderUnits", INDEX(Cylinders[Valve Name], MATCH(Actor,Cylinders[Unit Name],0)), ""),"Error")</f>
        <v>=KJ1-QMB4</v>
      </c>
      <c r="Q39" s="158"/>
      <c r="R39" s="271">
        <f t="shared" ca="1" si="10"/>
        <v>34</v>
      </c>
      <c r="S39" s="179" t="str">
        <f t="shared" ca="1" si="11"/>
        <v/>
      </c>
      <c r="T39" s="157" t="str">
        <f t="shared" ca="1" si="12"/>
        <v/>
      </c>
      <c r="U39" s="157">
        <f t="shared" si="13"/>
        <v>1.5</v>
      </c>
      <c r="V39" s="234" t="str">
        <f t="shared" ca="1" si="14"/>
        <v/>
      </c>
    </row>
    <row r="40" spans="5:22">
      <c r="E40" s="235">
        <f>ROW() - ROW(Sequence[[#Headers],[ID]])</f>
        <v>37</v>
      </c>
      <c r="F40" s="236" t="s">
        <v>429</v>
      </c>
      <c r="G40" s="145" t="s">
        <v>459</v>
      </c>
      <c r="H40" s="145" t="s">
        <v>496</v>
      </c>
      <c r="I40" s="145" t="s">
        <v>572</v>
      </c>
      <c r="J40" s="145"/>
      <c r="K40" s="156"/>
      <c r="L40" s="145" t="s">
        <v>153</v>
      </c>
      <c r="M40" s="157">
        <f>IF(AND(ActorType = "CylinderUnits", OR(StandardAction = "TO WORK", StandardAction = "TO HOME")), INDEX(Cylinders[Actuation Time(s)], MATCH(Actor,Cylinders[Unit Name],0)),
   IF(OR(ActorType = "CylinderUnits", ActorType = "SensorUnits"), 0, ""))</f>
        <v>1.5</v>
      </c>
      <c r="N40" s="157" t="str">
        <f>IFERROR(
  IF(AND(ActorType = "CylinderUnits",Actor&lt;&gt;""), INDEX(Cylinders[MotionGroup Description], MATCH(Actor,Cylinders[Unit Name],0)),
  IF(AND(ActorType = "SensorUnits",Actor&lt;&gt;""), INDEX(Sensors[Sensor Description], MATCH(Actor,Sensors[Mechanical Unit Name],0)), "")),"Error")</f>
        <v>Group 4 Pins</v>
      </c>
      <c r="O40" s="141" t="str">
        <f>IFERROR(
  IF(AND(ActorType = "CylinderUnits",Actor&lt;&gt;""), INDEX(Cylinders[Cylinder Name],MATCH(Actor,Cylinders[Unit Name],0)),
  IF(AND(ActorType =    "SensorUnits",Actor&lt;&gt;""), INDEX(Sensors[Sensor Name],  MATCH(Actor,Sensors[Mechanical Unit Name],0)),"")),"Error")</f>
        <v>=MM4-MMB4</v>
      </c>
      <c r="P40" s="141" t="str">
        <f>IFERROR(
  IF(ActorType = "CylinderUnits", INDEX(Cylinders[Valve Name], MATCH(Actor,Cylinders[Unit Name],0)), ""),"Error")</f>
        <v>=KJ1-QMB4</v>
      </c>
      <c r="Q40" s="158"/>
      <c r="R40" s="271">
        <f t="shared" ca="1" si="10"/>
        <v>34</v>
      </c>
      <c r="S40" s="179" t="str">
        <f t="shared" ca="1" si="11"/>
        <v/>
      </c>
      <c r="T40" s="157" t="str">
        <f t="shared" ca="1" si="12"/>
        <v/>
      </c>
      <c r="U40" s="157">
        <f t="shared" si="13"/>
        <v>1.5</v>
      </c>
      <c r="V40" s="234" t="str">
        <f t="shared" ca="1" si="14"/>
        <v/>
      </c>
    </row>
    <row r="41" spans="5:22" ht="17.100000000000001" customHeight="1">
      <c r="E41" s="235">
        <f>ROW() - ROW(Sequence[[#Headers],[ID]])</f>
        <v>38</v>
      </c>
      <c r="F41" s="236" t="s">
        <v>429</v>
      </c>
      <c r="G41" s="145" t="s">
        <v>459</v>
      </c>
      <c r="H41" s="145" t="s">
        <v>496</v>
      </c>
      <c r="I41" s="145" t="s">
        <v>535</v>
      </c>
      <c r="J41" s="145"/>
      <c r="K41" s="156"/>
      <c r="L41" s="145" t="s">
        <v>153</v>
      </c>
      <c r="M41" s="157">
        <f>IF(AND(ActorType = "CylinderUnits", OR(StandardAction = "TO WORK", StandardAction = "TO HOME")), INDEX(Cylinders[Actuation Time(s)], MATCH(Actor,Cylinders[Unit Name],0)),
   IF(OR(ActorType = "CylinderUnits", ActorType = "SensorUnits"), 0, ""))</f>
        <v>1</v>
      </c>
      <c r="N41" s="157" t="str">
        <f>IFERROR(
  IF(AND(ActorType = "CylinderUnits",Actor&lt;&gt;""), INDEX(Cylinders[MotionGroup Description], MATCH(Actor,Cylinders[Unit Name],0)),
  IF(AND(ActorType = "SensorUnits",Actor&lt;&gt;""), INDEX(Sensors[Sensor Description], MATCH(Actor,Sensors[Mechanical Unit Name],0)), "")),"Error")</f>
        <v>Group 4 Pins</v>
      </c>
      <c r="O41" s="141" t="str">
        <f>IFERROR(
  IF(AND(ActorType = "CylinderUnits",Actor&lt;&gt;""), INDEX(Cylinders[Cylinder Name],MATCH(Actor,Cylinders[Unit Name],0)),
  IF(AND(ActorType =    "SensorUnits",Actor&lt;&gt;""), INDEX(Sensors[Sensor Name],  MATCH(Actor,Sensors[Mechanical Unit Name],0)),"")),"Error")</f>
        <v>=MM4-MMB5</v>
      </c>
      <c r="P41" s="141" t="str">
        <f>IFERROR(
  IF(ActorType = "CylinderUnits", INDEX(Cylinders[Valve Name], MATCH(Actor,Cylinders[Unit Name],0)), ""),"Error")</f>
        <v>=KJ1-QMB4</v>
      </c>
      <c r="Q41" s="158"/>
      <c r="R41" s="271">
        <f t="shared" ca="1" si="10"/>
        <v>34</v>
      </c>
      <c r="S41" s="179" t="str">
        <f t="shared" ca="1" si="11"/>
        <v/>
      </c>
      <c r="T41" s="157" t="str">
        <f t="shared" ca="1" si="12"/>
        <v/>
      </c>
      <c r="U41" s="157">
        <f t="shared" si="13"/>
        <v>1</v>
      </c>
      <c r="V41" s="234" t="str">
        <f t="shared" ca="1" si="14"/>
        <v/>
      </c>
    </row>
    <row r="42" spans="5:22" ht="17.100000000000001" customHeight="1">
      <c r="E42" s="235">
        <f>ROW() - ROW(Sequence[[#Headers],[ID]])</f>
        <v>39</v>
      </c>
      <c r="F42" s="236" t="s">
        <v>429</v>
      </c>
      <c r="G42" s="145" t="s">
        <v>459</v>
      </c>
      <c r="H42" s="145" t="s">
        <v>496</v>
      </c>
      <c r="I42" s="145" t="s">
        <v>595</v>
      </c>
      <c r="J42" s="145"/>
      <c r="K42" s="156"/>
      <c r="L42" s="145" t="s">
        <v>153</v>
      </c>
      <c r="M42" s="157">
        <f>IF(AND(ActorType = "CylinderUnits", OR(StandardAction = "TO WORK", StandardAction = "TO HOME")), INDEX(Cylinders[Actuation Time(s)], MATCH(Actor,Cylinders[Unit Name],0)),
   IF(OR(ActorType = "CylinderUnits", ActorType = "SensorUnits"), 0, ""))</f>
        <v>1</v>
      </c>
      <c r="N42" s="157" t="str">
        <f>IFERROR(
  IF(AND(ActorType = "CylinderUnits",Actor&lt;&gt;""), INDEX(Cylinders[MotionGroup Description], MATCH(Actor,Cylinders[Unit Name],0)),
  IF(AND(ActorType = "SensorUnits",Actor&lt;&gt;""), INDEX(Sensors[Sensor Description], MATCH(Actor,Sensors[Mechanical Unit Name],0)), "")),"Error")</f>
        <v>Group 4 Pins</v>
      </c>
      <c r="O42" s="141" t="str">
        <f>IFERROR(
  IF(AND(ActorType = "CylinderUnits",Actor&lt;&gt;""), INDEX(Cylinders[Cylinder Name],MATCH(Actor,Cylinders[Unit Name],0)),
  IF(AND(ActorType =    "SensorUnits",Actor&lt;&gt;""), INDEX(Sensors[Sensor Name],  MATCH(Actor,Sensors[Mechanical Unit Name],0)),"")),"Error")</f>
        <v>=MM4-MMB6</v>
      </c>
      <c r="P42" s="141" t="str">
        <f>IFERROR(
  IF(ActorType = "CylinderUnits", INDEX(Cylinders[Valve Name], MATCH(Actor,Cylinders[Unit Name],0)), ""),"Error")</f>
        <v>=KJ1-QMB4</v>
      </c>
      <c r="Q42" s="158"/>
      <c r="R42" s="271">
        <f t="shared" ca="1" si="10"/>
        <v>34</v>
      </c>
      <c r="S42" s="179" t="str">
        <f t="shared" ca="1" si="11"/>
        <v/>
      </c>
      <c r="T42" s="157" t="str">
        <f t="shared" ca="1" si="12"/>
        <v/>
      </c>
      <c r="U42" s="157">
        <f t="shared" si="13"/>
        <v>1</v>
      </c>
      <c r="V42" s="234" t="str">
        <f t="shared" ca="1" si="14"/>
        <v/>
      </c>
    </row>
    <row r="43" spans="5:22" ht="17.100000000000001" customHeight="1">
      <c r="E43" s="235">
        <f>ROW() - ROW(Sequence[[#Headers],[ID]])</f>
        <v>40</v>
      </c>
      <c r="F43" s="236" t="s">
        <v>429</v>
      </c>
      <c r="G43" s="145" t="s">
        <v>464</v>
      </c>
      <c r="H43" s="145"/>
      <c r="I43" s="145"/>
      <c r="J43" s="145" t="s">
        <v>618</v>
      </c>
      <c r="K43" s="156"/>
      <c r="L43" s="145"/>
      <c r="M43" s="157" t="str">
        <f>IF(AND(ActorType = "CylinderUnits", OR(StandardAction = "TO WORK", StandardAction = "TO HOME")), INDEX(Cylinders[Actuation Time(s)], MATCH(Actor,Cylinders[Unit Name],0)),
   IF(OR(ActorType = "CylinderUnits", ActorType = "SensorUnits"), 0, ""))</f>
        <v/>
      </c>
      <c r="N43" s="157" t="str">
        <f>IFERROR(
  IF(AND(ActorType = "CylinderUnits",Actor&lt;&gt;""), INDEX(Cylinders[MotionGroup Description], MATCH(Actor,Cylinders[Unit Name],0)),
  IF(AND(ActorType = "SensorUnits",Actor&lt;&gt;""), INDEX(Sensors[Sensor Description], MATCH(Actor,Sensors[Mechanical Unit Name],0)), "")),"Error")</f>
        <v/>
      </c>
      <c r="O43" s="141" t="str">
        <f>IFERROR(
  IF(AND(ActorType = "CylinderUnits",Actor&lt;&gt;""), INDEX(Cylinders[Cylinder Name],MATCH(Actor,Cylinders[Unit Name],0)),
  IF(AND(ActorType =    "SensorUnits",Actor&lt;&gt;""), INDEX(Sensors[Sensor Name],  MATCH(Actor,Sensors[Mechanical Unit Name],0)),"")),"Error")</f>
        <v/>
      </c>
      <c r="P43" s="141" t="str">
        <f>IFERROR(
  IF(ActorType = "CylinderUnits", INDEX(Cylinders[Valve Name], MATCH(Actor,Cylinders[Unit Name],0)), ""),"Error")</f>
        <v/>
      </c>
      <c r="Q43" s="158"/>
      <c r="R43" s="271">
        <f t="shared" ca="1" si="10"/>
        <v>40</v>
      </c>
      <c r="S43" s="179">
        <f t="shared" ca="1" si="11"/>
        <v>40</v>
      </c>
      <c r="T43" s="157" t="str">
        <f t="shared" ca="1" si="12"/>
        <v/>
      </c>
      <c r="U43" s="157">
        <f t="shared" si="13"/>
        <v>0</v>
      </c>
      <c r="V43" s="234" t="str">
        <f t="shared" ca="1" si="14"/>
        <v/>
      </c>
    </row>
    <row r="44" spans="5:22" ht="22.5">
      <c r="E44" s="235">
        <f>ROW() - ROW(Sequence[[#Headers],[ID]])</f>
        <v>41</v>
      </c>
      <c r="F44" s="236" t="s">
        <v>429</v>
      </c>
      <c r="G44" s="145" t="s">
        <v>467</v>
      </c>
      <c r="H44" s="145" t="s">
        <v>597</v>
      </c>
      <c r="I44" s="145" t="s">
        <v>157</v>
      </c>
      <c r="J44" s="333" t="s">
        <v>628</v>
      </c>
      <c r="K44" s="156">
        <v>5</v>
      </c>
      <c r="L44" s="145"/>
      <c r="M44" s="157" t="str">
        <f>IF(AND(ActorType = "CylinderUnits", OR(StandardAction = "TO WORK", StandardAction = "TO HOME")), INDEX(Cylinders[Actuation Time(s)], MATCH(Actor,Cylinders[Unit Name],0)),
   IF(OR(ActorType = "CylinderUnits", ActorType = "SensorUnits"), 0, ""))</f>
        <v/>
      </c>
      <c r="N44" s="157" t="str">
        <f>IFERROR(
  IF(AND(ActorType = "CylinderUnits",Actor&lt;&gt;""), INDEX(Cylinders[MotionGroup Description], MATCH(Actor,Cylinders[Unit Name],0)),
  IF(AND(ActorType = "SensorUnits",Actor&lt;&gt;""), INDEX(Sensors[Sensor Description], MATCH(Actor,Sensors[Mechanical Unit Name],0)), "")),"Error")</f>
        <v/>
      </c>
      <c r="O44" s="141" t="str">
        <f>IFERROR(
  IF(AND(ActorType = "CylinderUnits",Actor&lt;&gt;""), INDEX(Cylinders[Cylinder Name],MATCH(Actor,Cylinders[Unit Name],0)),
  IF(AND(ActorType =    "SensorUnits",Actor&lt;&gt;""), INDEX(Sensors[Sensor Name],  MATCH(Actor,Sensors[Mechanical Unit Name],0)),"")),"Error")</f>
        <v/>
      </c>
      <c r="P44" s="141" t="str">
        <f>IFERROR(
  IF(ActorType = "CylinderUnits", INDEX(Cylinders[Valve Name], MATCH(Actor,Cylinders[Unit Name],0)), ""),"Error")</f>
        <v/>
      </c>
      <c r="Q44" s="158"/>
      <c r="R44" s="271">
        <f t="shared" ca="1" si="5"/>
        <v>40</v>
      </c>
      <c r="S44" s="179" t="str">
        <f t="shared" ca="1" si="6"/>
        <v/>
      </c>
      <c r="T44" s="157" t="str">
        <f t="shared" ca="1" si="7"/>
        <v/>
      </c>
      <c r="U44" s="157">
        <f t="shared" si="8"/>
        <v>5</v>
      </c>
      <c r="V44" s="234" t="str">
        <f t="shared" ca="1" si="9"/>
        <v/>
      </c>
    </row>
    <row r="45" spans="5:22" ht="33.75">
      <c r="E45" s="141">
        <f>ROW() - ROW(Sequence[[#Headers],[ID]])</f>
        <v>42</v>
      </c>
      <c r="F45" s="236" t="s">
        <v>429</v>
      </c>
      <c r="G45" s="145" t="s">
        <v>467</v>
      </c>
      <c r="H45" s="145" t="s">
        <v>497</v>
      </c>
      <c r="I45" s="145" t="s">
        <v>578</v>
      </c>
      <c r="J45" s="145" t="s">
        <v>494</v>
      </c>
      <c r="K45" s="156"/>
      <c r="L45" s="145" t="s">
        <v>156</v>
      </c>
      <c r="M45" s="157">
        <f>IF(AND(ActorType = "CylinderUnits", OR(StandardAction = "TO WORK", StandardAction = "TO HOME")), INDEX(Cylinders[Actuation Time(s)], MATCH(Actor,Cylinders[Unit Name],0)),
   IF(OR(ActorType = "CylinderUnits", ActorType = "SensorUnits"), 0, ""))</f>
        <v>0</v>
      </c>
      <c r="N45" s="157" t="str">
        <f>IFERROR(
  IF(AND(ActorType = "CylinderUnits",Actor&lt;&gt;""), INDEX(Cylinders[MotionGroup Description], MATCH(Actor,Cylinders[Unit Name],0)),
  IF(AND(ActorType = "SensorUnits",Actor&lt;&gt;""), INDEX(Sensors[Sensor Description], MATCH(Actor,Sensors[Mechanical Unit Name],0)), "")),"Error")</f>
        <v>PANEL - ROCKER LOWER INNER ASSY; LH</v>
      </c>
      <c r="O45" s="141" t="str">
        <f>IFERROR(
  IF(AND(ActorType = "CylinderUnits",Actor&lt;&gt;""), INDEX(Cylinders[Cylinder Name],MATCH(Actor,Cylinders[Unit Name],0)),
  IF(AND(ActorType =    "SensorUnits",Actor&lt;&gt;""), INDEX(Sensors[Sensor Name],  MATCH(Actor,Sensors[Mechanical Unit Name],0)),"")),"Error")</f>
        <v>=BG1-BGB1</v>
      </c>
      <c r="P45" s="141" t="str">
        <f>IFERROR(
  IF(ActorType = "CylinderUnits", INDEX(Cylinders[Valve Name], MATCH(Actor,Cylinders[Unit Name],0)), ""),"Error")</f>
        <v/>
      </c>
      <c r="Q45" s="158"/>
      <c r="R45" s="271">
        <f t="shared" ca="1" si="5"/>
        <v>40</v>
      </c>
      <c r="S45" s="179" t="str">
        <f t="shared" ca="1" si="6"/>
        <v/>
      </c>
      <c r="T45" s="157" t="str">
        <f t="shared" ca="1" si="7"/>
        <v/>
      </c>
      <c r="U45" s="157">
        <f t="shared" si="8"/>
        <v>0</v>
      </c>
      <c r="V45" s="234" t="str">
        <f t="shared" ca="1" si="9"/>
        <v/>
      </c>
    </row>
    <row r="46" spans="5:22" ht="17.100000000000001" customHeight="1">
      <c r="E46" s="235">
        <f>ROW() - ROW(Sequence[[#Headers],[ID]])</f>
        <v>43</v>
      </c>
      <c r="F46" s="236" t="s">
        <v>429</v>
      </c>
      <c r="G46" s="145" t="s">
        <v>467</v>
      </c>
      <c r="H46" s="145" t="s">
        <v>497</v>
      </c>
      <c r="I46" s="145" t="s">
        <v>580</v>
      </c>
      <c r="J46" s="145" t="s">
        <v>494</v>
      </c>
      <c r="K46" s="156"/>
      <c r="L46" s="145" t="s">
        <v>156</v>
      </c>
      <c r="M46" s="157">
        <f>IF(AND(ActorType = "CylinderUnits", OR(StandardAction = "TO WORK", StandardAction = "TO HOME")), INDEX(Cylinders[Actuation Time(s)], MATCH(Actor,Cylinders[Unit Name],0)),
   IF(OR(ActorType = "CylinderUnits", ActorType = "SensorUnits"), 0, ""))</f>
        <v>0</v>
      </c>
      <c r="N46" s="157" t="str">
        <f>IFERROR(
  IF(AND(ActorType = "CylinderUnits",Actor&lt;&gt;""), INDEX(Cylinders[MotionGroup Description], MATCH(Actor,Cylinders[Unit Name],0)),
  IF(AND(ActorType = "SensorUnits",Actor&lt;&gt;""), INDEX(Sensors[Sensor Description], MATCH(Actor,Sensors[Mechanical Unit Name],0)), "")),"Error")</f>
        <v>PANEL - ROCKER LOWER INNER ASSY; LH</v>
      </c>
      <c r="O46" s="141" t="str">
        <f>IFERROR(
  IF(AND(ActorType = "CylinderUnits",Actor&lt;&gt;""), INDEX(Cylinders[Cylinder Name],MATCH(Actor,Cylinders[Unit Name],0)),
  IF(AND(ActorType =    "SensorUnits",Actor&lt;&gt;""), INDEX(Sensors[Sensor Name],  MATCH(Actor,Sensors[Mechanical Unit Name],0)),"")),"Error")</f>
        <v>=BG1-BGB2</v>
      </c>
      <c r="P46" s="141" t="str">
        <f>IFERROR(
  IF(ActorType = "CylinderUnits", INDEX(Cylinders[Valve Name], MATCH(Actor,Cylinders[Unit Name],0)), ""),"Error")</f>
        <v/>
      </c>
      <c r="Q46" s="158"/>
      <c r="R46" s="271">
        <f t="shared" ca="1" si="5"/>
        <v>40</v>
      </c>
      <c r="S46" s="179" t="str">
        <f t="shared" ca="1" si="6"/>
        <v/>
      </c>
      <c r="T46" s="157" t="str">
        <f t="shared" ca="1" si="7"/>
        <v/>
      </c>
      <c r="U46" s="157">
        <f t="shared" si="8"/>
        <v>0</v>
      </c>
      <c r="V46" s="234" t="str">
        <f t="shared" ca="1" si="9"/>
        <v/>
      </c>
    </row>
    <row r="47" spans="5:22" ht="21" customHeight="1">
      <c r="E47" s="235">
        <f>ROW() - ROW(Sequence[[#Headers],[ID]])</f>
        <v>44</v>
      </c>
      <c r="F47" s="236" t="s">
        <v>429</v>
      </c>
      <c r="G47" s="145" t="s">
        <v>467</v>
      </c>
      <c r="H47" s="145" t="s">
        <v>597</v>
      </c>
      <c r="I47" s="145" t="s">
        <v>157</v>
      </c>
      <c r="J47" s="333" t="s">
        <v>629</v>
      </c>
      <c r="K47" s="156">
        <v>5</v>
      </c>
      <c r="L47" s="145"/>
      <c r="M47" s="157" t="str">
        <f>IF(AND(ActorType = "CylinderUnits", OR(StandardAction = "TO WORK", StandardAction = "TO HOME")), INDEX(Cylinders[Actuation Time(s)], MATCH(Actor,Cylinders[Unit Name],0)),
   IF(OR(ActorType = "CylinderUnits", ActorType = "SensorUnits"), 0, ""))</f>
        <v/>
      </c>
      <c r="N47" s="157" t="str">
        <f>IFERROR(
  IF(AND(ActorType = "CylinderUnits",Actor&lt;&gt;""), INDEX(Cylinders[MotionGroup Description], MATCH(Actor,Cylinders[Unit Name],0)),
  IF(AND(ActorType = "SensorUnits",Actor&lt;&gt;""), INDEX(Sensors[Sensor Description], MATCH(Actor,Sensors[Mechanical Unit Name],0)), "")),"Error")</f>
        <v/>
      </c>
      <c r="O47" s="141" t="str">
        <f>IFERROR(
  IF(AND(ActorType = "CylinderUnits",Actor&lt;&gt;""), INDEX(Cylinders[Cylinder Name],MATCH(Actor,Cylinders[Unit Name],0)),
  IF(AND(ActorType =    "SensorUnits",Actor&lt;&gt;""), INDEX(Sensors[Sensor Name],  MATCH(Actor,Sensors[Mechanical Unit Name],0)),"")),"Error")</f>
        <v/>
      </c>
      <c r="P47" s="141" t="str">
        <f>IFERROR(
  IF(ActorType = "CylinderUnits", INDEX(Cylinders[Valve Name], MATCH(Actor,Cylinders[Unit Name],0)), ""),"Error")</f>
        <v/>
      </c>
      <c r="Q47" s="158"/>
      <c r="R47" s="271">
        <f ca="1">IF(LEN(Auxiliar)&gt;0,Auxiliar,
  IF(OR(RowType="Start Conditions",RowType="Start Conditions Header",RowType="Sequence Header"),"",
  OFFSET(DepID,-1,0)))</f>
        <v>40</v>
      </c>
      <c r="S47" s="179" t="str">
        <f ca="1">IF(OR(RowType="Fixed State", RowType="Step1", RowType="Step2",RowType="Step3", RowType="Step4", RowType="Step5"),
  IF(RowType&lt;&gt;OFFSET(RowType, -1, 0), ID, ""), "")</f>
        <v/>
      </c>
      <c r="T47" s="157" t="str">
        <f ca="1">IFERROR(
  IF(OR(RowType="Start Conditions Header",RowType="Sequence Header"), "",
  IF(IndStart&lt;&gt;"", IndStart,
  IF(OR(AND(Auxiliar&gt;0,Auxiliar=DepID),Duration=0,Duration&lt;OFFSET(Duration,-1,0),RowType="Wait Conditions"), OFFSET(End, -1, 0),OFFSET(Start, -1, 0)))),"")</f>
        <v/>
      </c>
      <c r="U47" s="157">
        <f>IF(OR(RowType="Start Conditions",RowType="Start Conditions Header",RowType="Sequence Header"),"",
  IF(NOT(ISBLANK(CustomDuration)),CustomDuration,IF(LEN(StandardDuration)&gt;0,StandardDuration,0)))</f>
        <v>5</v>
      </c>
      <c r="V47" s="234" t="str">
        <f ca="1">IF(RowType="Start Conditions Header","",
  IF(AND(OFFSET(Duration,-1,0)&gt;Duration,RowType=OFFSET(RowType,-1,0),RowType&lt;&gt;"Wait Conditions"),OFFSET(End,-1,0),
  IF(AND(Start&lt;&gt;"",Duration&lt;&gt;""),Start+Duration,"")))</f>
        <v/>
      </c>
    </row>
    <row r="48" spans="5:22" ht="17.100000000000001" customHeight="1">
      <c r="E48" s="141">
        <f>ROW() - ROW(Sequence[[#Headers],[ID]])</f>
        <v>45</v>
      </c>
      <c r="F48" s="145" t="s">
        <v>429</v>
      </c>
      <c r="G48" s="145" t="s">
        <v>467</v>
      </c>
      <c r="H48" s="145" t="s">
        <v>497</v>
      </c>
      <c r="I48" s="145" t="s">
        <v>582</v>
      </c>
      <c r="J48" s="145" t="s">
        <v>494</v>
      </c>
      <c r="K48" s="156"/>
      <c r="L48" s="145" t="s">
        <v>156</v>
      </c>
      <c r="M48" s="157">
        <f>IF(AND(ActorType = "CylinderUnits", OR(StandardAction = "TO WORK", StandardAction = "TO HOME")), INDEX(Cylinders[Actuation Time(s)], MATCH(Actor,Cylinders[Unit Name],0)),
   IF(OR(ActorType = "CylinderUnits", ActorType = "SensorUnits"), 0, ""))</f>
        <v>0</v>
      </c>
      <c r="N48" s="157" t="str">
        <f>IFERROR(
  IF(AND(ActorType = "CylinderUnits",Actor&lt;&gt;""), INDEX(Cylinders[MotionGroup Description], MATCH(Actor,Cylinders[Unit Name],0)),
  IF(AND(ActorType = "SensorUnits",Actor&lt;&gt;""), INDEX(Sensors[Sensor Description], MATCH(Actor,Sensors[Mechanical Unit Name],0)), "")),"Error")</f>
        <v>PANEL - ROCKER LOWER INNER ASSY; RH</v>
      </c>
      <c r="O48" s="141" t="str">
        <f>IFERROR(
  IF(AND(ActorType = "CylinderUnits",Actor&lt;&gt;""), INDEX(Cylinders[Cylinder Name],MATCH(Actor,Cylinders[Unit Name],0)),
  IF(AND(ActorType =    "SensorUnits",Actor&lt;&gt;""), INDEX(Sensors[Sensor Name],  MATCH(Actor,Sensors[Mechanical Unit Name],0)),"")),"Error")</f>
        <v>=BG3-BGB1</v>
      </c>
      <c r="P48" s="141" t="str">
        <f>IFERROR(
  IF(ActorType = "CylinderUnits", INDEX(Cylinders[Valve Name], MATCH(Actor,Cylinders[Unit Name],0)), ""),"Error")</f>
        <v/>
      </c>
      <c r="Q48" s="158"/>
      <c r="R48" s="271">
        <f ca="1">IF(LEN(Auxiliar)&gt;0,Auxiliar,
  IF(OR(RowType="Start Conditions",RowType="Start Conditions Header",RowType="Sequence Header"),"",
  OFFSET(DepID,-1,0)))</f>
        <v>40</v>
      </c>
      <c r="S48" s="179" t="str">
        <f ca="1">IF(OR(RowType="Fixed State", RowType="Step1", RowType="Step2",RowType="Step3", RowType="Step4", RowType="Step5"),
  IF(RowType&lt;&gt;OFFSET(RowType, -1, 0), ID, ""), "")</f>
        <v/>
      </c>
      <c r="T48" s="157" t="str">
        <f ca="1">IFERROR(
  IF(OR(RowType="Start Conditions Header",RowType="Sequence Header"), "",
  IF(IndStart&lt;&gt;"", IndStart,
  IF(OR(AND(Auxiliar&gt;0,Auxiliar=DepID),Duration=0,Duration&lt;OFFSET(Duration,-1,0),RowType="Wait Conditions"), OFFSET(End, -1, 0),OFFSET(Start, -1, 0)))),"")</f>
        <v/>
      </c>
      <c r="U48" s="157">
        <f>IF(OR(RowType="Start Conditions",RowType="Start Conditions Header",RowType="Sequence Header"),"",
  IF(NOT(ISBLANK(CustomDuration)),CustomDuration,IF(LEN(StandardDuration)&gt;0,StandardDuration,0)))</f>
        <v>0</v>
      </c>
      <c r="V48" s="234" t="str">
        <f ca="1">IF(RowType="Start Conditions Header","",
  IF(AND(OFFSET(Duration,-1,0)&gt;Duration,RowType=OFFSET(RowType,-1,0),RowType&lt;&gt;"Wait Conditions"),OFFSET(End,-1,0),
  IF(AND(Start&lt;&gt;"",Duration&lt;&gt;""),Start+Duration,"")))</f>
        <v/>
      </c>
    </row>
    <row r="49" spans="5:22" ht="17.100000000000001" customHeight="1">
      <c r="E49" s="235">
        <f>ROW() - ROW(Sequence[[#Headers],[ID]])</f>
        <v>46</v>
      </c>
      <c r="F49" s="236" t="s">
        <v>429</v>
      </c>
      <c r="G49" s="145" t="s">
        <v>467</v>
      </c>
      <c r="H49" s="145" t="s">
        <v>497</v>
      </c>
      <c r="I49" s="145" t="s">
        <v>584</v>
      </c>
      <c r="J49" s="145" t="s">
        <v>494</v>
      </c>
      <c r="K49" s="156"/>
      <c r="L49" s="145" t="s">
        <v>156</v>
      </c>
      <c r="M49" s="157">
        <f>IF(AND(ActorType = "CylinderUnits", OR(StandardAction = "TO WORK", StandardAction = "TO HOME")), INDEX(Cylinders[Actuation Time(s)], MATCH(Actor,Cylinders[Unit Name],0)),
   IF(OR(ActorType = "CylinderUnits", ActorType = "SensorUnits"), 0, ""))</f>
        <v>0</v>
      </c>
      <c r="N49" s="157" t="str">
        <f>IFERROR(
  IF(AND(ActorType = "CylinderUnits",Actor&lt;&gt;""), INDEX(Cylinders[MotionGroup Description], MATCH(Actor,Cylinders[Unit Name],0)),
  IF(AND(ActorType = "SensorUnits",Actor&lt;&gt;""), INDEX(Sensors[Sensor Description], MATCH(Actor,Sensors[Mechanical Unit Name],0)), "")),"Error")</f>
        <v>PANEL - ROCKER LOWER INNER ASSY; RH</v>
      </c>
      <c r="O49" s="141" t="str">
        <f>IFERROR(
  IF(AND(ActorType = "CylinderUnits",Actor&lt;&gt;""), INDEX(Cylinders[Cylinder Name],MATCH(Actor,Cylinders[Unit Name],0)),
  IF(AND(ActorType =    "SensorUnits",Actor&lt;&gt;""), INDEX(Sensors[Sensor Name],  MATCH(Actor,Sensors[Mechanical Unit Name],0)),"")),"Error")</f>
        <v>=BG3-BGB2</v>
      </c>
      <c r="P49" s="141" t="str">
        <f>IFERROR(
  IF(ActorType = "CylinderUnits", INDEX(Cylinders[Valve Name], MATCH(Actor,Cylinders[Unit Name],0)), ""),"Error")</f>
        <v/>
      </c>
      <c r="Q49" s="158"/>
      <c r="R49" s="271">
        <f t="shared" ca="1" si="5"/>
        <v>40</v>
      </c>
      <c r="S49" s="179" t="str">
        <f t="shared" ca="1" si="6"/>
        <v/>
      </c>
      <c r="T49" s="157" t="str">
        <f t="shared" ca="1" si="7"/>
        <v/>
      </c>
      <c r="U49" s="157">
        <f t="shared" si="8"/>
        <v>0</v>
      </c>
      <c r="V49" s="234" t="str">
        <f t="shared" ca="1" si="9"/>
        <v/>
      </c>
    </row>
    <row r="50" spans="5:22" ht="17.100000000000001" customHeight="1">
      <c r="E50" s="141">
        <f>ROW() - ROW(Sequence[[#Headers],[ID]])</f>
        <v>47</v>
      </c>
      <c r="F50" s="145" t="s">
        <v>429</v>
      </c>
      <c r="G50" s="145" t="s">
        <v>467</v>
      </c>
      <c r="H50" s="145" t="s">
        <v>172</v>
      </c>
      <c r="I50" s="145" t="s">
        <v>158</v>
      </c>
      <c r="J50" s="333" t="s">
        <v>607</v>
      </c>
      <c r="K50" s="156">
        <v>5</v>
      </c>
      <c r="L50" s="145"/>
      <c r="M50" s="157" t="str">
        <f>IF(AND(ActorType = "CylinderUnits", OR(StandardAction = "TO WORK", StandardAction = "TO HOME")), INDEX(Cylinders[Actuation Time(s)], MATCH(Actor,Cylinders[Unit Name],0)),
   IF(OR(ActorType = "CylinderUnits", ActorType = "SensorUnits"), 0, ""))</f>
        <v/>
      </c>
      <c r="N50" s="157" t="str">
        <f>IFERROR(
  IF(AND(ActorType = "CylinderUnits",Actor&lt;&gt;""), INDEX(Cylinders[MotionGroup Description], MATCH(Actor,Cylinders[Unit Name],0)),
  IF(AND(ActorType = "SensorUnits",Actor&lt;&gt;""), INDEX(Sensors[Sensor Description], MATCH(Actor,Sensors[Mechanical Unit Name],0)), "")),"Error")</f>
        <v/>
      </c>
      <c r="O50" s="141" t="str">
        <f>IFERROR(
  IF(AND(ActorType = "CylinderUnits",Actor&lt;&gt;""), INDEX(Cylinders[Cylinder Name],MATCH(Actor,Cylinders[Unit Name],0)),
  IF(AND(ActorType =    "SensorUnits",Actor&lt;&gt;""), INDEX(Sensors[Sensor Name],  MATCH(Actor,Sensors[Mechanical Unit Name],0)),"")),"Error")</f>
        <v/>
      </c>
      <c r="P50" s="141" t="str">
        <f>IFERROR(
  IF(ActorType = "CylinderUnits", INDEX(Cylinders[Valve Name], MATCH(Actor,Cylinders[Unit Name],0)), ""),"Error")</f>
        <v/>
      </c>
      <c r="Q50" s="158"/>
      <c r="R50" s="271">
        <f t="shared" ca="1" si="5"/>
        <v>40</v>
      </c>
      <c r="S50" s="179" t="str">
        <f t="shared" ca="1" si="6"/>
        <v/>
      </c>
      <c r="T50" s="157" t="str">
        <f t="shared" ca="1" si="7"/>
        <v/>
      </c>
      <c r="U50" s="157">
        <f t="shared" si="8"/>
        <v>5</v>
      </c>
      <c r="V50" s="234" t="str">
        <f t="shared" ca="1" si="9"/>
        <v/>
      </c>
    </row>
    <row r="51" spans="5:22" ht="25.15" customHeight="1">
      <c r="E51" s="235">
        <f>ROW() - ROW(Sequence[[#Headers],[ID]])</f>
        <v>48</v>
      </c>
      <c r="F51" s="236" t="s">
        <v>429</v>
      </c>
      <c r="G51" s="145" t="s">
        <v>467</v>
      </c>
      <c r="H51" s="145" t="s">
        <v>597</v>
      </c>
      <c r="I51" s="145" t="s">
        <v>157</v>
      </c>
      <c r="J51" s="333" t="s">
        <v>630</v>
      </c>
      <c r="K51" s="156">
        <v>5</v>
      </c>
      <c r="L51" s="145"/>
      <c r="M51" s="157" t="str">
        <f>IF(AND(ActorType = "CylinderUnits", OR(StandardAction = "TO WORK", StandardAction = "TO HOME")), INDEX(Cylinders[Actuation Time(s)], MATCH(Actor,Cylinders[Unit Name],0)),
   IF(OR(ActorType = "CylinderUnits", ActorType = "SensorUnits"), 0, ""))</f>
        <v/>
      </c>
      <c r="N51" s="157" t="str">
        <f>IFERROR(
  IF(AND(ActorType = "CylinderUnits",Actor&lt;&gt;""), INDEX(Cylinders[MotionGroup Description], MATCH(Actor,Cylinders[Unit Name],0)),
  IF(AND(ActorType = "SensorUnits",Actor&lt;&gt;""), INDEX(Sensors[Sensor Description], MATCH(Actor,Sensors[Mechanical Unit Name],0)), "")),"Error")</f>
        <v/>
      </c>
      <c r="O51" s="141" t="str">
        <f>IFERROR(
  IF(AND(ActorType = "CylinderUnits",Actor&lt;&gt;""), INDEX(Cylinders[Cylinder Name],MATCH(Actor,Cylinders[Unit Name],0)),
  IF(AND(ActorType =    "SensorUnits",Actor&lt;&gt;""), INDEX(Sensors[Sensor Name],  MATCH(Actor,Sensors[Mechanical Unit Name],0)),"")),"Error")</f>
        <v/>
      </c>
      <c r="P51" s="141" t="str">
        <f>IFERROR(
  IF(ActorType = "CylinderUnits", INDEX(Cylinders[Valve Name], MATCH(Actor,Cylinders[Unit Name],0)), ""),"Error")</f>
        <v/>
      </c>
      <c r="Q51" s="158"/>
      <c r="R51" s="271">
        <f ca="1">IF(LEN(Auxiliar)&gt;0,Auxiliar,
  IF(OR(RowType="Start Conditions",RowType="Start Conditions Header",RowType="Sequence Header"),"",
  OFFSET(DepID,-1,0)))</f>
        <v>40</v>
      </c>
      <c r="S51" s="179" t="str">
        <f ca="1">IF(OR(RowType="Fixed State", RowType="Step1", RowType="Step2",RowType="Step3", RowType="Step4", RowType="Step5"),
  IF(RowType&lt;&gt;OFFSET(RowType, -1, 0), ID, ""), "")</f>
        <v/>
      </c>
      <c r="T51" s="157" t="str">
        <f ca="1">IFERROR(
  IF(OR(RowType="Start Conditions Header",RowType="Sequence Header"), "",
  IF(IndStart&lt;&gt;"", IndStart,
  IF(OR(AND(Auxiliar&gt;0,Auxiliar=DepID),Duration=0,Duration&lt;OFFSET(Duration,-1,0),RowType="Wait Conditions"), OFFSET(End, -1, 0),OFFSET(Start, -1, 0)))),"")</f>
        <v/>
      </c>
      <c r="U51" s="157">
        <f>IF(OR(RowType="Start Conditions",RowType="Start Conditions Header",RowType="Sequence Header"),"",
  IF(NOT(ISBLANK(CustomDuration)),CustomDuration,IF(LEN(StandardDuration)&gt;0,StandardDuration,0)))</f>
        <v>5</v>
      </c>
      <c r="V51" s="234" t="str">
        <f ca="1">IF(RowType="Start Conditions Header","",
  IF(AND(OFFSET(Duration,-1,0)&gt;Duration,RowType=OFFSET(RowType,-1,0),RowType&lt;&gt;"Wait Conditions"),OFFSET(End,-1,0),
  IF(AND(Start&lt;&gt;"",Duration&lt;&gt;""),Start+Duration,"")))</f>
        <v/>
      </c>
    </row>
    <row r="52" spans="5:22" ht="17.100000000000001" customHeight="1">
      <c r="E52" s="235">
        <f>ROW() - ROW(Sequence[[#Headers],[ID]])</f>
        <v>49</v>
      </c>
      <c r="F52" s="236" t="s">
        <v>429</v>
      </c>
      <c r="G52" s="145" t="s">
        <v>467</v>
      </c>
      <c r="H52" s="145" t="s">
        <v>497</v>
      </c>
      <c r="I52" s="145" t="s">
        <v>599</v>
      </c>
      <c r="J52" s="145" t="s">
        <v>494</v>
      </c>
      <c r="K52" s="156"/>
      <c r="L52" s="145" t="s">
        <v>156</v>
      </c>
      <c r="M52" s="157">
        <f>IF(AND(ActorType = "CylinderUnits", OR(StandardAction = "TO WORK", StandardAction = "TO HOME")), INDEX(Cylinders[Actuation Time(s)], MATCH(Actor,Cylinders[Unit Name],0)),
   IF(OR(ActorType = "CylinderUnits", ActorType = "SensorUnits"), 0, ""))</f>
        <v>0</v>
      </c>
      <c r="N52" s="157" t="str">
        <f>IFERROR(
  IF(AND(ActorType = "CylinderUnits",Actor&lt;&gt;""), INDEX(Cylinders[MotionGroup Description], MATCH(Actor,Cylinders[Unit Name],0)),
  IF(AND(ActorType = "SensorUnits",Actor&lt;&gt;""), INDEX(Sensors[Sensor Description], MATCH(Actor,Sensors[Mechanical Unit Name],0)), "")),"Error")</f>
        <v>PANEL - FFLR</v>
      </c>
      <c r="O52" s="141" t="str">
        <f>IFERROR(
  IF(AND(ActorType = "CylinderUnits",Actor&lt;&gt;""), INDEX(Cylinders[Cylinder Name],MATCH(Actor,Cylinders[Unit Name],0)),
  IF(AND(ActorType =    "SensorUnits",Actor&lt;&gt;""), INDEX(Sensors[Sensor Name],  MATCH(Actor,Sensors[Mechanical Unit Name],0)),"")),"Error")</f>
        <v>=BG2-BGB1</v>
      </c>
      <c r="P52" s="141" t="str">
        <f>IFERROR(
  IF(ActorType = "CylinderUnits", INDEX(Cylinders[Valve Name], MATCH(Actor,Cylinders[Unit Name],0)), ""),"Error")</f>
        <v/>
      </c>
      <c r="Q52" s="158"/>
      <c r="R52" s="271">
        <f ca="1">IF(LEN(Auxiliar)&gt;0,Auxiliar,
  IF(OR(RowType="Start Conditions",RowType="Start Conditions Header",RowType="Sequence Header"),"",
  OFFSET(DepID,-1,0)))</f>
        <v>40</v>
      </c>
      <c r="S52" s="179" t="str">
        <f ca="1">IF(OR(RowType="Fixed State", RowType="Step1", RowType="Step2",RowType="Step3", RowType="Step4", RowType="Step5"),
  IF(RowType&lt;&gt;OFFSET(RowType, -1, 0), ID, ""), "")</f>
        <v/>
      </c>
      <c r="T52" s="157" t="str">
        <f ca="1">IFERROR(
  IF(OR(RowType="Start Conditions Header",RowType="Sequence Header"), "",
  IF(IndStart&lt;&gt;"", IndStart,
  IF(OR(AND(Auxiliar&gt;0,Auxiliar=DepID),Duration=0,Duration&lt;OFFSET(Duration,-1,0),RowType="Wait Conditions"), OFFSET(End, -1, 0),OFFSET(Start, -1, 0)))),"")</f>
        <v/>
      </c>
      <c r="U52" s="157">
        <f>IF(OR(RowType="Start Conditions",RowType="Start Conditions Header",RowType="Sequence Header"),"",
  IF(NOT(ISBLANK(CustomDuration)),CustomDuration,IF(LEN(StandardDuration)&gt;0,StandardDuration,0)))</f>
        <v>0</v>
      </c>
      <c r="V52" s="234" t="str">
        <f ca="1">IF(RowType="Start Conditions Header","",
  IF(AND(OFFSET(Duration,-1,0)&gt;Duration,RowType=OFFSET(RowType,-1,0),RowType&lt;&gt;"Wait Conditions"),OFFSET(End,-1,0),
  IF(AND(Start&lt;&gt;"",Duration&lt;&gt;""),Start+Duration,"")))</f>
        <v/>
      </c>
    </row>
    <row r="53" spans="5:22" ht="17.100000000000001" customHeight="1">
      <c r="E53" s="141">
        <f>ROW() - ROW(Sequence[[#Headers],[ID]])</f>
        <v>50</v>
      </c>
      <c r="F53" s="236" t="s">
        <v>429</v>
      </c>
      <c r="G53" s="145" t="s">
        <v>467</v>
      </c>
      <c r="H53" s="145" t="s">
        <v>497</v>
      </c>
      <c r="I53" s="145" t="s">
        <v>601</v>
      </c>
      <c r="J53" s="333" t="s">
        <v>494</v>
      </c>
      <c r="K53" s="156"/>
      <c r="L53" s="145" t="s">
        <v>156</v>
      </c>
      <c r="M53" s="157">
        <f>IF(AND(ActorType = "CylinderUnits", OR(StandardAction = "TO WORK", StandardAction = "TO HOME")), INDEX(Cylinders[Actuation Time(s)], MATCH(Actor,Cylinders[Unit Name],0)),
   IF(OR(ActorType = "CylinderUnits", ActorType = "SensorUnits"), 0, ""))</f>
        <v>0</v>
      </c>
      <c r="N53" s="157" t="str">
        <f>IFERROR(
  IF(AND(ActorType = "CylinderUnits",Actor&lt;&gt;""), INDEX(Cylinders[MotionGroup Description], MATCH(Actor,Cylinders[Unit Name],0)),
  IF(AND(ActorType = "SensorUnits",Actor&lt;&gt;""), INDEX(Sensors[Sensor Description], MATCH(Actor,Sensors[Mechanical Unit Name],0)), "")),"Error")</f>
        <v>PANEL - FFLR</v>
      </c>
      <c r="O53" s="141" t="str">
        <f>IFERROR(
  IF(AND(ActorType = "CylinderUnits",Actor&lt;&gt;""), INDEX(Cylinders[Cylinder Name],MATCH(Actor,Cylinders[Unit Name],0)),
  IF(AND(ActorType =    "SensorUnits",Actor&lt;&gt;""), INDEX(Sensors[Sensor Name],  MATCH(Actor,Sensors[Mechanical Unit Name],0)),"")),"Error")</f>
        <v>=BG2-BGB2</v>
      </c>
      <c r="P53" s="141" t="str">
        <f>IFERROR(
  IF(ActorType = "CylinderUnits", INDEX(Cylinders[Valve Name], MATCH(Actor,Cylinders[Unit Name],0)), ""),"Error")</f>
        <v/>
      </c>
      <c r="Q53" s="158"/>
      <c r="R53" s="271">
        <f t="shared" ca="1" si="5"/>
        <v>40</v>
      </c>
      <c r="S53" s="179" t="str">
        <f t="shared" ca="1" si="6"/>
        <v/>
      </c>
      <c r="T53" s="157" t="str">
        <f t="shared" ca="1" si="7"/>
        <v/>
      </c>
      <c r="U53" s="157">
        <f t="shared" si="8"/>
        <v>0</v>
      </c>
      <c r="V53" s="234" t="str">
        <f t="shared" ca="1" si="9"/>
        <v/>
      </c>
    </row>
    <row r="54" spans="5:22" ht="17.100000000000001" customHeight="1">
      <c r="E54" s="235">
        <f>ROW() - ROW(Sequence[[#Headers],[ID]])</f>
        <v>51</v>
      </c>
      <c r="F54" s="145" t="s">
        <v>429</v>
      </c>
      <c r="G54" s="145" t="s">
        <v>467</v>
      </c>
      <c r="H54" s="145" t="s">
        <v>172</v>
      </c>
      <c r="I54" s="145" t="s">
        <v>158</v>
      </c>
      <c r="J54" s="333" t="s">
        <v>606</v>
      </c>
      <c r="K54" s="156">
        <v>5</v>
      </c>
      <c r="L54" s="145"/>
      <c r="M54" s="157" t="str">
        <f>IF(AND(ActorType = "CylinderUnits", OR(StandardAction = "TO WORK", StandardAction = "TO HOME")), INDEX(Cylinders[Actuation Time(s)], MATCH(Actor,Cylinders[Unit Name],0)),
   IF(OR(ActorType = "CylinderUnits", ActorType = "SensorUnits"), 0, ""))</f>
        <v/>
      </c>
      <c r="N54" s="157" t="str">
        <f>IFERROR(
  IF(AND(ActorType = "CylinderUnits",Actor&lt;&gt;""), INDEX(Cylinders[MotionGroup Description], MATCH(Actor,Cylinders[Unit Name],0)),
  IF(AND(ActorType = "SensorUnits",Actor&lt;&gt;""), INDEX(Sensors[Sensor Description], MATCH(Actor,Sensors[Mechanical Unit Name],0)), "")),"Error")</f>
        <v/>
      </c>
      <c r="O54" s="141" t="str">
        <f>IFERROR(
  IF(AND(ActorType = "CylinderUnits",Actor&lt;&gt;""), INDEX(Cylinders[Cylinder Name],MATCH(Actor,Cylinders[Unit Name],0)),
  IF(AND(ActorType =    "SensorUnits",Actor&lt;&gt;""), INDEX(Sensors[Sensor Name],  MATCH(Actor,Sensors[Mechanical Unit Name],0)),"")),"Error")</f>
        <v/>
      </c>
      <c r="P54" s="141" t="str">
        <f>IFERROR(
  IF(ActorType = "CylinderUnits", INDEX(Cylinders[Valve Name], MATCH(Actor,Cylinders[Unit Name],0)), ""),"Error")</f>
        <v/>
      </c>
      <c r="Q54" s="158"/>
      <c r="R54" s="271">
        <f t="shared" ca="1" si="5"/>
        <v>40</v>
      </c>
      <c r="S54" s="179" t="str">
        <f t="shared" ca="1" si="6"/>
        <v/>
      </c>
      <c r="T54" s="157" t="str">
        <f t="shared" ca="1" si="7"/>
        <v/>
      </c>
      <c r="U54" s="157">
        <f t="shared" si="8"/>
        <v>5</v>
      </c>
      <c r="V54" s="234" t="str">
        <f t="shared" ca="1" si="9"/>
        <v/>
      </c>
    </row>
    <row r="55" spans="5:22" ht="17.100000000000001" customHeight="1">
      <c r="E55" s="141">
        <f>ROW() - ROW(Sequence[[#Headers],[ID]])</f>
        <v>52</v>
      </c>
      <c r="F55" s="145" t="s">
        <v>429</v>
      </c>
      <c r="G55" s="145" t="s">
        <v>465</v>
      </c>
      <c r="H55" s="145"/>
      <c r="I55" s="145"/>
      <c r="J55" s="145" t="s">
        <v>621</v>
      </c>
      <c r="K55" s="156"/>
      <c r="L55" s="145"/>
      <c r="M55" s="157" t="str">
        <f>IF(AND(ActorType = "CylinderUnits", OR(StandardAction = "TO WORK", StandardAction = "TO HOME")), INDEX(Cylinders[Actuation Time(s)], MATCH(Actor,Cylinders[Unit Name],0)),
   IF(OR(ActorType = "CylinderUnits", ActorType = "SensorUnits"), 0, ""))</f>
        <v/>
      </c>
      <c r="N55" s="157" t="str">
        <f>IFERROR(
  IF(AND(ActorType = "CylinderUnits",Actor&lt;&gt;""), INDEX(Cylinders[MotionGroup Description], MATCH(Actor,Cylinders[Unit Name],0)),
  IF(AND(ActorType = "SensorUnits",Actor&lt;&gt;""), INDEX(Sensors[Sensor Description], MATCH(Actor,Sensors[Mechanical Unit Name],0)), "")),"Error")</f>
        <v/>
      </c>
      <c r="O55" s="141" t="str">
        <f>IFERROR(
  IF(AND(ActorType = "CylinderUnits",Actor&lt;&gt;""), INDEX(Cylinders[Cylinder Name],MATCH(Actor,Cylinders[Unit Name],0)),
  IF(AND(ActorType =    "SensorUnits",Actor&lt;&gt;""), INDEX(Sensors[Sensor Name],  MATCH(Actor,Sensors[Mechanical Unit Name],0)),"")),"Error")</f>
        <v/>
      </c>
      <c r="P55" s="141" t="str">
        <f>IFERROR(
  IF(ActorType = "CylinderUnits", INDEX(Cylinders[Valve Name], MATCH(Actor,Cylinders[Unit Name],0)), ""),"Error")</f>
        <v/>
      </c>
      <c r="Q55" s="158"/>
      <c r="R55" s="271">
        <f t="shared" ca="1" si="5"/>
        <v>40</v>
      </c>
      <c r="S55" s="179" t="str">
        <f t="shared" ca="1" si="6"/>
        <v/>
      </c>
      <c r="T55" s="157" t="str">
        <f t="shared" ca="1" si="7"/>
        <v/>
      </c>
      <c r="U55" s="157">
        <f t="shared" si="8"/>
        <v>0</v>
      </c>
      <c r="V55" s="234" t="str">
        <f t="shared" ca="1" si="9"/>
        <v/>
      </c>
    </row>
    <row r="56" spans="5:22" ht="17.100000000000001" customHeight="1">
      <c r="E56" s="235">
        <f>ROW() - ROW(Sequence[[#Headers],[ID]])</f>
        <v>53</v>
      </c>
      <c r="F56" s="145" t="s">
        <v>429</v>
      </c>
      <c r="G56" s="145" t="s">
        <v>459</v>
      </c>
      <c r="H56" s="145" t="s">
        <v>496</v>
      </c>
      <c r="I56" s="236" t="s">
        <v>522</v>
      </c>
      <c r="J56" s="145"/>
      <c r="K56" s="156"/>
      <c r="L56" s="145" t="s">
        <v>153</v>
      </c>
      <c r="M56" s="157">
        <f>IF(AND(ActorType = "CylinderUnits", OR(StandardAction = "TO WORK", StandardAction = "TO HOME")), INDEX(Cylinders[Actuation Time(s)], MATCH(Actor,Cylinders[Unit Name],0)),
   IF(OR(ActorType = "CylinderUnits", ActorType = "SensorUnits"), 0, ""))</f>
        <v>1</v>
      </c>
      <c r="N56" s="157" t="str">
        <f>IFERROR(
  IF(AND(ActorType = "CylinderUnits",Actor&lt;&gt;""), INDEX(Cylinders[MotionGroup Description], MATCH(Actor,Cylinders[Unit Name],0)),
  IF(AND(ActorType = "SensorUnits",Actor&lt;&gt;""), INDEX(Sensors[Sensor Description], MATCH(Actor,Sensors[Mechanical Unit Name],0)), "")),"Error")</f>
        <v>Group 1 Clamps</v>
      </c>
      <c r="O56" s="141" t="str">
        <f>IFERROR(
  IF(AND(ActorType = "CylinderUnits",Actor&lt;&gt;""), INDEX(Cylinders[Cylinder Name],MATCH(Actor,Cylinders[Unit Name],0)),
  IF(AND(ActorType =    "SensorUnits",Actor&lt;&gt;""), INDEX(Sensors[Sensor Name],  MATCH(Actor,Sensors[Mechanical Unit Name],0)),"")),"Error")</f>
        <v>=MM1-MMB1</v>
      </c>
      <c r="P56" s="141" t="str">
        <f>IFERROR(
  IF(ActorType = "CylinderUnits", INDEX(Cylinders[Valve Name], MATCH(Actor,Cylinders[Unit Name],0)), ""),"Error")</f>
        <v>=KJ1-QMB1</v>
      </c>
      <c r="Q56" s="158"/>
      <c r="R56" s="271">
        <f ca="1">IF(LEN(Auxiliar)&gt;0,Auxiliar,
  IF(OR(RowType="Start Conditions",RowType="Start Conditions Header",RowType="Sequence Header"),"",
  OFFSET(DepID,-1,0)))</f>
        <v>53</v>
      </c>
      <c r="S56" s="179">
        <f ca="1">IF(OR(RowType="Fixed State", RowType="Step1", RowType="Step2",RowType="Step3", RowType="Step4", RowType="Step5"),
  IF(RowType&lt;&gt;OFFSET(RowType, -1, 0), ID, ""), "")</f>
        <v>53</v>
      </c>
      <c r="T56" s="157" t="str">
        <f ca="1">IFERROR(
  IF(OR(RowType="Start Conditions Header",RowType="Sequence Header"), "",
  IF(IndStart&lt;&gt;"", IndStart,
  IF(OR(AND(Auxiliar&gt;0,Auxiliar=DepID),Duration=0,Duration&lt;OFFSET(Duration,-1,0),RowType="Wait Conditions"), OFFSET(End, -1, 0),OFFSET(Start, -1, 0)))),"")</f>
        <v/>
      </c>
      <c r="U56" s="157">
        <f>IF(OR(RowType="Start Conditions",RowType="Start Conditions Header",RowType="Sequence Header"),"",
  IF(NOT(ISBLANK(CustomDuration)),CustomDuration,IF(LEN(StandardDuration)&gt;0,StandardDuration,0)))</f>
        <v>1</v>
      </c>
      <c r="V56" s="234" t="str">
        <f ca="1">IF(RowType="Start Conditions Header","",
  IF(AND(OFFSET(Duration,-1,0)&gt;Duration,RowType=OFFSET(RowType,-1,0),RowType&lt;&gt;"Wait Conditions"),OFFSET(End,-1,0),
  IF(AND(Start&lt;&gt;"",Duration&lt;&gt;""),Start+Duration,"")))</f>
        <v/>
      </c>
    </row>
    <row r="57" spans="5:22" ht="17.100000000000001" customHeight="1">
      <c r="E57" s="235">
        <f>ROW() - ROW(Sequence[[#Headers],[ID]])</f>
        <v>54</v>
      </c>
      <c r="F57" s="145" t="s">
        <v>429</v>
      </c>
      <c r="G57" s="145" t="s">
        <v>459</v>
      </c>
      <c r="H57" s="145" t="s">
        <v>496</v>
      </c>
      <c r="I57" s="236" t="s">
        <v>523</v>
      </c>
      <c r="J57" s="145"/>
      <c r="K57" s="156"/>
      <c r="L57" s="145" t="s">
        <v>153</v>
      </c>
      <c r="M57" s="157">
        <f>IF(AND(ActorType = "CylinderUnits", OR(StandardAction = "TO WORK", StandardAction = "TO HOME")), INDEX(Cylinders[Actuation Time(s)], MATCH(Actor,Cylinders[Unit Name],0)),
   IF(OR(ActorType = "CylinderUnits", ActorType = "SensorUnits"), 0, ""))</f>
        <v>1</v>
      </c>
      <c r="N57" s="157" t="str">
        <f>IFERROR(
  IF(AND(ActorType = "CylinderUnits",Actor&lt;&gt;""), INDEX(Cylinders[MotionGroup Description], MATCH(Actor,Cylinders[Unit Name],0)),
  IF(AND(ActorType = "SensorUnits",Actor&lt;&gt;""), INDEX(Sensors[Sensor Description], MATCH(Actor,Sensors[Mechanical Unit Name],0)), "")),"Error")</f>
        <v>Group 1 Clamps</v>
      </c>
      <c r="O57" s="141" t="str">
        <f>IFERROR(
  IF(AND(ActorType = "CylinderUnits",Actor&lt;&gt;""), INDEX(Cylinders[Cylinder Name],MATCH(Actor,Cylinders[Unit Name],0)),
  IF(AND(ActorType =    "SensorUnits",Actor&lt;&gt;""), INDEX(Sensors[Sensor Name],  MATCH(Actor,Sensors[Mechanical Unit Name],0)),"")),"Error")</f>
        <v>=MM1-MMB2</v>
      </c>
      <c r="P57" s="141" t="str">
        <f>IFERROR(
  IF(ActorType = "CylinderUnits", INDEX(Cylinders[Valve Name], MATCH(Actor,Cylinders[Unit Name],0)), ""),"Error")</f>
        <v>=KJ1-QMB1</v>
      </c>
      <c r="Q57" s="158"/>
      <c r="R57" s="271">
        <f ca="1">IF(LEN(Auxiliar)&gt;0,Auxiliar,
  IF(OR(RowType="Start Conditions",RowType="Start Conditions Header",RowType="Sequence Header"),"",
  OFFSET(DepID,-1,0)))</f>
        <v>53</v>
      </c>
      <c r="S57" s="179" t="str">
        <f ca="1">IF(OR(RowType="Fixed State", RowType="Step1", RowType="Step2",RowType="Step3", RowType="Step4", RowType="Step5"),
  IF(RowType&lt;&gt;OFFSET(RowType, -1, 0), ID, ""), "")</f>
        <v/>
      </c>
      <c r="T57" s="157" t="str">
        <f ca="1">IFERROR(
  IF(OR(RowType="Start Conditions Header",RowType="Sequence Header"), "",
  IF(IndStart&lt;&gt;"", IndStart,
  IF(OR(AND(Auxiliar&gt;0,Auxiliar=DepID),Duration=0,Duration&lt;OFFSET(Duration,-1,0),RowType="Wait Conditions"), OFFSET(End, -1, 0),OFFSET(Start, -1, 0)))),"")</f>
        <v/>
      </c>
      <c r="U57" s="157">
        <f>IF(OR(RowType="Start Conditions",RowType="Start Conditions Header",RowType="Sequence Header"),"",
  IF(NOT(ISBLANK(CustomDuration)),CustomDuration,IF(LEN(StandardDuration)&gt;0,StandardDuration,0)))</f>
        <v>1</v>
      </c>
      <c r="V57" s="234" t="str">
        <f ca="1">IF(RowType="Start Conditions Header","",
  IF(AND(OFFSET(Duration,-1,0)&gt;Duration,RowType=OFFSET(RowType,-1,0),RowType&lt;&gt;"Wait Conditions"),OFFSET(End,-1,0),
  IF(AND(Start&lt;&gt;"",Duration&lt;&gt;""),Start+Duration,"")))</f>
        <v/>
      </c>
    </row>
    <row r="58" spans="5:22" ht="17.100000000000001" customHeight="1">
      <c r="E58" s="141">
        <f>ROW() - ROW(Sequence[[#Headers],[ID]])</f>
        <v>55</v>
      </c>
      <c r="F58" s="145" t="s">
        <v>429</v>
      </c>
      <c r="G58" s="145" t="s">
        <v>459</v>
      </c>
      <c r="H58" s="145" t="s">
        <v>496</v>
      </c>
      <c r="I58" s="236" t="s">
        <v>524</v>
      </c>
      <c r="J58" s="145"/>
      <c r="K58" s="156"/>
      <c r="L58" s="145" t="s">
        <v>153</v>
      </c>
      <c r="M58" s="157">
        <f>IF(AND(ActorType = "CylinderUnits", OR(StandardAction = "TO WORK", StandardAction = "TO HOME")), INDEX(Cylinders[Actuation Time(s)], MATCH(Actor,Cylinders[Unit Name],0)),
   IF(OR(ActorType = "CylinderUnits", ActorType = "SensorUnits"), 0, ""))</f>
        <v>1.5</v>
      </c>
      <c r="N58" s="157" t="str">
        <f>IFERROR(
  IF(AND(ActorType = "CylinderUnits",Actor&lt;&gt;""), INDEX(Cylinders[MotionGroup Description], MATCH(Actor,Cylinders[Unit Name],0)),
  IF(AND(ActorType = "SensorUnits",Actor&lt;&gt;""), INDEX(Sensors[Sensor Description], MATCH(Actor,Sensors[Mechanical Unit Name],0)), "")),"Error")</f>
        <v>Group 1 Clamps</v>
      </c>
      <c r="O58" s="141" t="str">
        <f>IFERROR(
  IF(AND(ActorType = "CylinderUnits",Actor&lt;&gt;""), INDEX(Cylinders[Cylinder Name],MATCH(Actor,Cylinders[Unit Name],0)),
  IF(AND(ActorType =    "SensorUnits",Actor&lt;&gt;""), INDEX(Sensors[Sensor Name],  MATCH(Actor,Sensors[Mechanical Unit Name],0)),"")),"Error")</f>
        <v>=MM1-MMB3</v>
      </c>
      <c r="P58" s="141" t="str">
        <f>IFERROR(
  IF(ActorType = "CylinderUnits", INDEX(Cylinders[Valve Name], MATCH(Actor,Cylinders[Unit Name],0)), ""),"Error")</f>
        <v>=KJ1-QMB1</v>
      </c>
      <c r="Q58" s="158"/>
      <c r="R58" s="271">
        <f t="shared" ca="1" si="5"/>
        <v>53</v>
      </c>
      <c r="S58" s="179" t="str">
        <f t="shared" ca="1" si="6"/>
        <v/>
      </c>
      <c r="T58" s="157" t="str">
        <f t="shared" ca="1" si="7"/>
        <v/>
      </c>
      <c r="U58" s="157">
        <f t="shared" si="8"/>
        <v>1.5</v>
      </c>
      <c r="V58" s="234" t="str">
        <f t="shared" ca="1" si="9"/>
        <v/>
      </c>
    </row>
    <row r="59" spans="5:22" ht="17.100000000000001" customHeight="1">
      <c r="E59" s="235">
        <f>ROW() - ROW(Sequence[[#Headers],[ID]])</f>
        <v>56</v>
      </c>
      <c r="F59" s="145" t="s">
        <v>429</v>
      </c>
      <c r="G59" s="145" t="s">
        <v>459</v>
      </c>
      <c r="H59" s="145" t="s">
        <v>496</v>
      </c>
      <c r="I59" s="145" t="s">
        <v>519</v>
      </c>
      <c r="J59" s="145"/>
      <c r="K59" s="156"/>
      <c r="L59" s="145" t="s">
        <v>153</v>
      </c>
      <c r="M59" s="238">
        <f>IF(AND(ActorType = "CylinderUnits", OR(StandardAction = "TO WORK", StandardAction = "TO HOME")), INDEX(Cylinders[Actuation Time(s)], MATCH(Actor,Cylinders[Unit Name],0)),
   IF(OR(ActorType = "CylinderUnits", ActorType = "SensorUnits"), 0, ""))</f>
        <v>1.5</v>
      </c>
      <c r="N59" s="238" t="str">
        <f>IFERROR(
  IF(AND(ActorType = "CylinderUnits",Actor&lt;&gt;""), INDEX(Cylinders[MotionGroup Description], MATCH(Actor,Cylinders[Unit Name],0)),
  IF(AND(ActorType = "SensorUnits",Actor&lt;&gt;""), INDEX(Sensors[Sensor Description], MATCH(Actor,Sensors[Mechanical Unit Name],0)), "")),"Error")</f>
        <v>Group 1 Clamps</v>
      </c>
      <c r="O59" s="235" t="str">
        <f>IFERROR(
  IF(AND(ActorType = "CylinderUnits",Actor&lt;&gt;""), INDEX(Cylinders[Cylinder Name],MATCH(Actor,Cylinders[Unit Name],0)),
  IF(AND(ActorType =    "SensorUnits",Actor&lt;&gt;""), INDEX(Sensors[Sensor Name],  MATCH(Actor,Sensors[Mechanical Unit Name],0)),"")),"Error")</f>
        <v>=MM1-MMB4</v>
      </c>
      <c r="P59" s="235" t="str">
        <f>IFERROR(
  IF(ActorType = "CylinderUnits", INDEX(Cylinders[Valve Name], MATCH(Actor,Cylinders[Unit Name],0)), ""),"Error")</f>
        <v>=KJ1-QMB1</v>
      </c>
      <c r="Q59" s="239"/>
      <c r="R59" s="270">
        <f t="shared" ca="1" si="5"/>
        <v>53</v>
      </c>
      <c r="S59" s="240" t="str">
        <f t="shared" ca="1" si="6"/>
        <v/>
      </c>
      <c r="T59" s="238" t="str">
        <f t="shared" ca="1" si="7"/>
        <v/>
      </c>
      <c r="U59" s="238">
        <f t="shared" si="8"/>
        <v>1.5</v>
      </c>
      <c r="V59" s="241" t="str">
        <f t="shared" ca="1" si="9"/>
        <v/>
      </c>
    </row>
    <row r="60" spans="5:22" ht="17.100000000000001" customHeight="1">
      <c r="E60" s="235">
        <f>ROW() - ROW(Sequence[[#Headers],[ID]])</f>
        <v>57</v>
      </c>
      <c r="F60" s="145" t="s">
        <v>429</v>
      </c>
      <c r="G60" s="145" t="s">
        <v>459</v>
      </c>
      <c r="H60" s="145" t="s">
        <v>496</v>
      </c>
      <c r="I60" s="145" t="s">
        <v>525</v>
      </c>
      <c r="J60" s="333"/>
      <c r="K60" s="156"/>
      <c r="L60" s="145" t="s">
        <v>153</v>
      </c>
      <c r="M60" s="157">
        <f>IF(AND(ActorType = "CylinderUnits", OR(StandardAction = "TO WORK", StandardAction = "TO HOME")), INDEX(Cylinders[Actuation Time(s)], MATCH(Actor,Cylinders[Unit Name],0)),
   IF(OR(ActorType = "CylinderUnits", ActorType = "SensorUnits"), 0, ""))</f>
        <v>1.5</v>
      </c>
      <c r="N60" s="157" t="str">
        <f>IFERROR(
  IF(AND(ActorType = "CylinderUnits",Actor&lt;&gt;""), INDEX(Cylinders[MotionGroup Description], MATCH(Actor,Cylinders[Unit Name],0)),
  IF(AND(ActorType = "SensorUnits",Actor&lt;&gt;""), INDEX(Sensors[Sensor Description], MATCH(Actor,Sensors[Mechanical Unit Name],0)), "")),"Error")</f>
        <v>Group 1 Clamps</v>
      </c>
      <c r="O60" s="141" t="str">
        <f>IFERROR(
  IF(AND(ActorType = "CylinderUnits",Actor&lt;&gt;""), INDEX(Cylinders[Cylinder Name],MATCH(Actor,Cylinders[Unit Name],0)),
  IF(AND(ActorType =    "SensorUnits",Actor&lt;&gt;""), INDEX(Sensors[Sensor Name],  MATCH(Actor,Sensors[Mechanical Unit Name],0)),"")),"Error")</f>
        <v>=MM1-MMB5</v>
      </c>
      <c r="P60" s="141" t="str">
        <f>IFERROR(
  IF(ActorType = "CylinderUnits", INDEX(Cylinders[Valve Name], MATCH(Actor,Cylinders[Unit Name],0)), ""),"Error")</f>
        <v>=KJ1-QMB1</v>
      </c>
      <c r="Q60" s="158"/>
      <c r="R60" s="271">
        <f ca="1">IF(LEN(Auxiliar)&gt;0,Auxiliar,
  IF(OR(RowType="Start Conditions",RowType="Start Conditions Header",RowType="Sequence Header"),"",
  OFFSET(DepID,-1,0)))</f>
        <v>53</v>
      </c>
      <c r="S60" s="179" t="str">
        <f ca="1">IF(OR(RowType="Fixed State", RowType="Step1", RowType="Step2",RowType="Step3", RowType="Step4", RowType="Step5"),
  IF(RowType&lt;&gt;OFFSET(RowType, -1, 0), ID, ""), "")</f>
        <v/>
      </c>
      <c r="T60" s="157" t="str">
        <f ca="1">IFERROR(
  IF(OR(RowType="Start Conditions Header",RowType="Sequence Header"), "",
  IF(IndStart&lt;&gt;"", IndStart,
  IF(OR(AND(Auxiliar&gt;0,Auxiliar=DepID),Duration=0,Duration&lt;OFFSET(Duration,-1,0),RowType="Wait Conditions"), OFFSET(End, -1, 0),OFFSET(Start, -1, 0)))),"")</f>
        <v/>
      </c>
      <c r="U60" s="157">
        <f>IF(OR(RowType="Start Conditions",RowType="Start Conditions Header",RowType="Sequence Header"),"",
  IF(NOT(ISBLANK(CustomDuration)),CustomDuration,IF(LEN(StandardDuration)&gt;0,StandardDuration,0)))</f>
        <v>1.5</v>
      </c>
      <c r="V60" s="234" t="str">
        <f ca="1">IF(RowType="Start Conditions Header","",
  IF(AND(OFFSET(Duration,-1,0)&gt;Duration,RowType=OFFSET(RowType,-1,0),RowType&lt;&gt;"Wait Conditions"),OFFSET(End,-1,0),
  IF(AND(Start&lt;&gt;"",Duration&lt;&gt;""),Start+Duration,"")))</f>
        <v/>
      </c>
    </row>
    <row r="61" spans="5:22" ht="17.100000000000001" customHeight="1">
      <c r="E61" s="235">
        <f>ROW() - ROW(Sequence[[#Headers],[ID]])</f>
        <v>58</v>
      </c>
      <c r="F61" s="145" t="s">
        <v>429</v>
      </c>
      <c r="G61" s="145" t="s">
        <v>459</v>
      </c>
      <c r="H61" s="145" t="s">
        <v>496</v>
      </c>
      <c r="I61" s="145" t="s">
        <v>526</v>
      </c>
      <c r="J61" s="333"/>
      <c r="K61" s="156"/>
      <c r="L61" s="145" t="s">
        <v>153</v>
      </c>
      <c r="M61" s="238">
        <f>IF(AND(ActorType = "CylinderUnits", OR(StandardAction = "TO WORK", StandardAction = "TO HOME")), INDEX(Cylinders[Actuation Time(s)], MATCH(Actor,Cylinders[Unit Name],0)),
   IF(OR(ActorType = "CylinderUnits", ActorType = "SensorUnits"), 0, ""))</f>
        <v>1.5</v>
      </c>
      <c r="N61" s="238" t="str">
        <f>IFERROR(
  IF(AND(ActorType = "CylinderUnits",Actor&lt;&gt;""), INDEX(Cylinders[MotionGroup Description], MATCH(Actor,Cylinders[Unit Name],0)),
  IF(AND(ActorType = "SensorUnits",Actor&lt;&gt;""), INDEX(Sensors[Sensor Description], MATCH(Actor,Sensors[Mechanical Unit Name],0)), "")),"Error")</f>
        <v>Group 1 Clamps</v>
      </c>
      <c r="O61" s="235" t="str">
        <f>IFERROR(
  IF(AND(ActorType = "CylinderUnits",Actor&lt;&gt;""), INDEX(Cylinders[Cylinder Name],MATCH(Actor,Cylinders[Unit Name],0)),
  IF(AND(ActorType =    "SensorUnits",Actor&lt;&gt;""), INDEX(Sensors[Sensor Name],  MATCH(Actor,Sensors[Mechanical Unit Name],0)),"")),"Error")</f>
        <v>=MM1-MMB6</v>
      </c>
      <c r="P61" s="235" t="str">
        <f>IFERROR(
  IF(ActorType = "CylinderUnits", INDEX(Cylinders[Valve Name], MATCH(Actor,Cylinders[Unit Name],0)), ""),"Error")</f>
        <v>=KJ1-QMB1</v>
      </c>
      <c r="Q61" s="239"/>
      <c r="R61" s="270">
        <f ca="1">IF(LEN(Auxiliar)&gt;0,Auxiliar,
  IF(OR(RowType="Start Conditions",RowType="Start Conditions Header",RowType="Sequence Header"),"",
  OFFSET(DepID,-1,0)))</f>
        <v>53</v>
      </c>
      <c r="S61" s="240" t="str">
        <f ca="1">IF(OR(RowType="Fixed State", RowType="Step1", RowType="Step2",RowType="Step3", RowType="Step4", RowType="Step5"),
  IF(RowType&lt;&gt;OFFSET(RowType, -1, 0), ID, ""), "")</f>
        <v/>
      </c>
      <c r="T61" s="238" t="str">
        <f ca="1">IFERROR(
  IF(OR(RowType="Start Conditions Header",RowType="Sequence Header"), "",
  IF(IndStart&lt;&gt;"", IndStart,
  IF(OR(AND(Auxiliar&gt;0,Auxiliar=DepID),Duration=0,Duration&lt;OFFSET(Duration,-1,0),RowType="Wait Conditions"), OFFSET(End, -1, 0),OFFSET(Start, -1, 0)))),"")</f>
        <v/>
      </c>
      <c r="U61" s="238">
        <f>IF(OR(RowType="Start Conditions",RowType="Start Conditions Header",RowType="Sequence Header"),"",
  IF(NOT(ISBLANK(CustomDuration)),CustomDuration,IF(LEN(StandardDuration)&gt;0,StandardDuration,0)))</f>
        <v>1.5</v>
      </c>
      <c r="V61" s="241" t="str">
        <f ca="1">IF(RowType="Start Conditions Header","",
  IF(AND(OFFSET(Duration,-1,0)&gt;Duration,RowType=OFFSET(RowType,-1,0),RowType&lt;&gt;"Wait Conditions"),OFFSET(End,-1,0),
  IF(AND(Start&lt;&gt;"",Duration&lt;&gt;""),Start+Duration,"")))</f>
        <v/>
      </c>
    </row>
    <row r="62" spans="5:22" ht="17.100000000000001" customHeight="1">
      <c r="E62" s="235">
        <f>ROW() - ROW(Sequence[[#Headers],[ID]])</f>
        <v>59</v>
      </c>
      <c r="F62" s="145" t="s">
        <v>429</v>
      </c>
      <c r="G62" s="145" t="s">
        <v>459</v>
      </c>
      <c r="H62" s="145" t="s">
        <v>496</v>
      </c>
      <c r="I62" s="145" t="s">
        <v>542</v>
      </c>
      <c r="J62" s="145"/>
      <c r="K62" s="156"/>
      <c r="L62" s="145" t="s">
        <v>153</v>
      </c>
      <c r="M62" s="157">
        <f>IF(AND(ActorType = "CylinderUnits", OR(StandardAction = "TO WORK", StandardAction = "TO HOME")), INDEX(Cylinders[Actuation Time(s)], MATCH(Actor,Cylinders[Unit Name],0)),
   IF(OR(ActorType = "CylinderUnits", ActorType = "SensorUnits"), 0, ""))</f>
        <v>1.5</v>
      </c>
      <c r="N62" s="157" t="str">
        <f>IFERROR(
  IF(AND(ActorType = "CylinderUnits",Actor&lt;&gt;""), INDEX(Cylinders[MotionGroup Description], MATCH(Actor,Cylinders[Unit Name],0)),
  IF(AND(ActorType = "SensorUnits",Actor&lt;&gt;""), INDEX(Sensors[Sensor Description], MATCH(Actor,Sensors[Mechanical Unit Name],0)), "")),"Error")</f>
        <v>Group 1 Clamps</v>
      </c>
      <c r="O62" s="141" t="str">
        <f>IFERROR(
  IF(AND(ActorType = "CylinderUnits",Actor&lt;&gt;""), INDEX(Cylinders[Cylinder Name],MATCH(Actor,Cylinders[Unit Name],0)),
  IF(AND(ActorType =    "SensorUnits",Actor&lt;&gt;""), INDEX(Sensors[Sensor Name],  MATCH(Actor,Sensors[Mechanical Unit Name],0)),"")),"Error")</f>
        <v>=MM1-MMB7</v>
      </c>
      <c r="P62" s="141" t="str">
        <f>IFERROR(
  IF(ActorType = "CylinderUnits", INDEX(Cylinders[Valve Name], MATCH(Actor,Cylinders[Unit Name],0)), ""),"Error")</f>
        <v>=KJ1-QMB1</v>
      </c>
      <c r="Q62" s="158"/>
      <c r="R62" s="271">
        <f t="shared" ref="R62:R97" ca="1" si="15">IF(LEN(Auxiliar)&gt;0,Auxiliar,
  IF(OR(RowType="Start Conditions",RowType="Start Conditions Header",RowType="Sequence Header"),"",
  OFFSET(DepID,-1,0)))</f>
        <v>53</v>
      </c>
      <c r="S62" s="179" t="str">
        <f t="shared" ref="S62:S97" ca="1" si="16">IF(OR(RowType="Fixed State", RowType="Step1", RowType="Step2",RowType="Step3", RowType="Step4", RowType="Step5"),
  IF(RowType&lt;&gt;OFFSET(RowType, -1, 0), ID, ""), "")</f>
        <v/>
      </c>
      <c r="T62" s="157" t="str">
        <f t="shared" ref="T62:T97" ca="1" si="17">IFERROR(
  IF(OR(RowType="Start Conditions Header",RowType="Sequence Header"), "",
  IF(IndStart&lt;&gt;"", IndStart,
  IF(OR(AND(Auxiliar&gt;0,Auxiliar=DepID),Duration=0,Duration&lt;OFFSET(Duration,-1,0),RowType="Wait Conditions"), OFFSET(End, -1, 0),OFFSET(Start, -1, 0)))),"")</f>
        <v/>
      </c>
      <c r="U62" s="157">
        <f t="shared" ref="U62:U97" si="18">IF(OR(RowType="Start Conditions",RowType="Start Conditions Header",RowType="Sequence Header"),"",
  IF(NOT(ISBLANK(CustomDuration)),CustomDuration,IF(LEN(StandardDuration)&gt;0,StandardDuration,0)))</f>
        <v>1.5</v>
      </c>
      <c r="V62" s="234" t="str">
        <f t="shared" ref="V62:V97" ca="1" si="19">IF(RowType="Start Conditions Header","",
  IF(AND(OFFSET(Duration,-1,0)&gt;Duration,RowType=OFFSET(RowType,-1,0),RowType&lt;&gt;"Wait Conditions"),OFFSET(End,-1,0),
  IF(AND(Start&lt;&gt;"",Duration&lt;&gt;""),Start+Duration,"")))</f>
        <v/>
      </c>
    </row>
    <row r="63" spans="5:22" ht="17.100000000000001" customHeight="1">
      <c r="E63" s="235">
        <f>ROW() - ROW(Sequence[[#Headers],[ID]])</f>
        <v>60</v>
      </c>
      <c r="F63" s="145" t="s">
        <v>429</v>
      </c>
      <c r="G63" s="145" t="s">
        <v>459</v>
      </c>
      <c r="H63" s="145" t="s">
        <v>496</v>
      </c>
      <c r="I63" s="145" t="s">
        <v>543</v>
      </c>
      <c r="J63" s="145"/>
      <c r="K63" s="156"/>
      <c r="L63" s="145" t="s">
        <v>153</v>
      </c>
      <c r="M63" s="157">
        <f>IF(AND(ActorType = "CylinderUnits", OR(StandardAction = "TO WORK", StandardAction = "TO HOME")), INDEX(Cylinders[Actuation Time(s)], MATCH(Actor,Cylinders[Unit Name],0)),
   IF(OR(ActorType = "CylinderUnits", ActorType = "SensorUnits"), 0, ""))</f>
        <v>1.5</v>
      </c>
      <c r="N63" s="157" t="str">
        <f>IFERROR(
  IF(AND(ActorType = "CylinderUnits",Actor&lt;&gt;""), INDEX(Cylinders[MotionGroup Description], MATCH(Actor,Cylinders[Unit Name],0)),
  IF(AND(ActorType = "SensorUnits",Actor&lt;&gt;""), INDEX(Sensors[Sensor Description], MATCH(Actor,Sensors[Mechanical Unit Name],0)), "")),"Error")</f>
        <v>Group 1 Clamps</v>
      </c>
      <c r="O63" s="141" t="str">
        <f>IFERROR(
  IF(AND(ActorType = "CylinderUnits",Actor&lt;&gt;""), INDEX(Cylinders[Cylinder Name],MATCH(Actor,Cylinders[Unit Name],0)),
  IF(AND(ActorType =    "SensorUnits",Actor&lt;&gt;""), INDEX(Sensors[Sensor Name],  MATCH(Actor,Sensors[Mechanical Unit Name],0)),"")),"Error")</f>
        <v>=MM1-MMB8</v>
      </c>
      <c r="P63" s="141" t="str">
        <f>IFERROR(
  IF(ActorType = "CylinderUnits", INDEX(Cylinders[Valve Name], MATCH(Actor,Cylinders[Unit Name],0)), ""),"Error")</f>
        <v>=KJ1-QMB1</v>
      </c>
      <c r="Q63" s="158"/>
      <c r="R63" s="271">
        <f t="shared" ca="1" si="15"/>
        <v>53</v>
      </c>
      <c r="S63" s="179" t="str">
        <f t="shared" ca="1" si="16"/>
        <v/>
      </c>
      <c r="T63" s="157" t="str">
        <f t="shared" ca="1" si="17"/>
        <v/>
      </c>
      <c r="U63" s="157">
        <f t="shared" si="18"/>
        <v>1.5</v>
      </c>
      <c r="V63" s="234" t="str">
        <f t="shared" ca="1" si="19"/>
        <v/>
      </c>
    </row>
    <row r="64" spans="5:22" ht="17.100000000000001" customHeight="1">
      <c r="E64" s="235">
        <f>ROW() - ROW(Sequence[[#Headers],[ID]])</f>
        <v>61</v>
      </c>
      <c r="F64" s="145" t="s">
        <v>429</v>
      </c>
      <c r="G64" s="145" t="s">
        <v>459</v>
      </c>
      <c r="H64" s="145" t="s">
        <v>496</v>
      </c>
      <c r="I64" s="236" t="s">
        <v>527</v>
      </c>
      <c r="J64" s="333"/>
      <c r="K64" s="156"/>
      <c r="L64" s="145" t="s">
        <v>153</v>
      </c>
      <c r="M64" s="157">
        <f>IF(AND(ActorType = "CylinderUnits", OR(StandardAction = "TO WORK", StandardAction = "TO HOME")), INDEX(Cylinders[Actuation Time(s)], MATCH(Actor,Cylinders[Unit Name],0)),
   IF(OR(ActorType = "CylinderUnits", ActorType = "SensorUnits"), 0, ""))</f>
        <v>1.5</v>
      </c>
      <c r="N64" s="157" t="str">
        <f>IFERROR(
  IF(AND(ActorType = "CylinderUnits",Actor&lt;&gt;""), INDEX(Cylinders[MotionGroup Description], MATCH(Actor,Cylinders[Unit Name],0)),
  IF(AND(ActorType = "SensorUnits",Actor&lt;&gt;""), INDEX(Sensors[Sensor Description], MATCH(Actor,Sensors[Mechanical Unit Name],0)), "")),"Error")</f>
        <v>Group 2 Clamps</v>
      </c>
      <c r="O64" s="141" t="str">
        <f>IFERROR(
  IF(AND(ActorType = "CylinderUnits",Actor&lt;&gt;""), INDEX(Cylinders[Cylinder Name],MATCH(Actor,Cylinders[Unit Name],0)),
  IF(AND(ActorType =    "SensorUnits",Actor&lt;&gt;""), INDEX(Sensors[Sensor Name],  MATCH(Actor,Sensors[Mechanical Unit Name],0)),"")),"Error")</f>
        <v>=MM2-MMB1</v>
      </c>
      <c r="P64" s="141" t="str">
        <f>IFERROR(
  IF(ActorType = "CylinderUnits", INDEX(Cylinders[Valve Name], MATCH(Actor,Cylinders[Unit Name],0)), ""),"Error")</f>
        <v>=KJ1-QMB2</v>
      </c>
      <c r="Q64" s="158"/>
      <c r="R64" s="271">
        <f t="shared" ca="1" si="15"/>
        <v>53</v>
      </c>
      <c r="S64" s="179" t="str">
        <f t="shared" ca="1" si="16"/>
        <v/>
      </c>
      <c r="T64" s="157" t="str">
        <f t="shared" ca="1" si="17"/>
        <v/>
      </c>
      <c r="U64" s="157">
        <f t="shared" si="18"/>
        <v>1.5</v>
      </c>
      <c r="V64" s="234" t="str">
        <f t="shared" ca="1" si="19"/>
        <v/>
      </c>
    </row>
    <row r="65" spans="5:22" ht="17.100000000000001" customHeight="1">
      <c r="E65" s="235">
        <f>ROW() - ROW(Sequence[[#Headers],[ID]])</f>
        <v>62</v>
      </c>
      <c r="F65" s="145" t="s">
        <v>429</v>
      </c>
      <c r="G65" s="145" t="s">
        <v>459</v>
      </c>
      <c r="H65" s="145" t="s">
        <v>496</v>
      </c>
      <c r="I65" s="236" t="s">
        <v>528</v>
      </c>
      <c r="J65" s="145"/>
      <c r="K65" s="156"/>
      <c r="L65" s="145" t="s">
        <v>153</v>
      </c>
      <c r="M65" s="157">
        <f>IF(AND(ActorType = "CylinderUnits", OR(StandardAction = "TO WORK", StandardAction = "TO HOME")), INDEX(Cylinders[Actuation Time(s)], MATCH(Actor,Cylinders[Unit Name],0)),
   IF(OR(ActorType = "CylinderUnits", ActorType = "SensorUnits"), 0, ""))</f>
        <v>1.5</v>
      </c>
      <c r="N65" s="157" t="str">
        <f>IFERROR(
  IF(AND(ActorType = "CylinderUnits",Actor&lt;&gt;""), INDEX(Cylinders[MotionGroup Description], MATCH(Actor,Cylinders[Unit Name],0)),
  IF(AND(ActorType = "SensorUnits",Actor&lt;&gt;""), INDEX(Sensors[Sensor Description], MATCH(Actor,Sensors[Mechanical Unit Name],0)), "")),"Error")</f>
        <v>Group 2 Clamps</v>
      </c>
      <c r="O65" s="141" t="str">
        <f>IFERROR(
  IF(AND(ActorType = "CylinderUnits",Actor&lt;&gt;""), INDEX(Cylinders[Cylinder Name],MATCH(Actor,Cylinders[Unit Name],0)),
  IF(AND(ActorType =    "SensorUnits",Actor&lt;&gt;""), INDEX(Sensors[Sensor Name],  MATCH(Actor,Sensors[Mechanical Unit Name],0)),"")),"Error")</f>
        <v>=MM2-MMB2</v>
      </c>
      <c r="P65" s="141" t="str">
        <f>IFERROR(
  IF(ActorType = "CylinderUnits", INDEX(Cylinders[Valve Name], MATCH(Actor,Cylinders[Unit Name],0)), ""),"Error")</f>
        <v>=KJ1-QMB2</v>
      </c>
      <c r="Q65" s="158"/>
      <c r="R65" s="271">
        <f ca="1">IF(LEN(Auxiliar)&gt;0,Auxiliar,
  IF(OR(RowType="Start Conditions",RowType="Start Conditions Header",RowType="Sequence Header"),"",
  OFFSET(DepID,-1,0)))</f>
        <v>53</v>
      </c>
      <c r="S65" s="179" t="str">
        <f ca="1">IF(OR(RowType="Fixed State", RowType="Step1", RowType="Step2",RowType="Step3", RowType="Step4", RowType="Step5"),
  IF(RowType&lt;&gt;OFFSET(RowType, -1, 0), ID, ""), "")</f>
        <v/>
      </c>
      <c r="T65" s="157" t="str">
        <f ca="1">IFERROR(
  IF(OR(RowType="Start Conditions Header",RowType="Sequence Header"), "",
  IF(IndStart&lt;&gt;"", IndStart,
  IF(OR(AND(Auxiliar&gt;0,Auxiliar=DepID),Duration=0,Duration&lt;OFFSET(Duration,-1,0),RowType="Wait Conditions"), OFFSET(End, -1, 0),OFFSET(Start, -1, 0)))),"")</f>
        <v/>
      </c>
      <c r="U65" s="157">
        <f>IF(OR(RowType="Start Conditions",RowType="Start Conditions Header",RowType="Sequence Header"),"",
  IF(NOT(ISBLANK(CustomDuration)),CustomDuration,IF(LEN(StandardDuration)&gt;0,StandardDuration,0)))</f>
        <v>1.5</v>
      </c>
      <c r="V65" s="234" t="str">
        <f ca="1">IF(RowType="Start Conditions Header","",
  IF(AND(OFFSET(Duration,-1,0)&gt;Duration,RowType=OFFSET(RowType,-1,0),RowType&lt;&gt;"Wait Conditions"),OFFSET(End,-1,0),
  IF(AND(Start&lt;&gt;"",Duration&lt;&gt;""),Start+Duration,"")))</f>
        <v/>
      </c>
    </row>
    <row r="66" spans="5:22" ht="17.100000000000001" customHeight="1">
      <c r="E66" s="235">
        <f>ROW() - ROW(Sequence[[#Headers],[ID]])</f>
        <v>63</v>
      </c>
      <c r="F66" s="145" t="s">
        <v>429</v>
      </c>
      <c r="G66" s="145" t="s">
        <v>460</v>
      </c>
      <c r="H66" s="145" t="s">
        <v>496</v>
      </c>
      <c r="I66" s="236" t="s">
        <v>529</v>
      </c>
      <c r="J66" s="145"/>
      <c r="K66" s="156"/>
      <c r="L66" s="145" t="s">
        <v>153</v>
      </c>
      <c r="M66" s="157">
        <f>IF(AND(ActorType = "CylinderUnits", OR(StandardAction = "TO WORK", StandardAction = "TO HOME")), INDEX(Cylinders[Actuation Time(s)], MATCH(Actor,Cylinders[Unit Name],0)),
   IF(OR(ActorType = "CylinderUnits", ActorType = "SensorUnits"), 0, ""))</f>
        <v>1.5</v>
      </c>
      <c r="N66" s="157" t="str">
        <f>IFERROR(
  IF(AND(ActorType = "CylinderUnits",Actor&lt;&gt;""), INDEX(Cylinders[MotionGroup Description], MATCH(Actor,Cylinders[Unit Name],0)),
  IF(AND(ActorType = "SensorUnits",Actor&lt;&gt;""), INDEX(Sensors[Sensor Description], MATCH(Actor,Sensors[Mechanical Unit Name],0)), "")),"Error")</f>
        <v>Group 3 Clamps</v>
      </c>
      <c r="O66" s="141" t="str">
        <f>IFERROR(
  IF(AND(ActorType = "CylinderUnits",Actor&lt;&gt;""), INDEX(Cylinders[Cylinder Name],MATCH(Actor,Cylinders[Unit Name],0)),
  IF(AND(ActorType =    "SensorUnits",Actor&lt;&gt;""), INDEX(Sensors[Sensor Name],  MATCH(Actor,Sensors[Mechanical Unit Name],0)),"")),"Error")</f>
        <v>=MM3-MMB1</v>
      </c>
      <c r="P66" s="141" t="str">
        <f>IFERROR(
  IF(ActorType = "CylinderUnits", INDEX(Cylinders[Valve Name], MATCH(Actor,Cylinders[Unit Name],0)), ""),"Error")</f>
        <v>=KJ1-QMB3</v>
      </c>
      <c r="Q66" s="158"/>
      <c r="R66" s="271">
        <f t="shared" ca="1" si="15"/>
        <v>63</v>
      </c>
      <c r="S66" s="179">
        <f t="shared" ca="1" si="16"/>
        <v>63</v>
      </c>
      <c r="T66" s="157" t="str">
        <f t="shared" ca="1" si="17"/>
        <v/>
      </c>
      <c r="U66" s="157">
        <f t="shared" si="18"/>
        <v>1.5</v>
      </c>
      <c r="V66" s="234" t="str">
        <f t="shared" ca="1" si="19"/>
        <v/>
      </c>
    </row>
    <row r="67" spans="5:22" ht="17.100000000000001" customHeight="1">
      <c r="E67" s="235">
        <f>ROW() - ROW(Sequence[[#Headers],[ID]])</f>
        <v>64</v>
      </c>
      <c r="F67" s="145" t="s">
        <v>429</v>
      </c>
      <c r="G67" s="145" t="s">
        <v>460</v>
      </c>
      <c r="H67" s="145" t="s">
        <v>496</v>
      </c>
      <c r="I67" s="236" t="s">
        <v>530</v>
      </c>
      <c r="J67" s="145" t="s">
        <v>494</v>
      </c>
      <c r="K67" s="156"/>
      <c r="L67" s="145" t="s">
        <v>153</v>
      </c>
      <c r="M67" s="157">
        <f>IF(AND(ActorType = "CylinderUnits", OR(StandardAction = "TO WORK", StandardAction = "TO HOME")), INDEX(Cylinders[Actuation Time(s)], MATCH(Actor,Cylinders[Unit Name],0)),
   IF(OR(ActorType = "CylinderUnits", ActorType = "SensorUnits"), 0, ""))</f>
        <v>1.5</v>
      </c>
      <c r="N67" s="157" t="str">
        <f>IFERROR(
  IF(AND(ActorType = "CylinderUnits",Actor&lt;&gt;""), INDEX(Cylinders[MotionGroup Description], MATCH(Actor,Cylinders[Unit Name],0)),
  IF(AND(ActorType = "SensorUnits",Actor&lt;&gt;""), INDEX(Sensors[Sensor Description], MATCH(Actor,Sensors[Mechanical Unit Name],0)), "")),"Error")</f>
        <v>Group 3 Clamps</v>
      </c>
      <c r="O67" s="141" t="str">
        <f>IFERROR(
  IF(AND(ActorType = "CylinderUnits",Actor&lt;&gt;""), INDEX(Cylinders[Cylinder Name],MATCH(Actor,Cylinders[Unit Name],0)),
  IF(AND(ActorType =    "SensorUnits",Actor&lt;&gt;""), INDEX(Sensors[Sensor Name],  MATCH(Actor,Sensors[Mechanical Unit Name],0)),"")),"Error")</f>
        <v>=MM3-MMB2</v>
      </c>
      <c r="P67" s="141" t="str">
        <f>IFERROR(
  IF(ActorType = "CylinderUnits", INDEX(Cylinders[Valve Name], MATCH(Actor,Cylinders[Unit Name],0)), ""),"Error")</f>
        <v>=KJ1-QMB3</v>
      </c>
      <c r="Q67" s="158"/>
      <c r="R67" s="271">
        <f t="shared" ca="1" si="15"/>
        <v>63</v>
      </c>
      <c r="S67" s="179" t="str">
        <f t="shared" ca="1" si="16"/>
        <v/>
      </c>
      <c r="T67" s="157" t="str">
        <f t="shared" ca="1" si="17"/>
        <v/>
      </c>
      <c r="U67" s="157">
        <f t="shared" si="18"/>
        <v>1.5</v>
      </c>
      <c r="V67" s="234" t="str">
        <f t="shared" ca="1" si="19"/>
        <v/>
      </c>
    </row>
    <row r="68" spans="5:22" ht="17.100000000000001" customHeight="1">
      <c r="E68" s="235">
        <f>ROW() - ROW(Sequence[[#Headers],[ID]])</f>
        <v>65</v>
      </c>
      <c r="F68" s="145" t="s">
        <v>429</v>
      </c>
      <c r="G68" s="145" t="s">
        <v>460</v>
      </c>
      <c r="H68" s="145" t="s">
        <v>496</v>
      </c>
      <c r="I68" s="236" t="s">
        <v>531</v>
      </c>
      <c r="J68" s="145"/>
      <c r="K68" s="156"/>
      <c r="L68" s="145" t="s">
        <v>153</v>
      </c>
      <c r="M68" s="157">
        <f>IF(AND(ActorType = "CylinderUnits", OR(StandardAction = "TO WORK", StandardAction = "TO HOME")), INDEX(Cylinders[Actuation Time(s)], MATCH(Actor,Cylinders[Unit Name],0)),
   IF(OR(ActorType = "CylinderUnits", ActorType = "SensorUnits"), 0, ""))</f>
        <v>1.5</v>
      </c>
      <c r="N68" s="157" t="str">
        <f>IFERROR(
  IF(AND(ActorType = "CylinderUnits",Actor&lt;&gt;""), INDEX(Cylinders[MotionGroup Description], MATCH(Actor,Cylinders[Unit Name],0)),
  IF(AND(ActorType = "SensorUnits",Actor&lt;&gt;""), INDEX(Sensors[Sensor Description], MATCH(Actor,Sensors[Mechanical Unit Name],0)), "")),"Error")</f>
        <v>Group 3 Clamps</v>
      </c>
      <c r="O68" s="141" t="str">
        <f>IFERROR(
  IF(AND(ActorType = "CylinderUnits",Actor&lt;&gt;""), INDEX(Cylinders[Cylinder Name],MATCH(Actor,Cylinders[Unit Name],0)),
  IF(AND(ActorType =    "SensorUnits",Actor&lt;&gt;""), INDEX(Sensors[Sensor Name],  MATCH(Actor,Sensors[Mechanical Unit Name],0)),"")),"Error")</f>
        <v>=MM3-MMB3</v>
      </c>
      <c r="P68" s="141" t="str">
        <f>IFERROR(
  IF(ActorType = "CylinderUnits", INDEX(Cylinders[Valve Name], MATCH(Actor,Cylinders[Unit Name],0)), ""),"Error")</f>
        <v>=KJ1-QMB3</v>
      </c>
      <c r="Q68" s="158"/>
      <c r="R68" s="271">
        <f t="shared" ca="1" si="15"/>
        <v>63</v>
      </c>
      <c r="S68" s="179" t="str">
        <f t="shared" ca="1" si="16"/>
        <v/>
      </c>
      <c r="T68" s="157" t="str">
        <f t="shared" ca="1" si="17"/>
        <v/>
      </c>
      <c r="U68" s="157">
        <f t="shared" si="18"/>
        <v>1.5</v>
      </c>
      <c r="V68" s="234" t="str">
        <f t="shared" ca="1" si="19"/>
        <v/>
      </c>
    </row>
    <row r="69" spans="5:22" ht="17.100000000000001" customHeight="1">
      <c r="E69" s="235">
        <f>ROW() - ROW(Sequence[[#Headers],[ID]])</f>
        <v>66</v>
      </c>
      <c r="F69" s="145" t="s">
        <v>429</v>
      </c>
      <c r="G69" s="145" t="s">
        <v>460</v>
      </c>
      <c r="H69" s="145" t="s">
        <v>496</v>
      </c>
      <c r="I69" s="145" t="s">
        <v>520</v>
      </c>
      <c r="J69" s="145" t="s">
        <v>494</v>
      </c>
      <c r="K69" s="156"/>
      <c r="L69" s="145" t="s">
        <v>153</v>
      </c>
      <c r="M69" s="157">
        <f>IF(AND(ActorType = "CylinderUnits", OR(StandardAction = "TO WORK", StandardAction = "TO HOME")), INDEX(Cylinders[Actuation Time(s)], MATCH(Actor,Cylinders[Unit Name],0)),
   IF(OR(ActorType = "CylinderUnits", ActorType = "SensorUnits"), 0, ""))</f>
        <v>1.5</v>
      </c>
      <c r="N69" s="157" t="str">
        <f>IFERROR(
  IF(AND(ActorType = "CylinderUnits",Actor&lt;&gt;""), INDEX(Cylinders[MotionGroup Description], MATCH(Actor,Cylinders[Unit Name],0)),
  IF(AND(ActorType = "SensorUnits",Actor&lt;&gt;""), INDEX(Sensors[Sensor Description], MATCH(Actor,Sensors[Mechanical Unit Name],0)), "")),"Error")</f>
        <v>Group 3 Clamps</v>
      </c>
      <c r="O69" s="141" t="str">
        <f>IFERROR(
  IF(AND(ActorType = "CylinderUnits",Actor&lt;&gt;""), INDEX(Cylinders[Cylinder Name],MATCH(Actor,Cylinders[Unit Name],0)),
  IF(AND(ActorType =    "SensorUnits",Actor&lt;&gt;""), INDEX(Sensors[Sensor Name],  MATCH(Actor,Sensors[Mechanical Unit Name],0)),"")),"Error")</f>
        <v>=MM3-MMB4</v>
      </c>
      <c r="P69" s="141" t="str">
        <f>IFERROR(
  IF(ActorType = "CylinderUnits", INDEX(Cylinders[Valve Name], MATCH(Actor,Cylinders[Unit Name],0)), ""),"Error")</f>
        <v>=KJ1-QMB3</v>
      </c>
      <c r="Q69" s="158"/>
      <c r="R69" s="271">
        <f t="shared" ca="1" si="15"/>
        <v>63</v>
      </c>
      <c r="S69" s="179" t="str">
        <f t="shared" ca="1" si="16"/>
        <v/>
      </c>
      <c r="T69" s="157" t="str">
        <f t="shared" ca="1" si="17"/>
        <v/>
      </c>
      <c r="U69" s="157">
        <f t="shared" si="18"/>
        <v>1.5</v>
      </c>
      <c r="V69" s="234" t="str">
        <f t="shared" ca="1" si="19"/>
        <v/>
      </c>
    </row>
    <row r="70" spans="5:22" ht="17.100000000000001" customHeight="1">
      <c r="E70" s="235">
        <f>ROW() - ROW(Sequence[[#Headers],[ID]])</f>
        <v>67</v>
      </c>
      <c r="F70" s="145" t="s">
        <v>429</v>
      </c>
      <c r="G70" s="145" t="s">
        <v>460</v>
      </c>
      <c r="H70" s="145" t="s">
        <v>496</v>
      </c>
      <c r="I70" s="145" t="s">
        <v>532</v>
      </c>
      <c r="J70" s="145" t="s">
        <v>494</v>
      </c>
      <c r="K70" s="156"/>
      <c r="L70" s="145" t="s">
        <v>153</v>
      </c>
      <c r="M70" s="157">
        <f>IF(AND(ActorType = "CylinderUnits", OR(StandardAction = "TO WORK", StandardAction = "TO HOME")), INDEX(Cylinders[Actuation Time(s)], MATCH(Actor,Cylinders[Unit Name],0)),
   IF(OR(ActorType = "CylinderUnits", ActorType = "SensorUnits"), 0, ""))</f>
        <v>1</v>
      </c>
      <c r="N70" s="157" t="str">
        <f>IFERROR(
  IF(AND(ActorType = "CylinderUnits",Actor&lt;&gt;""), INDEX(Cylinders[MotionGroup Description], MATCH(Actor,Cylinders[Unit Name],0)),
  IF(AND(ActorType = "SensorUnits",Actor&lt;&gt;""), INDEX(Sensors[Sensor Description], MATCH(Actor,Sensors[Mechanical Unit Name],0)), "")),"Error")</f>
        <v>Group 3 Clamps</v>
      </c>
      <c r="O70" s="141" t="str">
        <f>IFERROR(
  IF(AND(ActorType = "CylinderUnits",Actor&lt;&gt;""), INDEX(Cylinders[Cylinder Name],MATCH(Actor,Cylinders[Unit Name],0)),
  IF(AND(ActorType =    "SensorUnits",Actor&lt;&gt;""), INDEX(Sensors[Sensor Name],  MATCH(Actor,Sensors[Mechanical Unit Name],0)),"")),"Error")</f>
        <v>=MM3-MMB5</v>
      </c>
      <c r="P70" s="141" t="str">
        <f>IFERROR(
  IF(ActorType = "CylinderUnits", INDEX(Cylinders[Valve Name], MATCH(Actor,Cylinders[Unit Name],0)), ""),"Error")</f>
        <v>=KJ1-QMB3</v>
      </c>
      <c r="Q70" s="158"/>
      <c r="R70" s="271">
        <f t="shared" ca="1" si="15"/>
        <v>63</v>
      </c>
      <c r="S70" s="179" t="str">
        <f t="shared" ca="1" si="16"/>
        <v/>
      </c>
      <c r="T70" s="157" t="str">
        <f t="shared" ca="1" si="17"/>
        <v/>
      </c>
      <c r="U70" s="157">
        <f t="shared" si="18"/>
        <v>1</v>
      </c>
      <c r="V70" s="234" t="str">
        <f t="shared" ca="1" si="19"/>
        <v/>
      </c>
    </row>
    <row r="71" spans="5:22" ht="17.100000000000001" customHeight="1">
      <c r="E71" s="235">
        <f>ROW() - ROW(Sequence[[#Headers],[ID]])</f>
        <v>68</v>
      </c>
      <c r="F71" s="145" t="s">
        <v>429</v>
      </c>
      <c r="G71" s="145" t="s">
        <v>460</v>
      </c>
      <c r="H71" s="145" t="s">
        <v>496</v>
      </c>
      <c r="I71" s="145" t="s">
        <v>533</v>
      </c>
      <c r="J71" s="145"/>
      <c r="K71" s="156"/>
      <c r="L71" s="145" t="s">
        <v>153</v>
      </c>
      <c r="M71" s="157">
        <f>IF(AND(ActorType = "CylinderUnits", OR(StandardAction = "TO WORK", StandardAction = "TO HOME")), INDEX(Cylinders[Actuation Time(s)], MATCH(Actor,Cylinders[Unit Name],0)),
   IF(OR(ActorType = "CylinderUnits", ActorType = "SensorUnits"), 0, ""))</f>
        <v>1</v>
      </c>
      <c r="N71" s="157" t="str">
        <f>IFERROR(
  IF(AND(ActorType = "CylinderUnits",Actor&lt;&gt;""), INDEX(Cylinders[MotionGroup Description], MATCH(Actor,Cylinders[Unit Name],0)),
  IF(AND(ActorType = "SensorUnits",Actor&lt;&gt;""), INDEX(Sensors[Sensor Description], MATCH(Actor,Sensors[Mechanical Unit Name],0)), "")),"Error")</f>
        <v>Group 3 Clamps</v>
      </c>
      <c r="O71" s="141" t="str">
        <f>IFERROR(
  IF(AND(ActorType = "CylinderUnits",Actor&lt;&gt;""), INDEX(Cylinders[Cylinder Name],MATCH(Actor,Cylinders[Unit Name],0)),
  IF(AND(ActorType =    "SensorUnits",Actor&lt;&gt;""), INDEX(Sensors[Sensor Name],  MATCH(Actor,Sensors[Mechanical Unit Name],0)),"")),"Error")</f>
        <v>=MM3-MMB6</v>
      </c>
      <c r="P71" s="141" t="str">
        <f>IFERROR(
  IF(ActorType = "CylinderUnits", INDEX(Cylinders[Valve Name], MATCH(Actor,Cylinders[Unit Name],0)), ""),"Error")</f>
        <v>=KJ1-QMB3</v>
      </c>
      <c r="Q71" s="158"/>
      <c r="R71" s="271">
        <f t="shared" ca="1" si="15"/>
        <v>63</v>
      </c>
      <c r="S71" s="179" t="str">
        <f t="shared" ca="1" si="16"/>
        <v/>
      </c>
      <c r="T71" s="157" t="str">
        <f t="shared" ca="1" si="17"/>
        <v/>
      </c>
      <c r="U71" s="157">
        <f t="shared" si="18"/>
        <v>1</v>
      </c>
      <c r="V71" s="234" t="str">
        <f t="shared" ca="1" si="19"/>
        <v/>
      </c>
    </row>
    <row r="72" spans="5:22" ht="17.100000000000001" customHeight="1">
      <c r="E72" s="235">
        <f>ROW() - ROW(Sequence[[#Headers],[ID]])</f>
        <v>69</v>
      </c>
      <c r="F72" s="145" t="s">
        <v>429</v>
      </c>
      <c r="G72" s="145" t="s">
        <v>460</v>
      </c>
      <c r="H72" s="145" t="s">
        <v>496</v>
      </c>
      <c r="I72" s="145" t="s">
        <v>544</v>
      </c>
      <c r="J72" s="145"/>
      <c r="K72" s="156"/>
      <c r="L72" s="145" t="s">
        <v>153</v>
      </c>
      <c r="M72" s="157">
        <f>IF(AND(ActorType = "CylinderUnits", OR(StandardAction = "TO WORK", StandardAction = "TO HOME")), INDEX(Cylinders[Actuation Time(s)], MATCH(Actor,Cylinders[Unit Name],0)),
   IF(OR(ActorType = "CylinderUnits", ActorType = "SensorUnits"), 0, ""))</f>
        <v>1</v>
      </c>
      <c r="N72" s="157" t="str">
        <f>IFERROR(
  IF(AND(ActorType = "CylinderUnits",Actor&lt;&gt;""), INDEX(Cylinders[MotionGroup Description], MATCH(Actor,Cylinders[Unit Name],0)),
  IF(AND(ActorType = "SensorUnits",Actor&lt;&gt;""), INDEX(Sensors[Sensor Description], MATCH(Actor,Sensors[Mechanical Unit Name],0)), "")),"Error")</f>
        <v>Group 3 Clamps</v>
      </c>
      <c r="O72" s="141" t="str">
        <f>IFERROR(
  IF(AND(ActorType = "CylinderUnits",Actor&lt;&gt;""), INDEX(Cylinders[Cylinder Name],MATCH(Actor,Cylinders[Unit Name],0)),
  IF(AND(ActorType =    "SensorUnits",Actor&lt;&gt;""), INDEX(Sensors[Sensor Name],  MATCH(Actor,Sensors[Mechanical Unit Name],0)),"")),"Error")</f>
        <v>=MM3-MMB7</v>
      </c>
      <c r="P72" s="141" t="str">
        <f>IFERROR(
  IF(ActorType = "CylinderUnits", INDEX(Cylinders[Valve Name], MATCH(Actor,Cylinders[Unit Name],0)), ""),"Error")</f>
        <v>=KJ1-QMB3</v>
      </c>
      <c r="Q72" s="158"/>
      <c r="R72" s="271">
        <f t="shared" ca="1" si="15"/>
        <v>63</v>
      </c>
      <c r="S72" s="179" t="str">
        <f t="shared" ca="1" si="16"/>
        <v/>
      </c>
      <c r="T72" s="157" t="str">
        <f t="shared" ca="1" si="17"/>
        <v/>
      </c>
      <c r="U72" s="157">
        <f t="shared" si="18"/>
        <v>1</v>
      </c>
      <c r="V72" s="234" t="str">
        <f t="shared" ca="1" si="19"/>
        <v/>
      </c>
    </row>
    <row r="73" spans="5:22" ht="17.100000000000001" customHeight="1">
      <c r="E73" s="235">
        <f>ROW() - ROW(Sequence[[#Headers],[ID]])</f>
        <v>70</v>
      </c>
      <c r="F73" s="145" t="s">
        <v>429</v>
      </c>
      <c r="G73" s="145" t="s">
        <v>460</v>
      </c>
      <c r="H73" s="145" t="s">
        <v>496</v>
      </c>
      <c r="I73" s="145" t="s">
        <v>545</v>
      </c>
      <c r="J73" s="145"/>
      <c r="K73" s="156"/>
      <c r="L73" s="145" t="s">
        <v>153</v>
      </c>
      <c r="M73" s="157">
        <f>IF(AND(ActorType = "CylinderUnits", OR(StandardAction = "TO WORK", StandardAction = "TO HOME")), INDEX(Cylinders[Actuation Time(s)], MATCH(Actor,Cylinders[Unit Name],0)),
   IF(OR(ActorType = "CylinderUnits", ActorType = "SensorUnits"), 0, ""))</f>
        <v>1</v>
      </c>
      <c r="N73" s="157" t="str">
        <f>IFERROR(
  IF(AND(ActorType = "CylinderUnits",Actor&lt;&gt;""), INDEX(Cylinders[MotionGroup Description], MATCH(Actor,Cylinders[Unit Name],0)),
  IF(AND(ActorType = "SensorUnits",Actor&lt;&gt;""), INDEX(Sensors[Sensor Description], MATCH(Actor,Sensors[Mechanical Unit Name],0)), "")),"Error")</f>
        <v>Group 3 Clamps</v>
      </c>
      <c r="O73" s="141" t="str">
        <f>IFERROR(
  IF(AND(ActorType = "CylinderUnits",Actor&lt;&gt;""), INDEX(Cylinders[Cylinder Name],MATCH(Actor,Cylinders[Unit Name],0)),
  IF(AND(ActorType =    "SensorUnits",Actor&lt;&gt;""), INDEX(Sensors[Sensor Name],  MATCH(Actor,Sensors[Mechanical Unit Name],0)),"")),"Error")</f>
        <v>=MM3-MMB8</v>
      </c>
      <c r="P73" s="141" t="str">
        <f>IFERROR(
  IF(ActorType = "CylinderUnits", INDEX(Cylinders[Valve Name], MATCH(Actor,Cylinders[Unit Name],0)), ""),"Error")</f>
        <v>=KJ1-QMB3</v>
      </c>
      <c r="Q73" s="158"/>
      <c r="R73" s="271">
        <f t="shared" ca="1" si="15"/>
        <v>63</v>
      </c>
      <c r="S73" s="179" t="str">
        <f t="shared" ca="1" si="16"/>
        <v/>
      </c>
      <c r="T73" s="157" t="str">
        <f t="shared" ca="1" si="17"/>
        <v/>
      </c>
      <c r="U73" s="157">
        <f t="shared" si="18"/>
        <v>1</v>
      </c>
      <c r="V73" s="234" t="str">
        <f t="shared" ca="1" si="19"/>
        <v/>
      </c>
    </row>
    <row r="74" spans="5:22" ht="17.100000000000001" customHeight="1">
      <c r="E74" s="235">
        <f>ROW() - ROW(Sequence[[#Headers],[ID]])</f>
        <v>71</v>
      </c>
      <c r="F74" s="236" t="s">
        <v>429</v>
      </c>
      <c r="G74" s="145" t="s">
        <v>464</v>
      </c>
      <c r="H74" s="145"/>
      <c r="I74" s="145"/>
      <c r="J74" s="145" t="s">
        <v>622</v>
      </c>
      <c r="K74" s="156"/>
      <c r="L74" s="145"/>
      <c r="M74" s="157" t="str">
        <f>IF(AND(ActorType = "CylinderUnits", OR(StandardAction = "TO WORK", StandardAction = "TO HOME")), INDEX(Cylinders[Actuation Time(s)], MATCH(Actor,Cylinders[Unit Name],0)),
   IF(OR(ActorType = "CylinderUnits", ActorType = "SensorUnits"), 0, ""))</f>
        <v/>
      </c>
      <c r="N74" s="157" t="str">
        <f>IFERROR(
  IF(AND(ActorType = "CylinderUnits",Actor&lt;&gt;""), INDEX(Cylinders[MotionGroup Description], MATCH(Actor,Cylinders[Unit Name],0)),
  IF(AND(ActorType = "SensorUnits",Actor&lt;&gt;""), INDEX(Sensors[Sensor Description], MATCH(Actor,Sensors[Mechanical Unit Name],0)), "")),"Error")</f>
        <v/>
      </c>
      <c r="O74" s="141" t="str">
        <f>IFERROR(
  IF(AND(ActorType = "CylinderUnits",Actor&lt;&gt;""), INDEX(Cylinders[Cylinder Name],MATCH(Actor,Cylinders[Unit Name],0)),
  IF(AND(ActorType =    "SensorUnits",Actor&lt;&gt;""), INDEX(Sensors[Sensor Name],  MATCH(Actor,Sensors[Mechanical Unit Name],0)),"")),"Error")</f>
        <v/>
      </c>
      <c r="P74" s="141" t="str">
        <f>IFERROR(
  IF(ActorType = "CylinderUnits", INDEX(Cylinders[Valve Name], MATCH(Actor,Cylinders[Unit Name],0)), ""),"Error")</f>
        <v/>
      </c>
      <c r="Q74" s="158"/>
      <c r="R74" s="271">
        <f ca="1">IF(LEN(Auxiliar)&gt;0,Auxiliar,
  IF(OR(RowType="Start Conditions",RowType="Start Conditions Header",RowType="Sequence Header"),"",
  OFFSET(DepID,-1,0)))</f>
        <v>71</v>
      </c>
      <c r="S74" s="179">
        <f ca="1">IF(OR(RowType="Fixed State", RowType="Step1", RowType="Step2",RowType="Step3", RowType="Step4", RowType="Step5"),
  IF(RowType&lt;&gt;OFFSET(RowType, -1, 0), ID, ""), "")</f>
        <v>71</v>
      </c>
      <c r="T74" s="157" t="str">
        <f ca="1">IFERROR(
  IF(OR(RowType="Start Conditions Header",RowType="Sequence Header"), "",
  IF(IndStart&lt;&gt;"", IndStart,
  IF(OR(AND(Auxiliar&gt;0,Auxiliar=DepID),Duration=0,Duration&lt;OFFSET(Duration,-1,0),RowType="Wait Conditions"), OFFSET(End, -1, 0),OFFSET(Start, -1, 0)))),"")</f>
        <v/>
      </c>
      <c r="U74" s="157">
        <f>IF(OR(RowType="Start Conditions",RowType="Start Conditions Header",RowType="Sequence Header"),"",
  IF(NOT(ISBLANK(CustomDuration)),CustomDuration,IF(LEN(StandardDuration)&gt;0,StandardDuration,0)))</f>
        <v>0</v>
      </c>
      <c r="V74" s="234" t="str">
        <f ca="1">IF(RowType="Start Conditions Header","",
  IF(AND(OFFSET(Duration,-1,0)&gt;Duration,RowType=OFFSET(RowType,-1,0),RowType&lt;&gt;"Wait Conditions"),OFFSET(End,-1,0),
  IF(AND(Start&lt;&gt;"",Duration&lt;&gt;""),Start+Duration,"")))</f>
        <v/>
      </c>
    </row>
    <row r="75" spans="5:22" ht="17.100000000000001" customHeight="1">
      <c r="E75" s="235">
        <f>ROW() - ROW(Sequence[[#Headers],[ID]])</f>
        <v>72</v>
      </c>
      <c r="F75" s="236" t="s">
        <v>429</v>
      </c>
      <c r="G75" s="145" t="s">
        <v>467</v>
      </c>
      <c r="H75" s="145" t="s">
        <v>172</v>
      </c>
      <c r="I75" s="145" t="s">
        <v>157</v>
      </c>
      <c r="J75" s="145" t="s">
        <v>623</v>
      </c>
      <c r="K75" s="156">
        <v>0</v>
      </c>
      <c r="L75" s="145"/>
      <c r="M75" s="157" t="str">
        <f>IF(AND(ActorType = "CylinderUnits", OR(StandardAction = "TO WORK", StandardAction = "TO HOME")), INDEX(Cylinders[Actuation Time(s)], MATCH(Actor,Cylinders[Unit Name],0)),
   IF(OR(ActorType = "CylinderUnits", ActorType = "SensorUnits"), 0, ""))</f>
        <v/>
      </c>
      <c r="N75" s="157" t="str">
        <f>IFERROR(
  IF(AND(ActorType = "CylinderUnits",Actor&lt;&gt;""), INDEX(Cylinders[MotionGroup Description], MATCH(Actor,Cylinders[Unit Name],0)),
  IF(AND(ActorType = "SensorUnits",Actor&lt;&gt;""), INDEX(Sensors[Sensor Description], MATCH(Actor,Sensors[Mechanical Unit Name],0)), "")),"Error")</f>
        <v/>
      </c>
      <c r="O75" s="141" t="str">
        <f>IFERROR(
  IF(AND(ActorType = "CylinderUnits",Actor&lt;&gt;""), INDEX(Cylinders[Cylinder Name],MATCH(Actor,Cylinders[Unit Name],0)),
  IF(AND(ActorType =    "SensorUnits",Actor&lt;&gt;""), INDEX(Sensors[Sensor Name],  MATCH(Actor,Sensors[Mechanical Unit Name],0)),"")),"Error")</f>
        <v/>
      </c>
      <c r="P75" s="141" t="str">
        <f>IFERROR(
  IF(ActorType = "CylinderUnits", INDEX(Cylinders[Valve Name], MATCH(Actor,Cylinders[Unit Name],0)), ""),"Error")</f>
        <v/>
      </c>
      <c r="Q75" s="158"/>
      <c r="R75" s="271">
        <f ca="1">IF(LEN(Auxiliar)&gt;0,Auxiliar,
  IF(OR(RowType="Start Conditions",RowType="Start Conditions Header",RowType="Sequence Header"),"",
  OFFSET(DepID,-1,0)))</f>
        <v>71</v>
      </c>
      <c r="S75" s="179" t="str">
        <f ca="1">IF(OR(RowType="Fixed State", RowType="Step1", RowType="Step2",RowType="Step3", RowType="Step4", RowType="Step5"),
  IF(RowType&lt;&gt;OFFSET(RowType, -1, 0), ID, ""), "")</f>
        <v/>
      </c>
      <c r="T75" s="157" t="str">
        <f ca="1">IFERROR(
  IF(OR(RowType="Start Conditions Header",RowType="Sequence Header"), "",
  IF(IndStart&lt;&gt;"", IndStart,
  IF(OR(AND(Auxiliar&gt;0,Auxiliar=DepID),Duration=0,Duration&lt;OFFSET(Duration,-1,0),RowType="Wait Conditions"), OFFSET(End, -1, 0),OFFSET(Start, -1, 0)))),"")</f>
        <v/>
      </c>
      <c r="U75" s="157">
        <f>IF(OR(RowType="Start Conditions",RowType="Start Conditions Header",RowType="Sequence Header"),"",
  IF(NOT(ISBLANK(CustomDuration)),CustomDuration,IF(LEN(StandardDuration)&gt;0,StandardDuration,0)))</f>
        <v>0</v>
      </c>
      <c r="V75" s="234" t="str">
        <f ca="1">IF(RowType="Start Conditions Header","",
  IF(AND(OFFSET(Duration,-1,0)&gt;Duration,RowType=OFFSET(RowType,-1,0),RowType&lt;&gt;"Wait Conditions"),OFFSET(End,-1,0),
  IF(AND(Start&lt;&gt;"",Duration&lt;&gt;""),Start+Duration,"")))</f>
        <v/>
      </c>
    </row>
    <row r="76" spans="5:22" ht="17.100000000000001" customHeight="1">
      <c r="E76" s="235">
        <f>ROW() - ROW(Sequence[[#Headers],[ID]])</f>
        <v>73</v>
      </c>
      <c r="F76" s="236" t="s">
        <v>429</v>
      </c>
      <c r="G76" s="145" t="s">
        <v>467</v>
      </c>
      <c r="H76" s="145" t="s">
        <v>172</v>
      </c>
      <c r="I76" s="145" t="s">
        <v>158</v>
      </c>
      <c r="J76" s="145" t="s">
        <v>624</v>
      </c>
      <c r="K76" s="156">
        <v>20</v>
      </c>
      <c r="L76" s="145"/>
      <c r="M76" s="157" t="str">
        <f>IF(AND(ActorType = "CylinderUnits", OR(StandardAction = "TO WORK", StandardAction = "TO HOME")), INDEX(Cylinders[Actuation Time(s)], MATCH(Actor,Cylinders[Unit Name],0)),
   IF(OR(ActorType = "CylinderUnits", ActorType = "SensorUnits"), 0, ""))</f>
        <v/>
      </c>
      <c r="N76" s="157" t="str">
        <f>IFERROR(
  IF(AND(ActorType = "CylinderUnits",Actor&lt;&gt;""), INDEX(Cylinders[MotionGroup Description], MATCH(Actor,Cylinders[Unit Name],0)),
  IF(AND(ActorType = "SensorUnits",Actor&lt;&gt;""), INDEX(Sensors[Sensor Description], MATCH(Actor,Sensors[Mechanical Unit Name],0)), "")),"Error")</f>
        <v/>
      </c>
      <c r="O76" s="141" t="str">
        <f>IFERROR(
  IF(AND(ActorType = "CylinderUnits",Actor&lt;&gt;""), INDEX(Cylinders[Cylinder Name],MATCH(Actor,Cylinders[Unit Name],0)),
  IF(AND(ActorType =    "SensorUnits",Actor&lt;&gt;""), INDEX(Sensors[Sensor Name],  MATCH(Actor,Sensors[Mechanical Unit Name],0)),"")),"Error")</f>
        <v/>
      </c>
      <c r="P76" s="141" t="str">
        <f>IFERROR(
  IF(ActorType = "CylinderUnits", INDEX(Cylinders[Valve Name], MATCH(Actor,Cylinders[Unit Name],0)), ""),"Error")</f>
        <v/>
      </c>
      <c r="Q76" s="158"/>
      <c r="R76" s="271">
        <f ca="1">IF(LEN(Auxiliar)&gt;0,Auxiliar,
  IF(OR(RowType="Start Conditions",RowType="Start Conditions Header",RowType="Sequence Header"),"",
  OFFSET(DepID,-1,0)))</f>
        <v>71</v>
      </c>
      <c r="S76" s="179" t="str">
        <f ca="1">IF(OR(RowType="Fixed State", RowType="Step1", RowType="Step2",RowType="Step3", RowType="Step4", RowType="Step5"),
  IF(RowType&lt;&gt;OFFSET(RowType, -1, 0), ID, ""), "")</f>
        <v/>
      </c>
      <c r="T76" s="157" t="str">
        <f ca="1">IFERROR(
  IF(OR(RowType="Start Conditions Header",RowType="Sequence Header"), "",
  IF(IndStart&lt;&gt;"", IndStart,
  IF(OR(AND(Auxiliar&gt;0,Auxiliar=DepID),Duration=0,Duration&lt;OFFSET(Duration,-1,0),RowType="Wait Conditions"), OFFSET(End, -1, 0),OFFSET(Start, -1, 0)))),"")</f>
        <v/>
      </c>
      <c r="U76" s="157">
        <f>IF(OR(RowType="Start Conditions",RowType="Start Conditions Header",RowType="Sequence Header"),"",
  IF(NOT(ISBLANK(CustomDuration)),CustomDuration,IF(LEN(StandardDuration)&gt;0,StandardDuration,0)))</f>
        <v>20</v>
      </c>
      <c r="V76" s="234" t="str">
        <f ca="1">IF(RowType="Start Conditions Header","",
  IF(AND(OFFSET(Duration,-1,0)&gt;Duration,RowType=OFFSET(RowType,-1,0),RowType&lt;&gt;"Wait Conditions"),OFFSET(End,-1,0),
  IF(AND(Start&lt;&gt;"",Duration&lt;&gt;""),Start+Duration,"")))</f>
        <v/>
      </c>
    </row>
    <row r="77" spans="5:22" ht="17.100000000000001" customHeight="1">
      <c r="E77" s="235">
        <f>ROW() - ROW(Sequence[[#Headers],[ID]])</f>
        <v>74</v>
      </c>
      <c r="F77" s="145" t="s">
        <v>429</v>
      </c>
      <c r="G77" s="145" t="s">
        <v>465</v>
      </c>
      <c r="H77" s="145"/>
      <c r="I77" s="145"/>
      <c r="J77" s="145" t="s">
        <v>632</v>
      </c>
      <c r="K77" s="156"/>
      <c r="L77" s="145"/>
      <c r="M77" s="157" t="str">
        <f>IF(AND(ActorType = "CylinderUnits", OR(StandardAction = "TO WORK", StandardAction = "TO HOME")), INDEX(Cylinders[Actuation Time(s)], MATCH(Actor,Cylinders[Unit Name],0)),
   IF(OR(ActorType = "CylinderUnits", ActorType = "SensorUnits"), 0, ""))</f>
        <v/>
      </c>
      <c r="N77" s="157" t="str">
        <f>IFERROR(
  IF(AND(ActorType = "CylinderUnits",Actor&lt;&gt;""), INDEX(Cylinders[MotionGroup Description], MATCH(Actor,Cylinders[Unit Name],0)),
  IF(AND(ActorType = "SensorUnits",Actor&lt;&gt;""), INDEX(Sensors[Sensor Description], MATCH(Actor,Sensors[Mechanical Unit Name],0)), "")),"Error")</f>
        <v/>
      </c>
      <c r="O77" s="141" t="str">
        <f>IFERROR(
  IF(AND(ActorType = "CylinderUnits",Actor&lt;&gt;""), INDEX(Cylinders[Cylinder Name],MATCH(Actor,Cylinders[Unit Name],0)),
  IF(AND(ActorType =    "SensorUnits",Actor&lt;&gt;""), INDEX(Sensors[Sensor Name],  MATCH(Actor,Sensors[Mechanical Unit Name],0)),"")),"Error")</f>
        <v/>
      </c>
      <c r="P77" s="141" t="str">
        <f>IFERROR(
  IF(ActorType = "CylinderUnits", INDEX(Cylinders[Valve Name], MATCH(Actor,Cylinders[Unit Name],0)), ""),"Error")</f>
        <v/>
      </c>
      <c r="Q77" s="158"/>
      <c r="R77" s="271">
        <f t="shared" ca="1" si="15"/>
        <v>71</v>
      </c>
      <c r="S77" s="179" t="str">
        <f t="shared" ca="1" si="16"/>
        <v/>
      </c>
      <c r="T77" s="157" t="str">
        <f t="shared" ca="1" si="17"/>
        <v/>
      </c>
      <c r="U77" s="157">
        <f t="shared" si="18"/>
        <v>0</v>
      </c>
      <c r="V77" s="234" t="str">
        <f t="shared" ca="1" si="19"/>
        <v/>
      </c>
    </row>
    <row r="78" spans="5:22" ht="17.100000000000001" customHeight="1">
      <c r="E78" s="235">
        <f>ROW() - ROW(Sequence[[#Headers],[ID]])</f>
        <v>75</v>
      </c>
      <c r="F78" s="145" t="s">
        <v>429</v>
      </c>
      <c r="G78" s="145" t="s">
        <v>459</v>
      </c>
      <c r="H78" s="145" t="s">
        <v>496</v>
      </c>
      <c r="I78" s="145" t="s">
        <v>534</v>
      </c>
      <c r="J78" s="145"/>
      <c r="K78" s="156"/>
      <c r="L78" s="145" t="s">
        <v>161</v>
      </c>
      <c r="M78" s="157">
        <f>IF(AND(ActorType = "CylinderUnits", OR(StandardAction = "TO WORK", StandardAction = "TO HOME")), INDEX(Cylinders[Actuation Time(s)], MATCH(Actor,Cylinders[Unit Name],0)),
   IF(OR(ActorType = "CylinderUnits", ActorType = "SensorUnits"), 0, ""))</f>
        <v>1.5</v>
      </c>
      <c r="N78" s="157" t="str">
        <f>IFERROR(
  IF(AND(ActorType = "CylinderUnits",Actor&lt;&gt;""), INDEX(Cylinders[MotionGroup Description], MATCH(Actor,Cylinders[Unit Name],0)),
  IF(AND(ActorType = "SensorUnits",Actor&lt;&gt;""), INDEX(Sensors[Sensor Description], MATCH(Actor,Sensors[Mechanical Unit Name],0)), "")),"Error")</f>
        <v>Group 4 Pins</v>
      </c>
      <c r="O78" s="141" t="str">
        <f>IFERROR(
  IF(AND(ActorType = "CylinderUnits",Actor&lt;&gt;""), INDEX(Cylinders[Cylinder Name],MATCH(Actor,Cylinders[Unit Name],0)),
  IF(AND(ActorType =    "SensorUnits",Actor&lt;&gt;""), INDEX(Sensors[Sensor Name],  MATCH(Actor,Sensors[Mechanical Unit Name],0)),"")),"Error")</f>
        <v>=MM4-MMB1</v>
      </c>
      <c r="P78" s="141" t="str">
        <f>IFERROR(
  IF(ActorType = "CylinderUnits", INDEX(Cylinders[Valve Name], MATCH(Actor,Cylinders[Unit Name],0)), ""),"Error")</f>
        <v>=KJ1-QMB4</v>
      </c>
      <c r="Q78" s="158"/>
      <c r="R78" s="271">
        <f t="shared" ca="1" si="15"/>
        <v>75</v>
      </c>
      <c r="S78" s="179">
        <f t="shared" ca="1" si="16"/>
        <v>75</v>
      </c>
      <c r="T78" s="157" t="str">
        <f t="shared" ca="1" si="17"/>
        <v/>
      </c>
      <c r="U78" s="157">
        <f t="shared" si="18"/>
        <v>1.5</v>
      </c>
      <c r="V78" s="234" t="str">
        <f t="shared" ca="1" si="19"/>
        <v/>
      </c>
    </row>
    <row r="79" spans="5:22" ht="17.100000000000001" customHeight="1">
      <c r="E79" s="235">
        <f>ROW() - ROW(Sequence[[#Headers],[ID]])</f>
        <v>76</v>
      </c>
      <c r="F79" s="145" t="s">
        <v>429</v>
      </c>
      <c r="G79" s="145" t="s">
        <v>459</v>
      </c>
      <c r="H79" s="145" t="s">
        <v>496</v>
      </c>
      <c r="I79" s="145" t="s">
        <v>547</v>
      </c>
      <c r="J79" s="145"/>
      <c r="K79" s="156"/>
      <c r="L79" s="145" t="s">
        <v>161</v>
      </c>
      <c r="M79" s="157">
        <f>IF(AND(ActorType = "CylinderUnits", OR(StandardAction = "TO WORK", StandardAction = "TO HOME")), INDEX(Cylinders[Actuation Time(s)], MATCH(Actor,Cylinders[Unit Name],0)),
   IF(OR(ActorType = "CylinderUnits", ActorType = "SensorUnits"), 0, ""))</f>
        <v>1.5</v>
      </c>
      <c r="N79" s="157" t="str">
        <f>IFERROR(
  IF(AND(ActorType = "CylinderUnits",Actor&lt;&gt;""), INDEX(Cylinders[MotionGroup Description], MATCH(Actor,Cylinders[Unit Name],0)),
  IF(AND(ActorType = "SensorUnits",Actor&lt;&gt;""), INDEX(Sensors[Sensor Description], MATCH(Actor,Sensors[Mechanical Unit Name],0)), "")),"Error")</f>
        <v>Group 4 Pins</v>
      </c>
      <c r="O79" s="141" t="str">
        <f>IFERROR(
  IF(AND(ActorType = "CylinderUnits",Actor&lt;&gt;""), INDEX(Cylinders[Cylinder Name],MATCH(Actor,Cylinders[Unit Name],0)),
  IF(AND(ActorType =    "SensorUnits",Actor&lt;&gt;""), INDEX(Sensors[Sensor Name],  MATCH(Actor,Sensors[Mechanical Unit Name],0)),"")),"Error")</f>
        <v>=MM4-MMB2</v>
      </c>
      <c r="P79" s="141" t="str">
        <f>IFERROR(
  IF(ActorType = "CylinderUnits", INDEX(Cylinders[Valve Name], MATCH(Actor,Cylinders[Unit Name],0)), ""),"Error")</f>
        <v>=KJ1-QMB4</v>
      </c>
      <c r="Q79" s="158"/>
      <c r="R79" s="271">
        <f t="shared" ca="1" si="15"/>
        <v>75</v>
      </c>
      <c r="S79" s="179" t="str">
        <f t="shared" ca="1" si="16"/>
        <v/>
      </c>
      <c r="T79" s="157" t="str">
        <f t="shared" ca="1" si="17"/>
        <v/>
      </c>
      <c r="U79" s="157">
        <f t="shared" si="18"/>
        <v>1.5</v>
      </c>
      <c r="V79" s="234" t="str">
        <f t="shared" ca="1" si="19"/>
        <v/>
      </c>
    </row>
    <row r="80" spans="5:22" ht="17.100000000000001" customHeight="1">
      <c r="E80" s="235">
        <f>ROW() - ROW(Sequence[[#Headers],[ID]])</f>
        <v>77</v>
      </c>
      <c r="F80" s="145" t="s">
        <v>429</v>
      </c>
      <c r="G80" s="145" t="s">
        <v>459</v>
      </c>
      <c r="H80" s="145" t="s">
        <v>496</v>
      </c>
      <c r="I80" s="145" t="s">
        <v>548</v>
      </c>
      <c r="J80" s="145"/>
      <c r="K80" s="156"/>
      <c r="L80" s="145" t="s">
        <v>161</v>
      </c>
      <c r="M80" s="157">
        <f>IF(AND(ActorType = "CylinderUnits", OR(StandardAction = "TO WORK", StandardAction = "TO HOME")), INDEX(Cylinders[Actuation Time(s)], MATCH(Actor,Cylinders[Unit Name],0)),
   IF(OR(ActorType = "CylinderUnits", ActorType = "SensorUnits"), 0, ""))</f>
        <v>1.5</v>
      </c>
      <c r="N80" s="157" t="str">
        <f>IFERROR(
  IF(AND(ActorType = "CylinderUnits",Actor&lt;&gt;""), INDEX(Cylinders[MotionGroup Description], MATCH(Actor,Cylinders[Unit Name],0)),
  IF(AND(ActorType = "SensorUnits",Actor&lt;&gt;""), INDEX(Sensors[Sensor Description], MATCH(Actor,Sensors[Mechanical Unit Name],0)), "")),"Error")</f>
        <v>Group 4 Pins</v>
      </c>
      <c r="O80" s="141" t="str">
        <f>IFERROR(
  IF(AND(ActorType = "CylinderUnits",Actor&lt;&gt;""), INDEX(Cylinders[Cylinder Name],MATCH(Actor,Cylinders[Unit Name],0)),
  IF(AND(ActorType =    "SensorUnits",Actor&lt;&gt;""), INDEX(Sensors[Sensor Name],  MATCH(Actor,Sensors[Mechanical Unit Name],0)),"")),"Error")</f>
        <v>=MM4-MMB3</v>
      </c>
      <c r="P80" s="141" t="str">
        <f>IFERROR(
  IF(ActorType = "CylinderUnits", INDEX(Cylinders[Valve Name], MATCH(Actor,Cylinders[Unit Name],0)), ""),"Error")</f>
        <v>=KJ1-QMB4</v>
      </c>
      <c r="Q80" s="158"/>
      <c r="R80" s="271">
        <f t="shared" ca="1" si="15"/>
        <v>75</v>
      </c>
      <c r="S80" s="179" t="str">
        <f t="shared" ca="1" si="16"/>
        <v/>
      </c>
      <c r="T80" s="157" t="str">
        <f t="shared" ca="1" si="17"/>
        <v/>
      </c>
      <c r="U80" s="157">
        <f t="shared" si="18"/>
        <v>1.5</v>
      </c>
      <c r="V80" s="234" t="str">
        <f t="shared" ca="1" si="19"/>
        <v/>
      </c>
    </row>
    <row r="81" spans="5:22" ht="17.100000000000001" customHeight="1">
      <c r="E81" s="235">
        <f>ROW() - ROW(Sequence[[#Headers],[ID]])</f>
        <v>78</v>
      </c>
      <c r="F81" s="145" t="s">
        <v>429</v>
      </c>
      <c r="G81" s="145" t="s">
        <v>459</v>
      </c>
      <c r="H81" s="145" t="s">
        <v>496</v>
      </c>
      <c r="I81" s="145" t="s">
        <v>572</v>
      </c>
      <c r="J81" s="145"/>
      <c r="K81" s="156"/>
      <c r="L81" s="145" t="s">
        <v>161</v>
      </c>
      <c r="M81" s="157">
        <f>IF(AND(ActorType = "CylinderUnits", OR(StandardAction = "TO WORK", StandardAction = "TO HOME")), INDEX(Cylinders[Actuation Time(s)], MATCH(Actor,Cylinders[Unit Name],0)),
   IF(OR(ActorType = "CylinderUnits", ActorType = "SensorUnits"), 0, ""))</f>
        <v>1.5</v>
      </c>
      <c r="N81" s="157" t="str">
        <f>IFERROR(
  IF(AND(ActorType = "CylinderUnits",Actor&lt;&gt;""), INDEX(Cylinders[MotionGroup Description], MATCH(Actor,Cylinders[Unit Name],0)),
  IF(AND(ActorType = "SensorUnits",Actor&lt;&gt;""), INDEX(Sensors[Sensor Description], MATCH(Actor,Sensors[Mechanical Unit Name],0)), "")),"Error")</f>
        <v>Group 4 Pins</v>
      </c>
      <c r="O81" s="141" t="str">
        <f>IFERROR(
  IF(AND(ActorType = "CylinderUnits",Actor&lt;&gt;""), INDEX(Cylinders[Cylinder Name],MATCH(Actor,Cylinders[Unit Name],0)),
  IF(AND(ActorType =    "SensorUnits",Actor&lt;&gt;""), INDEX(Sensors[Sensor Name],  MATCH(Actor,Sensors[Mechanical Unit Name],0)),"")),"Error")</f>
        <v>=MM4-MMB4</v>
      </c>
      <c r="P81" s="141" t="str">
        <f>IFERROR(
  IF(ActorType = "CylinderUnits", INDEX(Cylinders[Valve Name], MATCH(Actor,Cylinders[Unit Name],0)), ""),"Error")</f>
        <v>=KJ1-QMB4</v>
      </c>
      <c r="Q81" s="158"/>
      <c r="R81" s="271">
        <f t="shared" ca="1" si="15"/>
        <v>75</v>
      </c>
      <c r="S81" s="179" t="str">
        <f t="shared" ca="1" si="16"/>
        <v/>
      </c>
      <c r="T81" s="157" t="str">
        <f t="shared" ca="1" si="17"/>
        <v/>
      </c>
      <c r="U81" s="157">
        <f t="shared" si="18"/>
        <v>1.5</v>
      </c>
      <c r="V81" s="234" t="str">
        <f t="shared" ca="1" si="19"/>
        <v/>
      </c>
    </row>
    <row r="82" spans="5:22" ht="17.100000000000001" customHeight="1">
      <c r="E82" s="235">
        <f>ROW() - ROW(Sequence[[#Headers],[ID]])</f>
        <v>79</v>
      </c>
      <c r="F82" s="145" t="s">
        <v>429</v>
      </c>
      <c r="G82" s="145" t="s">
        <v>459</v>
      </c>
      <c r="H82" s="145" t="s">
        <v>496</v>
      </c>
      <c r="I82" s="145" t="s">
        <v>535</v>
      </c>
      <c r="J82" s="145"/>
      <c r="K82" s="156"/>
      <c r="L82" s="145" t="s">
        <v>161</v>
      </c>
      <c r="M82" s="157">
        <f>IF(AND(ActorType = "CylinderUnits", OR(StandardAction = "TO WORK", StandardAction = "TO HOME")), INDEX(Cylinders[Actuation Time(s)], MATCH(Actor,Cylinders[Unit Name],0)),
   IF(OR(ActorType = "CylinderUnits", ActorType = "SensorUnits"), 0, ""))</f>
        <v>1</v>
      </c>
      <c r="N82" s="157" t="str">
        <f>IFERROR(
  IF(AND(ActorType = "CylinderUnits",Actor&lt;&gt;""), INDEX(Cylinders[MotionGroup Description], MATCH(Actor,Cylinders[Unit Name],0)),
  IF(AND(ActorType = "SensorUnits",Actor&lt;&gt;""), INDEX(Sensors[Sensor Description], MATCH(Actor,Sensors[Mechanical Unit Name],0)), "")),"Error")</f>
        <v>Group 4 Pins</v>
      </c>
      <c r="O82" s="141" t="str">
        <f>IFERROR(
  IF(AND(ActorType = "CylinderUnits",Actor&lt;&gt;""), INDEX(Cylinders[Cylinder Name],MATCH(Actor,Cylinders[Unit Name],0)),
  IF(AND(ActorType =    "SensorUnits",Actor&lt;&gt;""), INDEX(Sensors[Sensor Name],  MATCH(Actor,Sensors[Mechanical Unit Name],0)),"")),"Error")</f>
        <v>=MM4-MMB5</v>
      </c>
      <c r="P82" s="141" t="str">
        <f>IFERROR(
  IF(ActorType = "CylinderUnits", INDEX(Cylinders[Valve Name], MATCH(Actor,Cylinders[Unit Name],0)), ""),"Error")</f>
        <v>=KJ1-QMB4</v>
      </c>
      <c r="Q82" s="158"/>
      <c r="R82" s="271">
        <f t="shared" ca="1" si="15"/>
        <v>75</v>
      </c>
      <c r="S82" s="179" t="str">
        <f t="shared" ca="1" si="16"/>
        <v/>
      </c>
      <c r="T82" s="157" t="str">
        <f t="shared" ca="1" si="17"/>
        <v/>
      </c>
      <c r="U82" s="157">
        <f t="shared" si="18"/>
        <v>1</v>
      </c>
      <c r="V82" s="234" t="str">
        <f t="shared" ca="1" si="19"/>
        <v/>
      </c>
    </row>
    <row r="83" spans="5:22" ht="17.100000000000001" customHeight="1">
      <c r="E83" s="235">
        <f>ROW() - ROW(Sequence[[#Headers],[ID]])</f>
        <v>80</v>
      </c>
      <c r="F83" s="145" t="s">
        <v>429</v>
      </c>
      <c r="G83" s="145" t="s">
        <v>459</v>
      </c>
      <c r="H83" s="145" t="s">
        <v>496</v>
      </c>
      <c r="I83" s="145" t="s">
        <v>595</v>
      </c>
      <c r="J83" s="145"/>
      <c r="K83" s="156"/>
      <c r="L83" s="145" t="s">
        <v>161</v>
      </c>
      <c r="M83" s="157">
        <f>IF(AND(ActorType = "CylinderUnits", OR(StandardAction = "TO WORK", StandardAction = "TO HOME")), INDEX(Cylinders[Actuation Time(s)], MATCH(Actor,Cylinders[Unit Name],0)),
   IF(OR(ActorType = "CylinderUnits", ActorType = "SensorUnits"), 0, ""))</f>
        <v>1</v>
      </c>
      <c r="N83" s="157" t="str">
        <f>IFERROR(
  IF(AND(ActorType = "CylinderUnits",Actor&lt;&gt;""), INDEX(Cylinders[MotionGroup Description], MATCH(Actor,Cylinders[Unit Name],0)),
  IF(AND(ActorType = "SensorUnits",Actor&lt;&gt;""), INDEX(Sensors[Sensor Description], MATCH(Actor,Sensors[Mechanical Unit Name],0)), "")),"Error")</f>
        <v>Group 4 Pins</v>
      </c>
      <c r="O83" s="141" t="str">
        <f>IFERROR(
  IF(AND(ActorType = "CylinderUnits",Actor&lt;&gt;""), INDEX(Cylinders[Cylinder Name],MATCH(Actor,Cylinders[Unit Name],0)),
  IF(AND(ActorType =    "SensorUnits",Actor&lt;&gt;""), INDEX(Sensors[Sensor Name],  MATCH(Actor,Sensors[Mechanical Unit Name],0)),"")),"Error")</f>
        <v>=MM4-MMB6</v>
      </c>
      <c r="P83" s="141" t="str">
        <f>IFERROR(
  IF(ActorType = "CylinderUnits", INDEX(Cylinders[Valve Name], MATCH(Actor,Cylinders[Unit Name],0)), ""),"Error")</f>
        <v>=KJ1-QMB4</v>
      </c>
      <c r="Q83" s="158"/>
      <c r="R83" s="271">
        <f t="shared" ca="1" si="15"/>
        <v>75</v>
      </c>
      <c r="S83" s="179" t="str">
        <f t="shared" ca="1" si="16"/>
        <v/>
      </c>
      <c r="T83" s="157" t="str">
        <f t="shared" ca="1" si="17"/>
        <v/>
      </c>
      <c r="U83" s="157">
        <f t="shared" si="18"/>
        <v>1</v>
      </c>
      <c r="V83" s="234" t="str">
        <f t="shared" ca="1" si="19"/>
        <v/>
      </c>
    </row>
    <row r="84" spans="5:22" ht="17.100000000000001" customHeight="1">
      <c r="E84" s="235">
        <f>ROW() - ROW(Sequence[[#Headers],[ID]])</f>
        <v>81</v>
      </c>
      <c r="F84" s="145" t="s">
        <v>429</v>
      </c>
      <c r="G84" s="145" t="s">
        <v>460</v>
      </c>
      <c r="H84" s="145" t="s">
        <v>496</v>
      </c>
      <c r="I84" s="236" t="s">
        <v>522</v>
      </c>
      <c r="J84" s="145"/>
      <c r="K84" s="156"/>
      <c r="L84" s="145" t="s">
        <v>161</v>
      </c>
      <c r="M84" s="157">
        <f>IF(AND(ActorType = "CylinderUnits", OR(StandardAction = "TO WORK", StandardAction = "TO HOME")), INDEX(Cylinders[Actuation Time(s)], MATCH(Actor,Cylinders[Unit Name],0)),
   IF(OR(ActorType = "CylinderUnits", ActorType = "SensorUnits"), 0, ""))</f>
        <v>1</v>
      </c>
      <c r="N84" s="157" t="str">
        <f>IFERROR(
  IF(AND(ActorType = "CylinderUnits",Actor&lt;&gt;""), INDEX(Cylinders[MotionGroup Description], MATCH(Actor,Cylinders[Unit Name],0)),
  IF(AND(ActorType = "SensorUnits",Actor&lt;&gt;""), INDEX(Sensors[Sensor Description], MATCH(Actor,Sensors[Mechanical Unit Name],0)), "")),"Error")</f>
        <v>Group 1 Clamps</v>
      </c>
      <c r="O84" s="141" t="str">
        <f>IFERROR(
  IF(AND(ActorType = "CylinderUnits",Actor&lt;&gt;""), INDEX(Cylinders[Cylinder Name],MATCH(Actor,Cylinders[Unit Name],0)),
  IF(AND(ActorType =    "SensorUnits",Actor&lt;&gt;""), INDEX(Sensors[Sensor Name],  MATCH(Actor,Sensors[Mechanical Unit Name],0)),"")),"Error")</f>
        <v>=MM1-MMB1</v>
      </c>
      <c r="P84" s="141" t="str">
        <f>IFERROR(
  IF(ActorType = "CylinderUnits", INDEX(Cylinders[Valve Name], MATCH(Actor,Cylinders[Unit Name],0)), ""),"Error")</f>
        <v>=KJ1-QMB1</v>
      </c>
      <c r="Q84" s="158"/>
      <c r="R84" s="271">
        <f t="shared" ca="1" si="15"/>
        <v>81</v>
      </c>
      <c r="S84" s="179">
        <f t="shared" ca="1" si="16"/>
        <v>81</v>
      </c>
      <c r="T84" s="157" t="str">
        <f t="shared" ca="1" si="17"/>
        <v/>
      </c>
      <c r="U84" s="157">
        <f t="shared" si="18"/>
        <v>1</v>
      </c>
      <c r="V84" s="234" t="str">
        <f t="shared" ca="1" si="19"/>
        <v/>
      </c>
    </row>
    <row r="85" spans="5:22" ht="17.100000000000001" customHeight="1">
      <c r="E85" s="235">
        <f>ROW() - ROW(Sequence[[#Headers],[ID]])</f>
        <v>82</v>
      </c>
      <c r="F85" s="145" t="s">
        <v>429</v>
      </c>
      <c r="G85" s="145" t="s">
        <v>460</v>
      </c>
      <c r="H85" s="145" t="s">
        <v>496</v>
      </c>
      <c r="I85" s="236" t="s">
        <v>523</v>
      </c>
      <c r="J85" s="145"/>
      <c r="K85" s="156"/>
      <c r="L85" s="145" t="s">
        <v>161</v>
      </c>
      <c r="M85" s="157">
        <f>IF(AND(ActorType = "CylinderUnits", OR(StandardAction = "TO WORK", StandardAction = "TO HOME")), INDEX(Cylinders[Actuation Time(s)], MATCH(Actor,Cylinders[Unit Name],0)),
   IF(OR(ActorType = "CylinderUnits", ActorType = "SensorUnits"), 0, ""))</f>
        <v>1</v>
      </c>
      <c r="N85" s="157" t="str">
        <f>IFERROR(
  IF(AND(ActorType = "CylinderUnits",Actor&lt;&gt;""), INDEX(Cylinders[MotionGroup Description], MATCH(Actor,Cylinders[Unit Name],0)),
  IF(AND(ActorType = "SensorUnits",Actor&lt;&gt;""), INDEX(Sensors[Sensor Description], MATCH(Actor,Sensors[Mechanical Unit Name],0)), "")),"Error")</f>
        <v>Group 1 Clamps</v>
      </c>
      <c r="O85" s="141" t="str">
        <f>IFERROR(
  IF(AND(ActorType = "CylinderUnits",Actor&lt;&gt;""), INDEX(Cylinders[Cylinder Name],MATCH(Actor,Cylinders[Unit Name],0)),
  IF(AND(ActorType =    "SensorUnits",Actor&lt;&gt;""), INDEX(Sensors[Sensor Name],  MATCH(Actor,Sensors[Mechanical Unit Name],0)),"")),"Error")</f>
        <v>=MM1-MMB2</v>
      </c>
      <c r="P85" s="141" t="str">
        <f>IFERROR(
  IF(ActorType = "CylinderUnits", INDEX(Cylinders[Valve Name], MATCH(Actor,Cylinders[Unit Name],0)), ""),"Error")</f>
        <v>=KJ1-QMB1</v>
      </c>
      <c r="Q85" s="158"/>
      <c r="R85" s="271">
        <f t="shared" ca="1" si="15"/>
        <v>81</v>
      </c>
      <c r="S85" s="179" t="str">
        <f t="shared" ca="1" si="16"/>
        <v/>
      </c>
      <c r="T85" s="157" t="str">
        <f t="shared" ca="1" si="17"/>
        <v/>
      </c>
      <c r="U85" s="157">
        <f t="shared" si="18"/>
        <v>1</v>
      </c>
      <c r="V85" s="234" t="str">
        <f t="shared" ca="1" si="19"/>
        <v/>
      </c>
    </row>
    <row r="86" spans="5:22" ht="17.100000000000001" customHeight="1">
      <c r="E86" s="235">
        <f>ROW() - ROW(Sequence[[#Headers],[ID]])</f>
        <v>83</v>
      </c>
      <c r="F86" s="145" t="s">
        <v>429</v>
      </c>
      <c r="G86" s="145" t="s">
        <v>460</v>
      </c>
      <c r="H86" s="145" t="s">
        <v>496</v>
      </c>
      <c r="I86" s="236" t="s">
        <v>524</v>
      </c>
      <c r="J86" s="145"/>
      <c r="K86" s="156"/>
      <c r="L86" s="145" t="s">
        <v>161</v>
      </c>
      <c r="M86" s="157">
        <f>IF(AND(ActorType = "CylinderUnits", OR(StandardAction = "TO WORK", StandardAction = "TO HOME")), INDEX(Cylinders[Actuation Time(s)], MATCH(Actor,Cylinders[Unit Name],0)),
   IF(OR(ActorType = "CylinderUnits", ActorType = "SensorUnits"), 0, ""))</f>
        <v>1.5</v>
      </c>
      <c r="N86" s="157" t="str">
        <f>IFERROR(
  IF(AND(ActorType = "CylinderUnits",Actor&lt;&gt;""), INDEX(Cylinders[MotionGroup Description], MATCH(Actor,Cylinders[Unit Name],0)),
  IF(AND(ActorType = "SensorUnits",Actor&lt;&gt;""), INDEX(Sensors[Sensor Description], MATCH(Actor,Sensors[Mechanical Unit Name],0)), "")),"Error")</f>
        <v>Group 1 Clamps</v>
      </c>
      <c r="O86" s="141" t="str">
        <f>IFERROR(
  IF(AND(ActorType = "CylinderUnits",Actor&lt;&gt;""), INDEX(Cylinders[Cylinder Name],MATCH(Actor,Cylinders[Unit Name],0)),
  IF(AND(ActorType =    "SensorUnits",Actor&lt;&gt;""), INDEX(Sensors[Sensor Name],  MATCH(Actor,Sensors[Mechanical Unit Name],0)),"")),"Error")</f>
        <v>=MM1-MMB3</v>
      </c>
      <c r="P86" s="141" t="str">
        <f>IFERROR(
  IF(ActorType = "CylinderUnits", INDEX(Cylinders[Valve Name], MATCH(Actor,Cylinders[Unit Name],0)), ""),"Error")</f>
        <v>=KJ1-QMB1</v>
      </c>
      <c r="Q86" s="158"/>
      <c r="R86" s="271">
        <f t="shared" ca="1" si="15"/>
        <v>81</v>
      </c>
      <c r="S86" s="179" t="str">
        <f t="shared" ca="1" si="16"/>
        <v/>
      </c>
      <c r="T86" s="157" t="str">
        <f t="shared" ca="1" si="17"/>
        <v/>
      </c>
      <c r="U86" s="157">
        <f t="shared" si="18"/>
        <v>1.5</v>
      </c>
      <c r="V86" s="234" t="str">
        <f t="shared" ca="1" si="19"/>
        <v/>
      </c>
    </row>
    <row r="87" spans="5:22" ht="17.100000000000001" customHeight="1">
      <c r="E87" s="235">
        <f>ROW() - ROW(Sequence[[#Headers],[ID]])</f>
        <v>84</v>
      </c>
      <c r="F87" s="145" t="s">
        <v>429</v>
      </c>
      <c r="G87" s="145" t="s">
        <v>460</v>
      </c>
      <c r="H87" s="145" t="s">
        <v>496</v>
      </c>
      <c r="I87" s="145" t="s">
        <v>519</v>
      </c>
      <c r="J87" s="145"/>
      <c r="K87" s="156"/>
      <c r="L87" s="145" t="s">
        <v>161</v>
      </c>
      <c r="M87" s="157">
        <f>IF(AND(ActorType = "CylinderUnits", OR(StandardAction = "TO WORK", StandardAction = "TO HOME")), INDEX(Cylinders[Actuation Time(s)], MATCH(Actor,Cylinders[Unit Name],0)),
   IF(OR(ActorType = "CylinderUnits", ActorType = "SensorUnits"), 0, ""))</f>
        <v>1.5</v>
      </c>
      <c r="N87" s="157" t="str">
        <f>IFERROR(
  IF(AND(ActorType = "CylinderUnits",Actor&lt;&gt;""), INDEX(Cylinders[MotionGroup Description], MATCH(Actor,Cylinders[Unit Name],0)),
  IF(AND(ActorType = "SensorUnits",Actor&lt;&gt;""), INDEX(Sensors[Sensor Description], MATCH(Actor,Sensors[Mechanical Unit Name],0)), "")),"Error")</f>
        <v>Group 1 Clamps</v>
      </c>
      <c r="O87" s="141" t="str">
        <f>IFERROR(
  IF(AND(ActorType = "CylinderUnits",Actor&lt;&gt;""), INDEX(Cylinders[Cylinder Name],MATCH(Actor,Cylinders[Unit Name],0)),
  IF(AND(ActorType =    "SensorUnits",Actor&lt;&gt;""), INDEX(Sensors[Sensor Name],  MATCH(Actor,Sensors[Mechanical Unit Name],0)),"")),"Error")</f>
        <v>=MM1-MMB4</v>
      </c>
      <c r="P87" s="141" t="str">
        <f>IFERROR(
  IF(ActorType = "CylinderUnits", INDEX(Cylinders[Valve Name], MATCH(Actor,Cylinders[Unit Name],0)), ""),"Error")</f>
        <v>=KJ1-QMB1</v>
      </c>
      <c r="Q87" s="158"/>
      <c r="R87" s="271">
        <f t="shared" ca="1" si="15"/>
        <v>81</v>
      </c>
      <c r="S87" s="179" t="str">
        <f t="shared" ca="1" si="16"/>
        <v/>
      </c>
      <c r="T87" s="157" t="str">
        <f t="shared" ca="1" si="17"/>
        <v/>
      </c>
      <c r="U87" s="157">
        <f t="shared" si="18"/>
        <v>1.5</v>
      </c>
      <c r="V87" s="234" t="str">
        <f t="shared" ca="1" si="19"/>
        <v/>
      </c>
    </row>
    <row r="88" spans="5:22" ht="17.100000000000001" customHeight="1">
      <c r="E88" s="235">
        <f>ROW() - ROW(Sequence[[#Headers],[ID]])</f>
        <v>85</v>
      </c>
      <c r="F88" s="145" t="s">
        <v>429</v>
      </c>
      <c r="G88" s="145" t="s">
        <v>460</v>
      </c>
      <c r="H88" s="145" t="s">
        <v>496</v>
      </c>
      <c r="I88" s="145" t="s">
        <v>525</v>
      </c>
      <c r="J88" s="145"/>
      <c r="K88" s="156"/>
      <c r="L88" s="145" t="s">
        <v>161</v>
      </c>
      <c r="M88" s="157">
        <f>IF(AND(ActorType = "CylinderUnits", OR(StandardAction = "TO WORK", StandardAction = "TO HOME")), INDEX(Cylinders[Actuation Time(s)], MATCH(Actor,Cylinders[Unit Name],0)),
   IF(OR(ActorType = "CylinderUnits", ActorType = "SensorUnits"), 0, ""))</f>
        <v>1.5</v>
      </c>
      <c r="N88" s="157" t="str">
        <f>IFERROR(
  IF(AND(ActorType = "CylinderUnits",Actor&lt;&gt;""), INDEX(Cylinders[MotionGroup Description], MATCH(Actor,Cylinders[Unit Name],0)),
  IF(AND(ActorType = "SensorUnits",Actor&lt;&gt;""), INDEX(Sensors[Sensor Description], MATCH(Actor,Sensors[Mechanical Unit Name],0)), "")),"Error")</f>
        <v>Group 1 Clamps</v>
      </c>
      <c r="O88" s="141" t="str">
        <f>IFERROR(
  IF(AND(ActorType = "CylinderUnits",Actor&lt;&gt;""), INDEX(Cylinders[Cylinder Name],MATCH(Actor,Cylinders[Unit Name],0)),
  IF(AND(ActorType =    "SensorUnits",Actor&lt;&gt;""), INDEX(Sensors[Sensor Name],  MATCH(Actor,Sensors[Mechanical Unit Name],0)),"")),"Error")</f>
        <v>=MM1-MMB5</v>
      </c>
      <c r="P88" s="141" t="str">
        <f>IFERROR(
  IF(ActorType = "CylinderUnits", INDEX(Cylinders[Valve Name], MATCH(Actor,Cylinders[Unit Name],0)), ""),"Error")</f>
        <v>=KJ1-QMB1</v>
      </c>
      <c r="Q88" s="158"/>
      <c r="R88" s="271">
        <f t="shared" ca="1" si="15"/>
        <v>81</v>
      </c>
      <c r="S88" s="179" t="str">
        <f t="shared" ca="1" si="16"/>
        <v/>
      </c>
      <c r="T88" s="157" t="str">
        <f t="shared" ca="1" si="17"/>
        <v/>
      </c>
      <c r="U88" s="157">
        <f t="shared" si="18"/>
        <v>1.5</v>
      </c>
      <c r="V88" s="234" t="str">
        <f t="shared" ca="1" si="19"/>
        <v/>
      </c>
    </row>
    <row r="89" spans="5:22" ht="17.100000000000001" customHeight="1">
      <c r="E89" s="235">
        <f>ROW() - ROW(Sequence[[#Headers],[ID]])</f>
        <v>86</v>
      </c>
      <c r="F89" s="145" t="s">
        <v>429</v>
      </c>
      <c r="G89" s="145" t="s">
        <v>460</v>
      </c>
      <c r="H89" s="145" t="s">
        <v>496</v>
      </c>
      <c r="I89" s="145" t="s">
        <v>526</v>
      </c>
      <c r="J89" s="145"/>
      <c r="K89" s="156"/>
      <c r="L89" s="145" t="s">
        <v>161</v>
      </c>
      <c r="M89" s="157">
        <f>IF(AND(ActorType = "CylinderUnits", OR(StandardAction = "TO WORK", StandardAction = "TO HOME")), INDEX(Cylinders[Actuation Time(s)], MATCH(Actor,Cylinders[Unit Name],0)),
   IF(OR(ActorType = "CylinderUnits", ActorType = "SensorUnits"), 0, ""))</f>
        <v>1.5</v>
      </c>
      <c r="N89" s="157" t="str">
        <f>IFERROR(
  IF(AND(ActorType = "CylinderUnits",Actor&lt;&gt;""), INDEX(Cylinders[MotionGroup Description], MATCH(Actor,Cylinders[Unit Name],0)),
  IF(AND(ActorType = "SensorUnits",Actor&lt;&gt;""), INDEX(Sensors[Sensor Description], MATCH(Actor,Sensors[Mechanical Unit Name],0)), "")),"Error")</f>
        <v>Group 1 Clamps</v>
      </c>
      <c r="O89" s="141" t="str">
        <f>IFERROR(
  IF(AND(ActorType = "CylinderUnits",Actor&lt;&gt;""), INDEX(Cylinders[Cylinder Name],MATCH(Actor,Cylinders[Unit Name],0)),
  IF(AND(ActorType =    "SensorUnits",Actor&lt;&gt;""), INDEX(Sensors[Sensor Name],  MATCH(Actor,Sensors[Mechanical Unit Name],0)),"")),"Error")</f>
        <v>=MM1-MMB6</v>
      </c>
      <c r="P89" s="141" t="str">
        <f>IFERROR(
  IF(ActorType = "CylinderUnits", INDEX(Cylinders[Valve Name], MATCH(Actor,Cylinders[Unit Name],0)), ""),"Error")</f>
        <v>=KJ1-QMB1</v>
      </c>
      <c r="Q89" s="158"/>
      <c r="R89" s="271">
        <f t="shared" ca="1" si="15"/>
        <v>81</v>
      </c>
      <c r="S89" s="179" t="str">
        <f t="shared" ca="1" si="16"/>
        <v/>
      </c>
      <c r="T89" s="157" t="str">
        <f t="shared" ca="1" si="17"/>
        <v/>
      </c>
      <c r="U89" s="157">
        <f t="shared" si="18"/>
        <v>1.5</v>
      </c>
      <c r="V89" s="234" t="str">
        <f t="shared" ca="1" si="19"/>
        <v/>
      </c>
    </row>
    <row r="90" spans="5:22" ht="17.100000000000001" customHeight="1">
      <c r="E90" s="235">
        <f>ROW() - ROW(Sequence[[#Headers],[ID]])</f>
        <v>87</v>
      </c>
      <c r="F90" s="145" t="s">
        <v>429</v>
      </c>
      <c r="G90" s="145" t="s">
        <v>460</v>
      </c>
      <c r="H90" s="145" t="s">
        <v>496</v>
      </c>
      <c r="I90" s="145" t="s">
        <v>542</v>
      </c>
      <c r="J90" s="145"/>
      <c r="K90" s="156"/>
      <c r="L90" s="145" t="s">
        <v>161</v>
      </c>
      <c r="M90" s="157">
        <f>IF(AND(ActorType = "CylinderUnits", OR(StandardAction = "TO WORK", StandardAction = "TO HOME")), INDEX(Cylinders[Actuation Time(s)], MATCH(Actor,Cylinders[Unit Name],0)),
   IF(OR(ActorType = "CylinderUnits", ActorType = "SensorUnits"), 0, ""))</f>
        <v>1.5</v>
      </c>
      <c r="N90" s="157" t="str">
        <f>IFERROR(
  IF(AND(ActorType = "CylinderUnits",Actor&lt;&gt;""), INDEX(Cylinders[MotionGroup Description], MATCH(Actor,Cylinders[Unit Name],0)),
  IF(AND(ActorType = "SensorUnits",Actor&lt;&gt;""), INDEX(Sensors[Sensor Description], MATCH(Actor,Sensors[Mechanical Unit Name],0)), "")),"Error")</f>
        <v>Group 1 Clamps</v>
      </c>
      <c r="O90" s="141" t="str">
        <f>IFERROR(
  IF(AND(ActorType = "CylinderUnits",Actor&lt;&gt;""), INDEX(Cylinders[Cylinder Name],MATCH(Actor,Cylinders[Unit Name],0)),
  IF(AND(ActorType =    "SensorUnits",Actor&lt;&gt;""), INDEX(Sensors[Sensor Name],  MATCH(Actor,Sensors[Mechanical Unit Name],0)),"")),"Error")</f>
        <v>=MM1-MMB7</v>
      </c>
      <c r="P90" s="141" t="str">
        <f>IFERROR(
  IF(ActorType = "CylinderUnits", INDEX(Cylinders[Valve Name], MATCH(Actor,Cylinders[Unit Name],0)), ""),"Error")</f>
        <v>=KJ1-QMB1</v>
      </c>
      <c r="Q90" s="158"/>
      <c r="R90" s="271">
        <f t="shared" ca="1" si="15"/>
        <v>81</v>
      </c>
      <c r="S90" s="179" t="str">
        <f t="shared" ca="1" si="16"/>
        <v/>
      </c>
      <c r="T90" s="157" t="str">
        <f t="shared" ca="1" si="17"/>
        <v/>
      </c>
      <c r="U90" s="157">
        <f t="shared" si="18"/>
        <v>1.5</v>
      </c>
      <c r="V90" s="234" t="str">
        <f t="shared" ca="1" si="19"/>
        <v/>
      </c>
    </row>
    <row r="91" spans="5:22" ht="17.100000000000001" customHeight="1">
      <c r="E91" s="235">
        <f>ROW() - ROW(Sequence[[#Headers],[ID]])</f>
        <v>88</v>
      </c>
      <c r="F91" s="145" t="s">
        <v>429</v>
      </c>
      <c r="G91" s="145" t="s">
        <v>460</v>
      </c>
      <c r="H91" s="145" t="s">
        <v>496</v>
      </c>
      <c r="I91" s="145" t="s">
        <v>543</v>
      </c>
      <c r="J91" s="145"/>
      <c r="K91" s="156"/>
      <c r="L91" s="145" t="s">
        <v>161</v>
      </c>
      <c r="M91" s="157">
        <f>IF(AND(ActorType = "CylinderUnits", OR(StandardAction = "TO WORK", StandardAction = "TO HOME")), INDEX(Cylinders[Actuation Time(s)], MATCH(Actor,Cylinders[Unit Name],0)),
   IF(OR(ActorType = "CylinderUnits", ActorType = "SensorUnits"), 0, ""))</f>
        <v>1.5</v>
      </c>
      <c r="N91" s="157" t="str">
        <f>IFERROR(
  IF(AND(ActorType = "CylinderUnits",Actor&lt;&gt;""), INDEX(Cylinders[MotionGroup Description], MATCH(Actor,Cylinders[Unit Name],0)),
  IF(AND(ActorType = "SensorUnits",Actor&lt;&gt;""), INDEX(Sensors[Sensor Description], MATCH(Actor,Sensors[Mechanical Unit Name],0)), "")),"Error")</f>
        <v>Group 1 Clamps</v>
      </c>
      <c r="O91" s="141" t="str">
        <f>IFERROR(
  IF(AND(ActorType = "CylinderUnits",Actor&lt;&gt;""), INDEX(Cylinders[Cylinder Name],MATCH(Actor,Cylinders[Unit Name],0)),
  IF(AND(ActorType =    "SensorUnits",Actor&lt;&gt;""), INDEX(Sensors[Sensor Name],  MATCH(Actor,Sensors[Mechanical Unit Name],0)),"")),"Error")</f>
        <v>=MM1-MMB8</v>
      </c>
      <c r="P91" s="141" t="str">
        <f>IFERROR(
  IF(ActorType = "CylinderUnits", INDEX(Cylinders[Valve Name], MATCH(Actor,Cylinders[Unit Name],0)), ""),"Error")</f>
        <v>=KJ1-QMB1</v>
      </c>
      <c r="Q91" s="158"/>
      <c r="R91" s="271">
        <f t="shared" ca="1" si="15"/>
        <v>81</v>
      </c>
      <c r="S91" s="179" t="str">
        <f t="shared" ca="1" si="16"/>
        <v/>
      </c>
      <c r="T91" s="157" t="str">
        <f t="shared" ca="1" si="17"/>
        <v/>
      </c>
      <c r="U91" s="157">
        <f t="shared" si="18"/>
        <v>1.5</v>
      </c>
      <c r="V91" s="234" t="str">
        <f t="shared" ca="1" si="19"/>
        <v/>
      </c>
    </row>
    <row r="92" spans="5:22" ht="17.100000000000001" customHeight="1">
      <c r="E92" s="235">
        <f>ROW() - ROW(Sequence[[#Headers],[ID]])</f>
        <v>89</v>
      </c>
      <c r="F92" s="145" t="s">
        <v>429</v>
      </c>
      <c r="G92" s="145" t="s">
        <v>460</v>
      </c>
      <c r="H92" s="145" t="s">
        <v>496</v>
      </c>
      <c r="I92" s="236" t="s">
        <v>527</v>
      </c>
      <c r="J92" s="145"/>
      <c r="K92" s="156"/>
      <c r="L92" s="145" t="s">
        <v>161</v>
      </c>
      <c r="M92" s="157">
        <f>IF(AND(ActorType = "CylinderUnits", OR(StandardAction = "TO WORK", StandardAction = "TO HOME")), INDEX(Cylinders[Actuation Time(s)], MATCH(Actor,Cylinders[Unit Name],0)),
   IF(OR(ActorType = "CylinderUnits", ActorType = "SensorUnits"), 0, ""))</f>
        <v>1.5</v>
      </c>
      <c r="N92" s="157" t="str">
        <f>IFERROR(
  IF(AND(ActorType = "CylinderUnits",Actor&lt;&gt;""), INDEX(Cylinders[MotionGroup Description], MATCH(Actor,Cylinders[Unit Name],0)),
  IF(AND(ActorType = "SensorUnits",Actor&lt;&gt;""), INDEX(Sensors[Sensor Description], MATCH(Actor,Sensors[Mechanical Unit Name],0)), "")),"Error")</f>
        <v>Group 2 Clamps</v>
      </c>
      <c r="O92" s="141" t="str">
        <f>IFERROR(
  IF(AND(ActorType = "CylinderUnits",Actor&lt;&gt;""), INDEX(Cylinders[Cylinder Name],MATCH(Actor,Cylinders[Unit Name],0)),
  IF(AND(ActorType =    "SensorUnits",Actor&lt;&gt;""), INDEX(Sensors[Sensor Name],  MATCH(Actor,Sensors[Mechanical Unit Name],0)),"")),"Error")</f>
        <v>=MM2-MMB1</v>
      </c>
      <c r="P92" s="141" t="str">
        <f>IFERROR(
  IF(ActorType = "CylinderUnits", INDEX(Cylinders[Valve Name], MATCH(Actor,Cylinders[Unit Name],0)), ""),"Error")</f>
        <v>=KJ1-QMB2</v>
      </c>
      <c r="Q92" s="158"/>
      <c r="R92" s="271">
        <f t="shared" ca="1" si="15"/>
        <v>81</v>
      </c>
      <c r="S92" s="179" t="str">
        <f t="shared" ca="1" si="16"/>
        <v/>
      </c>
      <c r="T92" s="157" t="str">
        <f t="shared" ca="1" si="17"/>
        <v/>
      </c>
      <c r="U92" s="157">
        <f t="shared" si="18"/>
        <v>1.5</v>
      </c>
      <c r="V92" s="234" t="str">
        <f t="shared" ca="1" si="19"/>
        <v/>
      </c>
    </row>
    <row r="93" spans="5:22" ht="17.100000000000001" customHeight="1">
      <c r="E93" s="235">
        <f>ROW() - ROW(Sequence[[#Headers],[ID]])</f>
        <v>90</v>
      </c>
      <c r="F93" s="145" t="s">
        <v>429</v>
      </c>
      <c r="G93" s="145" t="s">
        <v>460</v>
      </c>
      <c r="H93" s="145" t="s">
        <v>496</v>
      </c>
      <c r="I93" s="236" t="s">
        <v>528</v>
      </c>
      <c r="J93" s="145"/>
      <c r="K93" s="156"/>
      <c r="L93" s="145" t="s">
        <v>161</v>
      </c>
      <c r="M93" s="157">
        <f>IF(AND(ActorType = "CylinderUnits", OR(StandardAction = "TO WORK", StandardAction = "TO HOME")), INDEX(Cylinders[Actuation Time(s)], MATCH(Actor,Cylinders[Unit Name],0)),
   IF(OR(ActorType = "CylinderUnits", ActorType = "SensorUnits"), 0, ""))</f>
        <v>1.5</v>
      </c>
      <c r="N93" s="157" t="str">
        <f>IFERROR(
  IF(AND(ActorType = "CylinderUnits",Actor&lt;&gt;""), INDEX(Cylinders[MotionGroup Description], MATCH(Actor,Cylinders[Unit Name],0)),
  IF(AND(ActorType = "SensorUnits",Actor&lt;&gt;""), INDEX(Sensors[Sensor Description], MATCH(Actor,Sensors[Mechanical Unit Name],0)), "")),"Error")</f>
        <v>Group 2 Clamps</v>
      </c>
      <c r="O93" s="141" t="str">
        <f>IFERROR(
  IF(AND(ActorType = "CylinderUnits",Actor&lt;&gt;""), INDEX(Cylinders[Cylinder Name],MATCH(Actor,Cylinders[Unit Name],0)),
  IF(AND(ActorType =    "SensorUnits",Actor&lt;&gt;""), INDEX(Sensors[Sensor Name],  MATCH(Actor,Sensors[Mechanical Unit Name],0)),"")),"Error")</f>
        <v>=MM2-MMB2</v>
      </c>
      <c r="P93" s="141" t="str">
        <f>IFERROR(
  IF(ActorType = "CylinderUnits", INDEX(Cylinders[Valve Name], MATCH(Actor,Cylinders[Unit Name],0)), ""),"Error")</f>
        <v>=KJ1-QMB2</v>
      </c>
      <c r="Q93" s="158"/>
      <c r="R93" s="271">
        <f t="shared" ca="1" si="15"/>
        <v>81</v>
      </c>
      <c r="S93" s="179" t="str">
        <f t="shared" ca="1" si="16"/>
        <v/>
      </c>
      <c r="T93" s="157" t="str">
        <f t="shared" ca="1" si="17"/>
        <v/>
      </c>
      <c r="U93" s="157">
        <f t="shared" si="18"/>
        <v>1.5</v>
      </c>
      <c r="V93" s="234" t="str">
        <f t="shared" ca="1" si="19"/>
        <v/>
      </c>
    </row>
    <row r="94" spans="5:22" ht="17.100000000000001" customHeight="1">
      <c r="E94" s="235">
        <f>ROW() - ROW(Sequence[[#Headers],[ID]])</f>
        <v>91</v>
      </c>
      <c r="F94" s="145" t="s">
        <v>429</v>
      </c>
      <c r="G94" s="145" t="s">
        <v>460</v>
      </c>
      <c r="H94" s="145" t="s">
        <v>496</v>
      </c>
      <c r="I94" s="236" t="s">
        <v>529</v>
      </c>
      <c r="J94" s="145"/>
      <c r="K94" s="156"/>
      <c r="L94" s="145" t="s">
        <v>161</v>
      </c>
      <c r="M94" s="157">
        <f>IF(AND(ActorType = "CylinderUnits", OR(StandardAction = "TO WORK", StandardAction = "TO HOME")), INDEX(Cylinders[Actuation Time(s)], MATCH(Actor,Cylinders[Unit Name],0)),
   IF(OR(ActorType = "CylinderUnits", ActorType = "SensorUnits"), 0, ""))</f>
        <v>1.5</v>
      </c>
      <c r="N94" s="157" t="str">
        <f>IFERROR(
  IF(AND(ActorType = "CylinderUnits",Actor&lt;&gt;""), INDEX(Cylinders[MotionGroup Description], MATCH(Actor,Cylinders[Unit Name],0)),
  IF(AND(ActorType = "SensorUnits",Actor&lt;&gt;""), INDEX(Sensors[Sensor Description], MATCH(Actor,Sensors[Mechanical Unit Name],0)), "")),"Error")</f>
        <v>Group 3 Clamps</v>
      </c>
      <c r="O94" s="141" t="str">
        <f>IFERROR(
  IF(AND(ActorType = "CylinderUnits",Actor&lt;&gt;""), INDEX(Cylinders[Cylinder Name],MATCH(Actor,Cylinders[Unit Name],0)),
  IF(AND(ActorType =    "SensorUnits",Actor&lt;&gt;""), INDEX(Sensors[Sensor Name],  MATCH(Actor,Sensors[Mechanical Unit Name],0)),"")),"Error")</f>
        <v>=MM3-MMB1</v>
      </c>
      <c r="P94" s="141" t="str">
        <f>IFERROR(
  IF(ActorType = "CylinderUnits", INDEX(Cylinders[Valve Name], MATCH(Actor,Cylinders[Unit Name],0)), ""),"Error")</f>
        <v>=KJ1-QMB3</v>
      </c>
      <c r="Q94" s="158"/>
      <c r="R94" s="271">
        <f t="shared" ca="1" si="15"/>
        <v>81</v>
      </c>
      <c r="S94" s="179" t="str">
        <f t="shared" ca="1" si="16"/>
        <v/>
      </c>
      <c r="T94" s="157" t="str">
        <f t="shared" ca="1" si="17"/>
        <v/>
      </c>
      <c r="U94" s="157">
        <f t="shared" si="18"/>
        <v>1.5</v>
      </c>
      <c r="V94" s="234" t="str">
        <f t="shared" ca="1" si="19"/>
        <v/>
      </c>
    </row>
    <row r="95" spans="5:22" ht="17.100000000000001" customHeight="1">
      <c r="E95" s="235">
        <f>ROW() - ROW(Sequence[[#Headers],[ID]])</f>
        <v>92</v>
      </c>
      <c r="F95" s="145" t="s">
        <v>429</v>
      </c>
      <c r="G95" s="145" t="s">
        <v>460</v>
      </c>
      <c r="H95" s="145" t="s">
        <v>496</v>
      </c>
      <c r="I95" s="236" t="s">
        <v>530</v>
      </c>
      <c r="J95" s="145"/>
      <c r="K95" s="156"/>
      <c r="L95" s="145" t="s">
        <v>161</v>
      </c>
      <c r="M95" s="157">
        <f>IF(AND(ActorType = "CylinderUnits", OR(StandardAction = "TO WORK", StandardAction = "TO HOME")), INDEX(Cylinders[Actuation Time(s)], MATCH(Actor,Cylinders[Unit Name],0)),
   IF(OR(ActorType = "CylinderUnits", ActorType = "SensorUnits"), 0, ""))</f>
        <v>1.5</v>
      </c>
      <c r="N95" s="157" t="str">
        <f>IFERROR(
  IF(AND(ActorType = "CylinderUnits",Actor&lt;&gt;""), INDEX(Cylinders[MotionGroup Description], MATCH(Actor,Cylinders[Unit Name],0)),
  IF(AND(ActorType = "SensorUnits",Actor&lt;&gt;""), INDEX(Sensors[Sensor Description], MATCH(Actor,Sensors[Mechanical Unit Name],0)), "")),"Error")</f>
        <v>Group 3 Clamps</v>
      </c>
      <c r="O95" s="141" t="str">
        <f>IFERROR(
  IF(AND(ActorType = "CylinderUnits",Actor&lt;&gt;""), INDEX(Cylinders[Cylinder Name],MATCH(Actor,Cylinders[Unit Name],0)),
  IF(AND(ActorType =    "SensorUnits",Actor&lt;&gt;""), INDEX(Sensors[Sensor Name],  MATCH(Actor,Sensors[Mechanical Unit Name],0)),"")),"Error")</f>
        <v>=MM3-MMB2</v>
      </c>
      <c r="P95" s="141" t="str">
        <f>IFERROR(
  IF(ActorType = "CylinderUnits", INDEX(Cylinders[Valve Name], MATCH(Actor,Cylinders[Unit Name],0)), ""),"Error")</f>
        <v>=KJ1-QMB3</v>
      </c>
      <c r="Q95" s="158"/>
      <c r="R95" s="271">
        <f t="shared" ca="1" si="15"/>
        <v>81</v>
      </c>
      <c r="S95" s="179" t="str">
        <f t="shared" ca="1" si="16"/>
        <v/>
      </c>
      <c r="T95" s="157" t="str">
        <f t="shared" ca="1" si="17"/>
        <v/>
      </c>
      <c r="U95" s="157">
        <f t="shared" si="18"/>
        <v>1.5</v>
      </c>
      <c r="V95" s="234" t="str">
        <f t="shared" ca="1" si="19"/>
        <v/>
      </c>
    </row>
    <row r="96" spans="5:22" ht="17.100000000000001" customHeight="1">
      <c r="E96" s="235">
        <f>ROW() - ROW(Sequence[[#Headers],[ID]])</f>
        <v>93</v>
      </c>
      <c r="F96" s="145" t="s">
        <v>429</v>
      </c>
      <c r="G96" s="145" t="s">
        <v>460</v>
      </c>
      <c r="H96" s="145" t="s">
        <v>496</v>
      </c>
      <c r="I96" s="236" t="s">
        <v>531</v>
      </c>
      <c r="J96" s="145"/>
      <c r="K96" s="156"/>
      <c r="L96" s="145" t="s">
        <v>161</v>
      </c>
      <c r="M96" s="157">
        <f>IF(AND(ActorType = "CylinderUnits", OR(StandardAction = "TO WORK", StandardAction = "TO HOME")), INDEX(Cylinders[Actuation Time(s)], MATCH(Actor,Cylinders[Unit Name],0)),
   IF(OR(ActorType = "CylinderUnits", ActorType = "SensorUnits"), 0, ""))</f>
        <v>1.5</v>
      </c>
      <c r="N96" s="157" t="str">
        <f>IFERROR(
  IF(AND(ActorType = "CylinderUnits",Actor&lt;&gt;""), INDEX(Cylinders[MotionGroup Description], MATCH(Actor,Cylinders[Unit Name],0)),
  IF(AND(ActorType = "SensorUnits",Actor&lt;&gt;""), INDEX(Sensors[Sensor Description], MATCH(Actor,Sensors[Mechanical Unit Name],0)), "")),"Error")</f>
        <v>Group 3 Clamps</v>
      </c>
      <c r="O96" s="141" t="str">
        <f>IFERROR(
  IF(AND(ActorType = "CylinderUnits",Actor&lt;&gt;""), INDEX(Cylinders[Cylinder Name],MATCH(Actor,Cylinders[Unit Name],0)),
  IF(AND(ActorType =    "SensorUnits",Actor&lt;&gt;""), INDEX(Sensors[Sensor Name],  MATCH(Actor,Sensors[Mechanical Unit Name],0)),"")),"Error")</f>
        <v>=MM3-MMB3</v>
      </c>
      <c r="P96" s="141" t="str">
        <f>IFERROR(
  IF(ActorType = "CylinderUnits", INDEX(Cylinders[Valve Name], MATCH(Actor,Cylinders[Unit Name],0)), ""),"Error")</f>
        <v>=KJ1-QMB3</v>
      </c>
      <c r="Q96" s="158"/>
      <c r="R96" s="271">
        <f t="shared" ca="1" si="15"/>
        <v>81</v>
      </c>
      <c r="S96" s="179" t="str">
        <f t="shared" ca="1" si="16"/>
        <v/>
      </c>
      <c r="T96" s="157" t="str">
        <f t="shared" ca="1" si="17"/>
        <v/>
      </c>
      <c r="U96" s="157">
        <f t="shared" si="18"/>
        <v>1.5</v>
      </c>
      <c r="V96" s="234" t="str">
        <f t="shared" ca="1" si="19"/>
        <v/>
      </c>
    </row>
    <row r="97" spans="5:22" ht="17.100000000000001" customHeight="1">
      <c r="E97" s="235">
        <f>ROW() - ROW(Sequence[[#Headers],[ID]])</f>
        <v>94</v>
      </c>
      <c r="F97" s="145" t="s">
        <v>429</v>
      </c>
      <c r="G97" s="145" t="s">
        <v>460</v>
      </c>
      <c r="H97" s="145" t="s">
        <v>496</v>
      </c>
      <c r="I97" s="145" t="s">
        <v>520</v>
      </c>
      <c r="J97" s="145"/>
      <c r="K97" s="156"/>
      <c r="L97" s="145" t="s">
        <v>161</v>
      </c>
      <c r="M97" s="157">
        <f>IF(AND(ActorType = "CylinderUnits", OR(StandardAction = "TO WORK", StandardAction = "TO HOME")), INDEX(Cylinders[Actuation Time(s)], MATCH(Actor,Cylinders[Unit Name],0)),
   IF(OR(ActorType = "CylinderUnits", ActorType = "SensorUnits"), 0, ""))</f>
        <v>1.5</v>
      </c>
      <c r="N97" s="157" t="str">
        <f>IFERROR(
  IF(AND(ActorType = "CylinderUnits",Actor&lt;&gt;""), INDEX(Cylinders[MotionGroup Description], MATCH(Actor,Cylinders[Unit Name],0)),
  IF(AND(ActorType = "SensorUnits",Actor&lt;&gt;""), INDEX(Sensors[Sensor Description], MATCH(Actor,Sensors[Mechanical Unit Name],0)), "")),"Error")</f>
        <v>Group 3 Clamps</v>
      </c>
      <c r="O97" s="141" t="str">
        <f>IFERROR(
  IF(AND(ActorType = "CylinderUnits",Actor&lt;&gt;""), INDEX(Cylinders[Cylinder Name],MATCH(Actor,Cylinders[Unit Name],0)),
  IF(AND(ActorType =    "SensorUnits",Actor&lt;&gt;""), INDEX(Sensors[Sensor Name],  MATCH(Actor,Sensors[Mechanical Unit Name],0)),"")),"Error")</f>
        <v>=MM3-MMB4</v>
      </c>
      <c r="P97" s="141" t="str">
        <f>IFERROR(
  IF(ActorType = "CylinderUnits", INDEX(Cylinders[Valve Name], MATCH(Actor,Cylinders[Unit Name],0)), ""),"Error")</f>
        <v>=KJ1-QMB3</v>
      </c>
      <c r="Q97" s="158"/>
      <c r="R97" s="271">
        <f t="shared" ca="1" si="15"/>
        <v>81</v>
      </c>
      <c r="S97" s="179" t="str">
        <f t="shared" ca="1" si="16"/>
        <v/>
      </c>
      <c r="T97" s="157" t="str">
        <f t="shared" ca="1" si="17"/>
        <v/>
      </c>
      <c r="U97" s="157">
        <f t="shared" si="18"/>
        <v>1.5</v>
      </c>
      <c r="V97" s="234" t="str">
        <f t="shared" ca="1" si="19"/>
        <v/>
      </c>
    </row>
    <row r="98" spans="5:22" ht="17.100000000000001" customHeight="1">
      <c r="E98" s="235">
        <f>ROW() - ROW(Sequence[[#Headers],[ID]])</f>
        <v>95</v>
      </c>
      <c r="F98" s="145" t="s">
        <v>429</v>
      </c>
      <c r="G98" s="145" t="s">
        <v>460</v>
      </c>
      <c r="H98" s="145" t="s">
        <v>496</v>
      </c>
      <c r="I98" s="145" t="s">
        <v>532</v>
      </c>
      <c r="J98" s="145"/>
      <c r="K98" s="156"/>
      <c r="L98" s="145" t="s">
        <v>161</v>
      </c>
      <c r="M98" s="157">
        <f>IF(AND(ActorType = "CylinderUnits", OR(StandardAction = "TO WORK", StandardAction = "TO HOME")), INDEX(Cylinders[Actuation Time(s)], MATCH(Actor,Cylinders[Unit Name],0)),
   IF(OR(ActorType = "CylinderUnits", ActorType = "SensorUnits"), 0, ""))</f>
        <v>1</v>
      </c>
      <c r="N98" s="157" t="str">
        <f>IFERROR(
  IF(AND(ActorType = "CylinderUnits",Actor&lt;&gt;""), INDEX(Cylinders[MotionGroup Description], MATCH(Actor,Cylinders[Unit Name],0)),
  IF(AND(ActorType = "SensorUnits",Actor&lt;&gt;""), INDEX(Sensors[Sensor Description], MATCH(Actor,Sensors[Mechanical Unit Name],0)), "")),"Error")</f>
        <v>Group 3 Clamps</v>
      </c>
      <c r="O98" s="141" t="str">
        <f>IFERROR(
  IF(AND(ActorType = "CylinderUnits",Actor&lt;&gt;""), INDEX(Cylinders[Cylinder Name],MATCH(Actor,Cylinders[Unit Name],0)),
  IF(AND(ActorType =    "SensorUnits",Actor&lt;&gt;""), INDEX(Sensors[Sensor Name],  MATCH(Actor,Sensors[Mechanical Unit Name],0)),"")),"Error")</f>
        <v>=MM3-MMB5</v>
      </c>
      <c r="P98" s="141" t="str">
        <f>IFERROR(
  IF(ActorType = "CylinderUnits", INDEX(Cylinders[Valve Name], MATCH(Actor,Cylinders[Unit Name],0)), ""),"Error")</f>
        <v>=KJ1-QMB3</v>
      </c>
      <c r="Q98" s="158"/>
      <c r="R98" s="271">
        <f t="shared" ref="R98:R110" ca="1" si="20">IF(LEN(Auxiliar)&gt;0,Auxiliar,
  IF(OR(RowType="Start Conditions",RowType="Start Conditions Header",RowType="Sequence Header"),"",
  OFFSET(DepID,-1,0)))</f>
        <v>81</v>
      </c>
      <c r="S98" s="179" t="str">
        <f t="shared" ref="S98:S110" ca="1" si="21">IF(OR(RowType="Fixed State", RowType="Step1", RowType="Step2",RowType="Step3", RowType="Step4", RowType="Step5"),
  IF(RowType&lt;&gt;OFFSET(RowType, -1, 0), ID, ""), "")</f>
        <v/>
      </c>
      <c r="T98" s="157" t="str">
        <f t="shared" ref="T98:T110" ca="1" si="22">IFERROR(
  IF(OR(RowType="Start Conditions Header",RowType="Sequence Header"), "",
  IF(IndStart&lt;&gt;"", IndStart,
  IF(OR(AND(Auxiliar&gt;0,Auxiliar=DepID),Duration=0,Duration&lt;OFFSET(Duration,-1,0),RowType="Wait Conditions"), OFFSET(End, -1, 0),OFFSET(Start, -1, 0)))),"")</f>
        <v/>
      </c>
      <c r="U98" s="157">
        <f t="shared" ref="U98:U110" si="23">IF(OR(RowType="Start Conditions",RowType="Start Conditions Header",RowType="Sequence Header"),"",
  IF(NOT(ISBLANK(CustomDuration)),CustomDuration,IF(LEN(StandardDuration)&gt;0,StandardDuration,0)))</f>
        <v>1</v>
      </c>
      <c r="V98" s="234" t="str">
        <f t="shared" ref="V98:V110" ca="1" si="24">IF(RowType="Start Conditions Header","",
  IF(AND(OFFSET(Duration,-1,0)&gt;Duration,RowType=OFFSET(RowType,-1,0),RowType&lt;&gt;"Wait Conditions"),OFFSET(End,-1,0),
  IF(AND(Start&lt;&gt;"",Duration&lt;&gt;""),Start+Duration,"")))</f>
        <v/>
      </c>
    </row>
    <row r="99" spans="5:22" ht="17.100000000000001" customHeight="1">
      <c r="E99" s="235">
        <f>ROW() - ROW(Sequence[[#Headers],[ID]])</f>
        <v>96</v>
      </c>
      <c r="F99" s="145" t="s">
        <v>429</v>
      </c>
      <c r="G99" s="145" t="s">
        <v>460</v>
      </c>
      <c r="H99" s="145" t="s">
        <v>496</v>
      </c>
      <c r="I99" s="145" t="s">
        <v>533</v>
      </c>
      <c r="J99" s="145"/>
      <c r="K99" s="156"/>
      <c r="L99" s="145" t="s">
        <v>161</v>
      </c>
      <c r="M99" s="157">
        <f>IF(AND(ActorType = "CylinderUnits", OR(StandardAction = "TO WORK", StandardAction = "TO HOME")), INDEX(Cylinders[Actuation Time(s)], MATCH(Actor,Cylinders[Unit Name],0)),
   IF(OR(ActorType = "CylinderUnits", ActorType = "SensorUnits"), 0, ""))</f>
        <v>1</v>
      </c>
      <c r="N99" s="157" t="str">
        <f>IFERROR(
  IF(AND(ActorType = "CylinderUnits",Actor&lt;&gt;""), INDEX(Cylinders[MotionGroup Description], MATCH(Actor,Cylinders[Unit Name],0)),
  IF(AND(ActorType = "SensorUnits",Actor&lt;&gt;""), INDEX(Sensors[Sensor Description], MATCH(Actor,Sensors[Mechanical Unit Name],0)), "")),"Error")</f>
        <v>Group 3 Clamps</v>
      </c>
      <c r="O99" s="141" t="str">
        <f>IFERROR(
  IF(AND(ActorType = "CylinderUnits",Actor&lt;&gt;""), INDEX(Cylinders[Cylinder Name],MATCH(Actor,Cylinders[Unit Name],0)),
  IF(AND(ActorType =    "SensorUnits",Actor&lt;&gt;""), INDEX(Sensors[Sensor Name],  MATCH(Actor,Sensors[Mechanical Unit Name],0)),"")),"Error")</f>
        <v>=MM3-MMB6</v>
      </c>
      <c r="P99" s="141" t="str">
        <f>IFERROR(
  IF(ActorType = "CylinderUnits", INDEX(Cylinders[Valve Name], MATCH(Actor,Cylinders[Unit Name],0)), ""),"Error")</f>
        <v>=KJ1-QMB3</v>
      </c>
      <c r="Q99" s="158"/>
      <c r="R99" s="271">
        <f t="shared" ca="1" si="20"/>
        <v>81</v>
      </c>
      <c r="S99" s="179" t="str">
        <f t="shared" ca="1" si="21"/>
        <v/>
      </c>
      <c r="T99" s="157" t="str">
        <f t="shared" ca="1" si="22"/>
        <v/>
      </c>
      <c r="U99" s="157">
        <f t="shared" si="23"/>
        <v>1</v>
      </c>
      <c r="V99" s="234" t="str">
        <f t="shared" ca="1" si="24"/>
        <v/>
      </c>
    </row>
    <row r="100" spans="5:22" ht="17.100000000000001" customHeight="1">
      <c r="E100" s="235">
        <f>ROW() - ROW(Sequence[[#Headers],[ID]])</f>
        <v>97</v>
      </c>
      <c r="F100" s="145" t="s">
        <v>429</v>
      </c>
      <c r="G100" s="145" t="s">
        <v>460</v>
      </c>
      <c r="H100" s="145" t="s">
        <v>496</v>
      </c>
      <c r="I100" s="145" t="s">
        <v>544</v>
      </c>
      <c r="J100" s="145"/>
      <c r="K100" s="156"/>
      <c r="L100" s="145" t="s">
        <v>161</v>
      </c>
      <c r="M100" s="157">
        <f>IF(AND(ActorType = "CylinderUnits", OR(StandardAction = "TO WORK", StandardAction = "TO HOME")), INDEX(Cylinders[Actuation Time(s)], MATCH(Actor,Cylinders[Unit Name],0)),
   IF(OR(ActorType = "CylinderUnits", ActorType = "SensorUnits"), 0, ""))</f>
        <v>1</v>
      </c>
      <c r="N100" s="157" t="str">
        <f>IFERROR(
  IF(AND(ActorType = "CylinderUnits",Actor&lt;&gt;""), INDEX(Cylinders[MotionGroup Description], MATCH(Actor,Cylinders[Unit Name],0)),
  IF(AND(ActorType = "SensorUnits",Actor&lt;&gt;""), INDEX(Sensors[Sensor Description], MATCH(Actor,Sensors[Mechanical Unit Name],0)), "")),"Error")</f>
        <v>Group 3 Clamps</v>
      </c>
      <c r="O100" s="141" t="str">
        <f>IFERROR(
  IF(AND(ActorType = "CylinderUnits",Actor&lt;&gt;""), INDEX(Cylinders[Cylinder Name],MATCH(Actor,Cylinders[Unit Name],0)),
  IF(AND(ActorType =    "SensorUnits",Actor&lt;&gt;""), INDEX(Sensors[Sensor Name],  MATCH(Actor,Sensors[Mechanical Unit Name],0)),"")),"Error")</f>
        <v>=MM3-MMB7</v>
      </c>
      <c r="P100" s="141" t="str">
        <f>IFERROR(
  IF(ActorType = "CylinderUnits", INDEX(Cylinders[Valve Name], MATCH(Actor,Cylinders[Unit Name],0)), ""),"Error")</f>
        <v>=KJ1-QMB3</v>
      </c>
      <c r="Q100" s="158"/>
      <c r="R100" s="271">
        <f t="shared" ca="1" si="20"/>
        <v>81</v>
      </c>
      <c r="S100" s="179" t="str">
        <f t="shared" ca="1" si="21"/>
        <v/>
      </c>
      <c r="T100" s="157" t="str">
        <f t="shared" ca="1" si="22"/>
        <v/>
      </c>
      <c r="U100" s="157">
        <f t="shared" si="23"/>
        <v>1</v>
      </c>
      <c r="V100" s="234" t="str">
        <f t="shared" ca="1" si="24"/>
        <v/>
      </c>
    </row>
    <row r="101" spans="5:22" ht="17.100000000000001" customHeight="1">
      <c r="E101" s="235">
        <f>ROW() - ROW(Sequence[[#Headers],[ID]])</f>
        <v>98</v>
      </c>
      <c r="F101" s="145" t="s">
        <v>429</v>
      </c>
      <c r="G101" s="145" t="s">
        <v>460</v>
      </c>
      <c r="H101" s="145" t="s">
        <v>496</v>
      </c>
      <c r="I101" s="145" t="s">
        <v>545</v>
      </c>
      <c r="J101" s="145"/>
      <c r="K101" s="156"/>
      <c r="L101" s="145" t="s">
        <v>161</v>
      </c>
      <c r="M101" s="157">
        <f>IF(AND(ActorType = "CylinderUnits", OR(StandardAction = "TO WORK", StandardAction = "TO HOME")), INDEX(Cylinders[Actuation Time(s)], MATCH(Actor,Cylinders[Unit Name],0)),
   IF(OR(ActorType = "CylinderUnits", ActorType = "SensorUnits"), 0, ""))</f>
        <v>1</v>
      </c>
      <c r="N101" s="157" t="str">
        <f>IFERROR(
  IF(AND(ActorType = "CylinderUnits",Actor&lt;&gt;""), INDEX(Cylinders[MotionGroup Description], MATCH(Actor,Cylinders[Unit Name],0)),
  IF(AND(ActorType = "SensorUnits",Actor&lt;&gt;""), INDEX(Sensors[Sensor Description], MATCH(Actor,Sensors[Mechanical Unit Name],0)), "")),"Error")</f>
        <v>Group 3 Clamps</v>
      </c>
      <c r="O101" s="141" t="str">
        <f>IFERROR(
  IF(AND(ActorType = "CylinderUnits",Actor&lt;&gt;""), INDEX(Cylinders[Cylinder Name],MATCH(Actor,Cylinders[Unit Name],0)),
  IF(AND(ActorType =    "SensorUnits",Actor&lt;&gt;""), INDEX(Sensors[Sensor Name],  MATCH(Actor,Sensors[Mechanical Unit Name],0)),"")),"Error")</f>
        <v>=MM3-MMB8</v>
      </c>
      <c r="P101" s="141" t="str">
        <f>IFERROR(
  IF(ActorType = "CylinderUnits", INDEX(Cylinders[Valve Name], MATCH(Actor,Cylinders[Unit Name],0)), ""),"Error")</f>
        <v>=KJ1-QMB3</v>
      </c>
      <c r="Q101" s="158"/>
      <c r="R101" s="271">
        <f t="shared" ca="1" si="20"/>
        <v>81</v>
      </c>
      <c r="S101" s="179" t="str">
        <f t="shared" ca="1" si="21"/>
        <v/>
      </c>
      <c r="T101" s="157" t="str">
        <f t="shared" ca="1" si="22"/>
        <v/>
      </c>
      <c r="U101" s="157">
        <f t="shared" si="23"/>
        <v>1</v>
      </c>
      <c r="V101" s="234" t="str">
        <f t="shared" ca="1" si="24"/>
        <v/>
      </c>
    </row>
    <row r="102" spans="5:22" ht="17.100000000000001" customHeight="1">
      <c r="E102" s="235">
        <f>ROW() - ROW(Sequence[[#Headers],[ID]])</f>
        <v>99</v>
      </c>
      <c r="F102" s="145" t="s">
        <v>429</v>
      </c>
      <c r="G102" s="145" t="s">
        <v>464</v>
      </c>
      <c r="H102" s="145"/>
      <c r="I102" s="145"/>
      <c r="J102" s="145" t="s">
        <v>633</v>
      </c>
      <c r="K102" s="156"/>
      <c r="L102" s="145"/>
      <c r="M102" s="157" t="str">
        <f>IF(AND(ActorType = "CylinderUnits", OR(StandardAction = "TO WORK", StandardAction = "TO HOME")), INDEX(Cylinders[Actuation Time(s)], MATCH(Actor,Cylinders[Unit Name],0)),
   IF(OR(ActorType = "CylinderUnits", ActorType = "SensorUnits"), 0, ""))</f>
        <v/>
      </c>
      <c r="N102" s="157" t="str">
        <f>IFERROR(
  IF(AND(ActorType = "CylinderUnits",Actor&lt;&gt;""), INDEX(Cylinders[MotionGroup Description], MATCH(Actor,Cylinders[Unit Name],0)),
  IF(AND(ActorType = "SensorUnits",Actor&lt;&gt;""), INDEX(Sensors[Sensor Description], MATCH(Actor,Sensors[Mechanical Unit Name],0)), "")),"Error")</f>
        <v/>
      </c>
      <c r="O102" s="141" t="str">
        <f>IFERROR(
  IF(AND(ActorType = "CylinderUnits",Actor&lt;&gt;""), INDEX(Cylinders[Cylinder Name],MATCH(Actor,Cylinders[Unit Name],0)),
  IF(AND(ActorType =    "SensorUnits",Actor&lt;&gt;""), INDEX(Sensors[Sensor Name],  MATCH(Actor,Sensors[Mechanical Unit Name],0)),"")),"Error")</f>
        <v/>
      </c>
      <c r="P102" s="141" t="str">
        <f>IFERROR(
  IF(ActorType = "CylinderUnits", INDEX(Cylinders[Valve Name], MATCH(Actor,Cylinders[Unit Name],0)), ""),"Error")</f>
        <v/>
      </c>
      <c r="Q102" s="158"/>
      <c r="R102" s="271">
        <f t="shared" ca="1" si="20"/>
        <v>99</v>
      </c>
      <c r="S102" s="179">
        <f t="shared" ca="1" si="21"/>
        <v>99</v>
      </c>
      <c r="T102" s="157" t="str">
        <f t="shared" ca="1" si="22"/>
        <v/>
      </c>
      <c r="U102" s="157">
        <f t="shared" si="23"/>
        <v>0</v>
      </c>
      <c r="V102" s="234" t="str">
        <f t="shared" ca="1" si="24"/>
        <v/>
      </c>
    </row>
    <row r="103" spans="5:22" ht="22.5">
      <c r="E103" s="235">
        <f>ROW() - ROW(Sequence[[#Headers],[ID]])</f>
        <v>100</v>
      </c>
      <c r="F103" s="145" t="s">
        <v>429</v>
      </c>
      <c r="G103" s="145" t="s">
        <v>467</v>
      </c>
      <c r="H103" s="145" t="s">
        <v>172</v>
      </c>
      <c r="I103" s="145" t="s">
        <v>157</v>
      </c>
      <c r="J103" s="145" t="s">
        <v>631</v>
      </c>
      <c r="K103" s="156">
        <v>5</v>
      </c>
      <c r="L103" s="145"/>
      <c r="M103" s="157" t="str">
        <f>IF(AND(ActorType = "CylinderUnits", OR(StandardAction = "TO WORK", StandardAction = "TO HOME")), INDEX(Cylinders[Actuation Time(s)], MATCH(Actor,Cylinders[Unit Name],0)),
   IF(OR(ActorType = "CylinderUnits", ActorType = "SensorUnits"), 0, ""))</f>
        <v/>
      </c>
      <c r="N103" s="157" t="str">
        <f>IFERROR(
  IF(AND(ActorType = "CylinderUnits",Actor&lt;&gt;""), INDEX(Cylinders[MotionGroup Description], MATCH(Actor,Cylinders[Unit Name],0)),
  IF(AND(ActorType = "SensorUnits",Actor&lt;&gt;""), INDEX(Sensors[Sensor Description], MATCH(Actor,Sensors[Mechanical Unit Name],0)), "")),"Error")</f>
        <v/>
      </c>
      <c r="O103" s="141" t="str">
        <f>IFERROR(
  IF(AND(ActorType = "CylinderUnits",Actor&lt;&gt;""), INDEX(Cylinders[Cylinder Name],MATCH(Actor,Cylinders[Unit Name],0)),
  IF(AND(ActorType =    "SensorUnits",Actor&lt;&gt;""), INDEX(Sensors[Sensor Name],  MATCH(Actor,Sensors[Mechanical Unit Name],0)),"")),"Error")</f>
        <v/>
      </c>
      <c r="P103" s="141" t="str">
        <f>IFERROR(
  IF(ActorType = "CylinderUnits", INDEX(Cylinders[Valve Name], MATCH(Actor,Cylinders[Unit Name],0)), ""),"Error")</f>
        <v/>
      </c>
      <c r="Q103" s="158"/>
      <c r="R103" s="271">
        <f t="shared" ca="1" si="20"/>
        <v>99</v>
      </c>
      <c r="S103" s="179" t="str">
        <f t="shared" ca="1" si="21"/>
        <v/>
      </c>
      <c r="T103" s="157" t="str">
        <f t="shared" ca="1" si="22"/>
        <v/>
      </c>
      <c r="U103" s="157">
        <f t="shared" si="23"/>
        <v>5</v>
      </c>
      <c r="V103" s="234" t="str">
        <f t="shared" ca="1" si="24"/>
        <v/>
      </c>
    </row>
    <row r="104" spans="5:22" ht="17.100000000000001" customHeight="1">
      <c r="E104" s="235">
        <f>ROW() - ROW(Sequence[[#Headers],[ID]])</f>
        <v>101</v>
      </c>
      <c r="F104" s="145" t="s">
        <v>429</v>
      </c>
      <c r="G104" s="145" t="s">
        <v>467</v>
      </c>
      <c r="H104" s="145" t="s">
        <v>497</v>
      </c>
      <c r="I104" s="145" t="s">
        <v>578</v>
      </c>
      <c r="J104" s="145" t="s">
        <v>494</v>
      </c>
      <c r="K104" s="156"/>
      <c r="L104" s="145" t="s">
        <v>160</v>
      </c>
      <c r="M104" s="157">
        <f>IF(AND(ActorType = "CylinderUnits", OR(StandardAction = "TO WORK", StandardAction = "TO HOME")), INDEX(Cylinders[Actuation Time(s)], MATCH(Actor,Cylinders[Unit Name],0)),
   IF(OR(ActorType = "CylinderUnits", ActorType = "SensorUnits"), 0, ""))</f>
        <v>0</v>
      </c>
      <c r="N104" s="157" t="str">
        <f>IFERROR(
  IF(AND(ActorType = "CylinderUnits",Actor&lt;&gt;""), INDEX(Cylinders[MotionGroup Description], MATCH(Actor,Cylinders[Unit Name],0)),
  IF(AND(ActorType = "SensorUnits",Actor&lt;&gt;""), INDEX(Sensors[Sensor Description], MATCH(Actor,Sensors[Mechanical Unit Name],0)), "")),"Error")</f>
        <v>PANEL - ROCKER LOWER INNER ASSY; LH</v>
      </c>
      <c r="O104" s="141" t="str">
        <f>IFERROR(
  IF(AND(ActorType = "CylinderUnits",Actor&lt;&gt;""), INDEX(Cylinders[Cylinder Name],MATCH(Actor,Cylinders[Unit Name],0)),
  IF(AND(ActorType =    "SensorUnits",Actor&lt;&gt;""), INDEX(Sensors[Sensor Name],  MATCH(Actor,Sensors[Mechanical Unit Name],0)),"")),"Error")</f>
        <v>=BG1-BGB1</v>
      </c>
      <c r="P104" s="141" t="str">
        <f>IFERROR(
  IF(ActorType = "CylinderUnits", INDEX(Cylinders[Valve Name], MATCH(Actor,Cylinders[Unit Name],0)), ""),"Error")</f>
        <v/>
      </c>
      <c r="Q104" s="158"/>
      <c r="R104" s="271">
        <f t="shared" ca="1" si="20"/>
        <v>99</v>
      </c>
      <c r="S104" s="179" t="str">
        <f t="shared" ca="1" si="21"/>
        <v/>
      </c>
      <c r="T104" s="157" t="str">
        <f t="shared" ca="1" si="22"/>
        <v/>
      </c>
      <c r="U104" s="157">
        <f t="shared" si="23"/>
        <v>0</v>
      </c>
      <c r="V104" s="234" t="str">
        <f t="shared" ca="1" si="24"/>
        <v/>
      </c>
    </row>
    <row r="105" spans="5:22" ht="17.100000000000001" customHeight="1">
      <c r="E105" s="235">
        <f>ROW() - ROW(Sequence[[#Headers],[ID]])</f>
        <v>102</v>
      </c>
      <c r="F105" s="145" t="s">
        <v>429</v>
      </c>
      <c r="G105" s="145" t="s">
        <v>467</v>
      </c>
      <c r="H105" s="145" t="s">
        <v>497</v>
      </c>
      <c r="I105" s="145" t="s">
        <v>580</v>
      </c>
      <c r="J105" s="145" t="s">
        <v>494</v>
      </c>
      <c r="K105" s="156"/>
      <c r="L105" s="145" t="s">
        <v>160</v>
      </c>
      <c r="M105" s="157">
        <f>IF(AND(ActorType = "CylinderUnits", OR(StandardAction = "TO WORK", StandardAction = "TO HOME")), INDEX(Cylinders[Actuation Time(s)], MATCH(Actor,Cylinders[Unit Name],0)),
   IF(OR(ActorType = "CylinderUnits", ActorType = "SensorUnits"), 0, ""))</f>
        <v>0</v>
      </c>
      <c r="N105" s="157" t="str">
        <f>IFERROR(
  IF(AND(ActorType = "CylinderUnits",Actor&lt;&gt;""), INDEX(Cylinders[MotionGroup Description], MATCH(Actor,Cylinders[Unit Name],0)),
  IF(AND(ActorType = "SensorUnits",Actor&lt;&gt;""), INDEX(Sensors[Sensor Description], MATCH(Actor,Sensors[Mechanical Unit Name],0)), "")),"Error")</f>
        <v>PANEL - ROCKER LOWER INNER ASSY; LH</v>
      </c>
      <c r="O105" s="141" t="str">
        <f>IFERROR(
  IF(AND(ActorType = "CylinderUnits",Actor&lt;&gt;""), INDEX(Cylinders[Cylinder Name],MATCH(Actor,Cylinders[Unit Name],0)),
  IF(AND(ActorType =    "SensorUnits",Actor&lt;&gt;""), INDEX(Sensors[Sensor Name],  MATCH(Actor,Sensors[Mechanical Unit Name],0)),"")),"Error")</f>
        <v>=BG1-BGB2</v>
      </c>
      <c r="P105" s="141" t="str">
        <f>IFERROR(
  IF(ActorType = "CylinderUnits", INDEX(Cylinders[Valve Name], MATCH(Actor,Cylinders[Unit Name],0)), ""),"Error")</f>
        <v/>
      </c>
      <c r="Q105" s="158"/>
      <c r="R105" s="271">
        <f t="shared" ca="1" si="20"/>
        <v>99</v>
      </c>
      <c r="S105" s="179" t="str">
        <f t="shared" ca="1" si="21"/>
        <v/>
      </c>
      <c r="T105" s="157" t="str">
        <f t="shared" ca="1" si="22"/>
        <v/>
      </c>
      <c r="U105" s="157">
        <f t="shared" si="23"/>
        <v>0</v>
      </c>
      <c r="V105" s="234" t="str">
        <f t="shared" ca="1" si="24"/>
        <v/>
      </c>
    </row>
    <row r="106" spans="5:22" ht="17.100000000000001" customHeight="1">
      <c r="E106" s="235">
        <f>ROW() - ROW(Sequence[[#Headers],[ID]])</f>
        <v>103</v>
      </c>
      <c r="F106" s="145" t="s">
        <v>429</v>
      </c>
      <c r="G106" s="145" t="s">
        <v>467</v>
      </c>
      <c r="H106" s="145" t="s">
        <v>497</v>
      </c>
      <c r="I106" s="145" t="s">
        <v>599</v>
      </c>
      <c r="J106" s="145" t="s">
        <v>494</v>
      </c>
      <c r="K106" s="156"/>
      <c r="L106" s="145" t="s">
        <v>160</v>
      </c>
      <c r="M106" s="157">
        <f>IF(AND(ActorType = "CylinderUnits", OR(StandardAction = "TO WORK", StandardAction = "TO HOME")), INDEX(Cylinders[Actuation Time(s)], MATCH(Actor,Cylinders[Unit Name],0)),
   IF(OR(ActorType = "CylinderUnits", ActorType = "SensorUnits"), 0, ""))</f>
        <v>0</v>
      </c>
      <c r="N106" s="157" t="str">
        <f>IFERROR(
  IF(AND(ActorType = "CylinderUnits",Actor&lt;&gt;""), INDEX(Cylinders[MotionGroup Description], MATCH(Actor,Cylinders[Unit Name],0)),
  IF(AND(ActorType = "SensorUnits",Actor&lt;&gt;""), INDEX(Sensors[Sensor Description], MATCH(Actor,Sensors[Mechanical Unit Name],0)), "")),"Error")</f>
        <v>PANEL - FFLR</v>
      </c>
      <c r="O106" s="141" t="str">
        <f>IFERROR(
  IF(AND(ActorType = "CylinderUnits",Actor&lt;&gt;""), INDEX(Cylinders[Cylinder Name],MATCH(Actor,Cylinders[Unit Name],0)),
  IF(AND(ActorType =    "SensorUnits",Actor&lt;&gt;""), INDEX(Sensors[Sensor Name],  MATCH(Actor,Sensors[Mechanical Unit Name],0)),"")),"Error")</f>
        <v>=BG2-BGB1</v>
      </c>
      <c r="P106" s="141" t="str">
        <f>IFERROR(
  IF(ActorType = "CylinderUnits", INDEX(Cylinders[Valve Name], MATCH(Actor,Cylinders[Unit Name],0)), ""),"Error")</f>
        <v/>
      </c>
      <c r="Q106" s="158"/>
      <c r="R106" s="271">
        <f t="shared" ca="1" si="20"/>
        <v>99</v>
      </c>
      <c r="S106" s="179" t="str">
        <f t="shared" ca="1" si="21"/>
        <v/>
      </c>
      <c r="T106" s="157" t="str">
        <f t="shared" ca="1" si="22"/>
        <v/>
      </c>
      <c r="U106" s="157">
        <f t="shared" si="23"/>
        <v>0</v>
      </c>
      <c r="V106" s="234" t="str">
        <f t="shared" ca="1" si="24"/>
        <v/>
      </c>
    </row>
    <row r="107" spans="5:22" ht="17.100000000000001" customHeight="1">
      <c r="E107" s="235">
        <f>ROW() - ROW(Sequence[[#Headers],[ID]])</f>
        <v>104</v>
      </c>
      <c r="F107" s="145" t="s">
        <v>429</v>
      </c>
      <c r="G107" s="145" t="s">
        <v>467</v>
      </c>
      <c r="H107" s="145" t="s">
        <v>497</v>
      </c>
      <c r="I107" s="145" t="s">
        <v>601</v>
      </c>
      <c r="J107" s="145" t="s">
        <v>494</v>
      </c>
      <c r="K107" s="156"/>
      <c r="L107" s="145" t="s">
        <v>160</v>
      </c>
      <c r="M107" s="157">
        <f>IF(AND(ActorType = "CylinderUnits", OR(StandardAction = "TO WORK", StandardAction = "TO HOME")), INDEX(Cylinders[Actuation Time(s)], MATCH(Actor,Cylinders[Unit Name],0)),
   IF(OR(ActorType = "CylinderUnits", ActorType = "SensorUnits"), 0, ""))</f>
        <v>0</v>
      </c>
      <c r="N107" s="157" t="str">
        <f>IFERROR(
  IF(AND(ActorType = "CylinderUnits",Actor&lt;&gt;""), INDEX(Cylinders[MotionGroup Description], MATCH(Actor,Cylinders[Unit Name],0)),
  IF(AND(ActorType = "SensorUnits",Actor&lt;&gt;""), INDEX(Sensors[Sensor Description], MATCH(Actor,Sensors[Mechanical Unit Name],0)), "")),"Error")</f>
        <v>PANEL - FFLR</v>
      </c>
      <c r="O107" s="141" t="str">
        <f>IFERROR(
  IF(AND(ActorType = "CylinderUnits",Actor&lt;&gt;""), INDEX(Cylinders[Cylinder Name],MATCH(Actor,Cylinders[Unit Name],0)),
  IF(AND(ActorType =    "SensorUnits",Actor&lt;&gt;""), INDEX(Sensors[Sensor Name],  MATCH(Actor,Sensors[Mechanical Unit Name],0)),"")),"Error")</f>
        <v>=BG2-BGB2</v>
      </c>
      <c r="P107" s="141" t="str">
        <f>IFERROR(
  IF(ActorType = "CylinderUnits", INDEX(Cylinders[Valve Name], MATCH(Actor,Cylinders[Unit Name],0)), ""),"Error")</f>
        <v/>
      </c>
      <c r="Q107" s="158"/>
      <c r="R107" s="271">
        <f t="shared" ca="1" si="20"/>
        <v>99</v>
      </c>
      <c r="S107" s="179" t="str">
        <f t="shared" ca="1" si="21"/>
        <v/>
      </c>
      <c r="T107" s="157" t="str">
        <f t="shared" ca="1" si="22"/>
        <v/>
      </c>
      <c r="U107" s="157">
        <f t="shared" si="23"/>
        <v>0</v>
      </c>
      <c r="V107" s="234" t="str">
        <f t="shared" ca="1" si="24"/>
        <v/>
      </c>
    </row>
    <row r="108" spans="5:22" ht="17.100000000000001" customHeight="1">
      <c r="E108" s="235">
        <f>ROW() - ROW(Sequence[[#Headers],[ID]])</f>
        <v>105</v>
      </c>
      <c r="F108" s="145" t="s">
        <v>429</v>
      </c>
      <c r="G108" s="145" t="s">
        <v>467</v>
      </c>
      <c r="H108" s="145" t="s">
        <v>497</v>
      </c>
      <c r="I108" s="145" t="s">
        <v>582</v>
      </c>
      <c r="J108" s="145" t="s">
        <v>494</v>
      </c>
      <c r="K108" s="156"/>
      <c r="L108" s="145" t="s">
        <v>160</v>
      </c>
      <c r="M108" s="157">
        <f>IF(AND(ActorType = "CylinderUnits", OR(StandardAction = "TO WORK", StandardAction = "TO HOME")), INDEX(Cylinders[Actuation Time(s)], MATCH(Actor,Cylinders[Unit Name],0)),
   IF(OR(ActorType = "CylinderUnits", ActorType = "SensorUnits"), 0, ""))</f>
        <v>0</v>
      </c>
      <c r="N108" s="157" t="str">
        <f>IFERROR(
  IF(AND(ActorType = "CylinderUnits",Actor&lt;&gt;""), INDEX(Cylinders[MotionGroup Description], MATCH(Actor,Cylinders[Unit Name],0)),
  IF(AND(ActorType = "SensorUnits",Actor&lt;&gt;""), INDEX(Sensors[Sensor Description], MATCH(Actor,Sensors[Mechanical Unit Name],0)), "")),"Error")</f>
        <v>PANEL - ROCKER LOWER INNER ASSY; RH</v>
      </c>
      <c r="O108" s="141" t="str">
        <f>IFERROR(
  IF(AND(ActorType = "CylinderUnits",Actor&lt;&gt;""), INDEX(Cylinders[Cylinder Name],MATCH(Actor,Cylinders[Unit Name],0)),
  IF(AND(ActorType =    "SensorUnits",Actor&lt;&gt;""), INDEX(Sensors[Sensor Name],  MATCH(Actor,Sensors[Mechanical Unit Name],0)),"")),"Error")</f>
        <v>=BG3-BGB1</v>
      </c>
      <c r="P108" s="141" t="str">
        <f>IFERROR(
  IF(ActorType = "CylinderUnits", INDEX(Cylinders[Valve Name], MATCH(Actor,Cylinders[Unit Name],0)), ""),"Error")</f>
        <v/>
      </c>
      <c r="Q108" s="158"/>
      <c r="R108" s="271">
        <f t="shared" ca="1" si="20"/>
        <v>99</v>
      </c>
      <c r="S108" s="179" t="str">
        <f t="shared" ca="1" si="21"/>
        <v/>
      </c>
      <c r="T108" s="157" t="str">
        <f t="shared" ca="1" si="22"/>
        <v/>
      </c>
      <c r="U108" s="157">
        <f t="shared" si="23"/>
        <v>0</v>
      </c>
      <c r="V108" s="234" t="str">
        <f t="shared" ca="1" si="24"/>
        <v/>
      </c>
    </row>
    <row r="109" spans="5:22" ht="17.100000000000001" customHeight="1">
      <c r="E109" s="235">
        <f>ROW() - ROW(Sequence[[#Headers],[ID]])</f>
        <v>106</v>
      </c>
      <c r="F109" s="145" t="s">
        <v>429</v>
      </c>
      <c r="G109" s="145" t="s">
        <v>467</v>
      </c>
      <c r="H109" s="145" t="s">
        <v>497</v>
      </c>
      <c r="I109" s="145" t="s">
        <v>584</v>
      </c>
      <c r="J109" s="145" t="s">
        <v>494</v>
      </c>
      <c r="K109" s="156"/>
      <c r="L109" s="145" t="s">
        <v>160</v>
      </c>
      <c r="M109" s="157">
        <f>IF(AND(ActorType = "CylinderUnits", OR(StandardAction = "TO WORK", StandardAction = "TO HOME")), INDEX(Cylinders[Actuation Time(s)], MATCH(Actor,Cylinders[Unit Name],0)),
   IF(OR(ActorType = "CylinderUnits", ActorType = "SensorUnits"), 0, ""))</f>
        <v>0</v>
      </c>
      <c r="N109" s="157" t="str">
        <f>IFERROR(
  IF(AND(ActorType = "CylinderUnits",Actor&lt;&gt;""), INDEX(Cylinders[MotionGroup Description], MATCH(Actor,Cylinders[Unit Name],0)),
  IF(AND(ActorType = "SensorUnits",Actor&lt;&gt;""), INDEX(Sensors[Sensor Description], MATCH(Actor,Sensors[Mechanical Unit Name],0)), "")),"Error")</f>
        <v>PANEL - ROCKER LOWER INNER ASSY; RH</v>
      </c>
      <c r="O109" s="141" t="str">
        <f>IFERROR(
  IF(AND(ActorType = "CylinderUnits",Actor&lt;&gt;""), INDEX(Cylinders[Cylinder Name],MATCH(Actor,Cylinders[Unit Name],0)),
  IF(AND(ActorType =    "SensorUnits",Actor&lt;&gt;""), INDEX(Sensors[Sensor Name],  MATCH(Actor,Sensors[Mechanical Unit Name],0)),"")),"Error")</f>
        <v>=BG3-BGB2</v>
      </c>
      <c r="P109" s="141" t="str">
        <f>IFERROR(
  IF(ActorType = "CylinderUnits", INDEX(Cylinders[Valve Name], MATCH(Actor,Cylinders[Unit Name],0)), ""),"Error")</f>
        <v/>
      </c>
      <c r="Q109" s="158"/>
      <c r="R109" s="271">
        <f t="shared" ca="1" si="20"/>
        <v>99</v>
      </c>
      <c r="S109" s="179" t="str">
        <f t="shared" ca="1" si="21"/>
        <v/>
      </c>
      <c r="T109" s="157" t="str">
        <f t="shared" ca="1" si="22"/>
        <v/>
      </c>
      <c r="U109" s="157">
        <f t="shared" si="23"/>
        <v>0</v>
      </c>
      <c r="V109" s="234" t="str">
        <f t="shared" ca="1" si="24"/>
        <v/>
      </c>
    </row>
    <row r="110" spans="5:22" ht="17.100000000000001" customHeight="1">
      <c r="E110" s="235">
        <f>ROW() - ROW(Sequence[[#Headers],[ID]])</f>
        <v>107</v>
      </c>
      <c r="F110" s="145" t="s">
        <v>429</v>
      </c>
      <c r="G110" s="145" t="s">
        <v>421</v>
      </c>
      <c r="H110" s="145"/>
      <c r="I110" s="145"/>
      <c r="J110" s="145" t="s">
        <v>499</v>
      </c>
      <c r="K110" s="156"/>
      <c r="L110" s="145"/>
      <c r="M110" s="157" t="str">
        <f>IF(AND(ActorType = "CylinderUnits", OR(StandardAction = "TO WORK", StandardAction = "TO HOME")), INDEX(Cylinders[Actuation Time(s)], MATCH(Actor,Cylinders[Unit Name],0)),
   IF(OR(ActorType = "CylinderUnits", ActorType = "SensorUnits"), 0, ""))</f>
        <v/>
      </c>
      <c r="N110" s="157" t="str">
        <f>IFERROR(
  IF(AND(ActorType = "CylinderUnits",Actor&lt;&gt;""), INDEX(Cylinders[MotionGroup Description], MATCH(Actor,Cylinders[Unit Name],0)),
  IF(AND(ActorType = "SensorUnits",Actor&lt;&gt;""), INDEX(Sensors[Sensor Description], MATCH(Actor,Sensors[Mechanical Unit Name],0)), "")),"Error")</f>
        <v/>
      </c>
      <c r="O110" s="141" t="str">
        <f>IFERROR(
  IF(AND(ActorType = "CylinderUnits",Actor&lt;&gt;""), INDEX(Cylinders[Cylinder Name],MATCH(Actor,Cylinders[Unit Name],0)),
  IF(AND(ActorType =    "SensorUnits",Actor&lt;&gt;""), INDEX(Sensors[Sensor Name],  MATCH(Actor,Sensors[Mechanical Unit Name],0)),"")),"Error")</f>
        <v/>
      </c>
      <c r="P110" s="141" t="str">
        <f>IFERROR(
  IF(ActorType = "CylinderUnits", INDEX(Cylinders[Valve Name], MATCH(Actor,Cylinders[Unit Name],0)), ""),"Error")</f>
        <v/>
      </c>
      <c r="Q110" s="158"/>
      <c r="R110" s="271" t="str">
        <f t="shared" ca="1" si="20"/>
        <v/>
      </c>
      <c r="S110" s="179" t="str">
        <f t="shared" ca="1" si="21"/>
        <v/>
      </c>
      <c r="T110" s="157" t="str">
        <f t="shared" ca="1" si="22"/>
        <v/>
      </c>
      <c r="U110" s="157" t="str">
        <f t="shared" si="23"/>
        <v/>
      </c>
      <c r="V110" s="234" t="str">
        <f t="shared" ca="1" si="24"/>
        <v/>
      </c>
    </row>
    <row r="111" spans="5:22" ht="17.100000000000001" customHeight="1"/>
    <row r="112" spans="5:22" ht="17.100000000000001" customHeight="1"/>
    <row r="113" ht="17.100000000000001" customHeight="1"/>
    <row r="114" ht="17.100000000000001" customHeight="1"/>
    <row r="115" ht="17.100000000000001" customHeight="1"/>
    <row r="116" ht="17.100000000000001" customHeight="1"/>
    <row r="117" ht="17.100000000000001" customHeight="1"/>
    <row r="118" ht="17.100000000000001" customHeight="1"/>
    <row r="119" ht="17.100000000000001" customHeight="1"/>
    <row r="120" ht="17.100000000000001" customHeight="1"/>
    <row r="121" ht="17.100000000000001" customHeight="1"/>
    <row r="122" ht="17.100000000000001" customHeight="1"/>
    <row r="123" ht="17.100000000000001" customHeight="1"/>
    <row r="124" ht="17.100000000000001" customHeight="1"/>
    <row r="125" ht="17.100000000000001" customHeight="1"/>
    <row r="126" ht="17.100000000000001" customHeight="1"/>
    <row r="127" ht="17.100000000000001" customHeight="1"/>
    <row r="128" ht="17.100000000000001" customHeight="1"/>
    <row r="129" ht="17.100000000000001" customHeight="1"/>
    <row r="130" ht="17.100000000000001" customHeight="1"/>
    <row r="131" ht="17.100000000000001" customHeight="1"/>
    <row r="132" ht="17.100000000000001" customHeight="1"/>
    <row r="133" ht="17.100000000000001" customHeight="1"/>
    <row r="134" ht="17.100000000000001" customHeight="1"/>
    <row r="135" ht="17.100000000000001" customHeight="1"/>
    <row r="136" ht="17.100000000000001" customHeight="1"/>
    <row r="137" ht="17.100000000000001" customHeight="1"/>
    <row r="138" ht="17.100000000000001" customHeight="1"/>
    <row r="139" ht="17.100000000000001" customHeight="1"/>
    <row r="140" ht="17.100000000000001" customHeight="1"/>
    <row r="141" ht="17.100000000000001" customHeight="1"/>
    <row r="142" ht="17.100000000000001" customHeight="1"/>
    <row r="143" ht="17.100000000000001" customHeight="1"/>
    <row r="144" ht="17.100000000000001" customHeight="1"/>
    <row r="145" ht="17.100000000000001" customHeight="1"/>
    <row r="146" ht="17.100000000000001" customHeight="1"/>
    <row r="147" ht="17.100000000000001" customHeight="1"/>
    <row r="148" ht="17.100000000000001" customHeight="1"/>
    <row r="149" ht="17.100000000000001" customHeight="1"/>
    <row r="150" ht="17.100000000000001" customHeight="1"/>
    <row r="151" ht="17.100000000000001" customHeight="1"/>
    <row r="152" ht="17.100000000000001" customHeight="1"/>
    <row r="153" ht="17.100000000000001" customHeight="1"/>
    <row r="154" ht="17.100000000000001" customHeight="1"/>
    <row r="155" ht="17.100000000000001" customHeight="1"/>
    <row r="156" ht="17.100000000000001" customHeight="1"/>
    <row r="157" ht="17.100000000000001" customHeight="1"/>
    <row r="158" ht="17.100000000000001" customHeight="1"/>
    <row r="159" ht="17.100000000000001" customHeight="1"/>
    <row r="160" ht="17.100000000000001" customHeight="1"/>
    <row r="161" ht="17.100000000000001" customHeight="1"/>
    <row r="162" ht="17.100000000000001" customHeight="1"/>
    <row r="163" ht="17.100000000000001" customHeight="1"/>
    <row r="164" ht="17.100000000000001" customHeight="1"/>
    <row r="165" ht="17.100000000000001" customHeight="1"/>
    <row r="166" ht="17.100000000000001" customHeight="1"/>
    <row r="167" ht="17.100000000000001" customHeight="1"/>
    <row r="168" ht="17.100000000000001" customHeight="1"/>
    <row r="169" ht="17.100000000000001" customHeight="1"/>
    <row r="170" ht="17.100000000000001" customHeight="1"/>
    <row r="171" ht="17.100000000000001" customHeight="1"/>
    <row r="172" ht="17.100000000000001" customHeight="1"/>
    <row r="173" ht="17.100000000000001" customHeight="1"/>
    <row r="174" ht="17.100000000000001" customHeight="1"/>
    <row r="175" ht="17.100000000000001" customHeight="1"/>
    <row r="176" ht="17.100000000000001" customHeight="1"/>
    <row r="177" ht="17.100000000000001" customHeight="1"/>
    <row r="178" ht="17.100000000000001" customHeight="1"/>
    <row r="179" ht="17.100000000000001" customHeight="1"/>
    <row r="180" ht="17.100000000000001" customHeight="1"/>
    <row r="181" ht="17.100000000000001" customHeight="1"/>
    <row r="182" ht="17.100000000000001" customHeight="1"/>
    <row r="183" ht="17.100000000000001" customHeight="1"/>
    <row r="184" ht="17.100000000000001" customHeight="1"/>
    <row r="185" ht="17.100000000000001" customHeight="1"/>
    <row r="186" ht="17.100000000000001" customHeight="1"/>
    <row r="187" ht="17.100000000000001" customHeight="1"/>
    <row r="188" ht="17.100000000000001" customHeight="1"/>
    <row r="189" ht="17.100000000000001" customHeight="1"/>
    <row r="190" ht="17.100000000000001" customHeight="1"/>
    <row r="191" ht="17.100000000000001" customHeight="1"/>
    <row r="192" ht="17.100000000000001" customHeight="1"/>
    <row r="193" ht="17.100000000000001" customHeight="1"/>
    <row r="194" ht="17.100000000000001" customHeight="1"/>
    <row r="195" ht="17.100000000000001" customHeight="1"/>
    <row r="196" ht="17.100000000000001" customHeight="1"/>
    <row r="197" ht="17.100000000000001" customHeight="1"/>
    <row r="198" ht="17.100000000000001" customHeight="1"/>
    <row r="199" ht="17.100000000000001" customHeight="1"/>
    <row r="200" ht="17.100000000000001" customHeight="1"/>
    <row r="201" ht="17.100000000000001" customHeight="1"/>
    <row r="202" ht="17.100000000000001" customHeight="1"/>
    <row r="203" ht="17.100000000000001" customHeight="1"/>
    <row r="204" ht="17.100000000000001" customHeight="1"/>
    <row r="205" ht="17.100000000000001" customHeight="1"/>
    <row r="206" ht="17.100000000000001" customHeight="1"/>
    <row r="207" ht="17.100000000000001" customHeight="1"/>
    <row r="208" ht="17.100000000000001" customHeight="1"/>
    <row r="209" ht="17.100000000000001" customHeight="1"/>
    <row r="210" ht="17.100000000000001" customHeight="1"/>
    <row r="211" ht="17.100000000000001" customHeight="1"/>
    <row r="212" ht="17.100000000000001" customHeight="1"/>
    <row r="213" ht="17.100000000000001" customHeight="1"/>
    <row r="214" ht="17.100000000000001" customHeight="1"/>
    <row r="215" ht="17.100000000000001" customHeight="1"/>
    <row r="216" ht="17.100000000000001" customHeight="1"/>
    <row r="217" ht="17.100000000000001" customHeight="1"/>
    <row r="218" ht="17.100000000000001" customHeight="1"/>
    <row r="219" ht="17.100000000000001" customHeight="1"/>
    <row r="220" ht="17.100000000000001" customHeight="1"/>
    <row r="221" ht="17.100000000000001" customHeight="1"/>
    <row r="222" ht="17.100000000000001" customHeight="1"/>
    <row r="223" ht="17.100000000000001" customHeight="1"/>
    <row r="224" ht="17.100000000000001" customHeight="1"/>
    <row r="225" ht="17.100000000000001" customHeight="1"/>
    <row r="226" ht="17.100000000000001" customHeight="1"/>
    <row r="227" ht="17.100000000000001" customHeight="1"/>
    <row r="228" ht="17.100000000000001" customHeight="1"/>
    <row r="229" ht="17.100000000000001" customHeight="1"/>
    <row r="230" ht="17.100000000000001" customHeight="1"/>
    <row r="231" ht="17.100000000000001" customHeight="1"/>
    <row r="232" ht="17.100000000000001" customHeight="1"/>
    <row r="233" ht="17.100000000000001" customHeight="1"/>
    <row r="234" ht="17.100000000000001" customHeight="1"/>
    <row r="235" ht="17.100000000000001" customHeight="1"/>
    <row r="236" ht="17.100000000000001" customHeight="1"/>
    <row r="237" ht="17.100000000000001" customHeight="1"/>
    <row r="238" ht="17.100000000000001" customHeight="1"/>
    <row r="239" ht="17.100000000000001" customHeight="1"/>
    <row r="240" ht="17.100000000000001" customHeight="1"/>
    <row r="241" ht="17.100000000000001" customHeight="1"/>
    <row r="242" ht="17.100000000000001" customHeight="1"/>
    <row r="243" ht="17.100000000000001" customHeight="1"/>
    <row r="244" ht="17.100000000000001" customHeight="1"/>
    <row r="245" ht="17.100000000000001" customHeight="1"/>
    <row r="246" ht="17.100000000000001" customHeight="1"/>
    <row r="247" ht="17.100000000000001" customHeight="1"/>
    <row r="248" ht="17.100000000000001" customHeight="1"/>
    <row r="249" ht="17.100000000000001" customHeight="1"/>
    <row r="250" ht="17.100000000000001" customHeight="1"/>
    <row r="251" ht="17.100000000000001" customHeight="1"/>
    <row r="252" ht="17.100000000000001" customHeight="1"/>
    <row r="253" ht="17.100000000000001" customHeight="1"/>
    <row r="254" ht="17.100000000000001" customHeight="1"/>
    <row r="255" ht="17.100000000000001" customHeight="1"/>
    <row r="256" ht="17.100000000000001" customHeight="1"/>
    <row r="257" ht="17.100000000000001" customHeight="1"/>
    <row r="258" ht="17.100000000000001" customHeight="1"/>
    <row r="259" ht="17.100000000000001" customHeight="1"/>
    <row r="260" ht="17.100000000000001" customHeight="1"/>
    <row r="261" ht="17.100000000000001" customHeight="1"/>
    <row r="262" ht="17.100000000000001" customHeight="1"/>
    <row r="263" ht="17.100000000000001" customHeight="1"/>
    <row r="264" ht="17.100000000000001" customHeight="1"/>
    <row r="265" ht="17.100000000000001" customHeight="1"/>
    <row r="266" ht="17.100000000000001" customHeight="1"/>
    <row r="267" ht="17.100000000000001" customHeight="1"/>
    <row r="268" ht="17.100000000000001" customHeight="1"/>
    <row r="269" ht="17.100000000000001" customHeight="1"/>
    <row r="270" ht="17.100000000000001" customHeight="1"/>
    <row r="271" ht="17.100000000000001" customHeight="1"/>
    <row r="272" ht="17.100000000000001" customHeight="1"/>
    <row r="273" ht="17.100000000000001" customHeight="1"/>
    <row r="274" ht="17.100000000000001" customHeight="1"/>
    <row r="275" ht="17.100000000000001" customHeight="1"/>
    <row r="276" ht="17.100000000000001" customHeight="1"/>
    <row r="277" ht="17.100000000000001" customHeight="1"/>
    <row r="278" ht="17.100000000000001" customHeight="1"/>
    <row r="279" ht="17.100000000000001" customHeight="1"/>
    <row r="280" ht="17.100000000000001" customHeight="1"/>
    <row r="281" ht="17.100000000000001" customHeight="1"/>
    <row r="282" ht="17.100000000000001" customHeight="1"/>
    <row r="283" ht="17.100000000000001" customHeight="1"/>
    <row r="284" ht="17.100000000000001" customHeight="1"/>
    <row r="285" ht="17.100000000000001" customHeight="1"/>
    <row r="286" ht="17.100000000000001" customHeight="1"/>
    <row r="287" ht="17.100000000000001" customHeight="1"/>
    <row r="288" ht="17.100000000000001" customHeight="1"/>
    <row r="289" ht="17.100000000000001" customHeight="1"/>
    <row r="290" ht="17.100000000000001" customHeight="1"/>
    <row r="291" ht="17.100000000000001" customHeight="1"/>
    <row r="292" ht="17.100000000000001" customHeight="1"/>
    <row r="293" ht="17.100000000000001" customHeight="1"/>
    <row r="294" ht="17.100000000000001" customHeight="1"/>
    <row r="295" ht="17.100000000000001" customHeight="1"/>
    <row r="296" ht="17.100000000000001" customHeight="1"/>
    <row r="297" ht="17.100000000000001" customHeight="1"/>
    <row r="298" ht="17.100000000000001" customHeight="1"/>
    <row r="299" ht="17.100000000000001" customHeight="1"/>
    <row r="300" ht="17.100000000000001" customHeight="1"/>
    <row r="301" ht="17.100000000000001" customHeight="1"/>
    <row r="302" ht="17.100000000000001" customHeight="1"/>
    <row r="303" ht="17.100000000000001" customHeight="1"/>
    <row r="304" ht="17.100000000000001" customHeight="1"/>
    <row r="305" ht="17.100000000000001" customHeight="1"/>
    <row r="306" ht="17.100000000000001" customHeight="1"/>
    <row r="307" ht="17.100000000000001" customHeight="1"/>
    <row r="308" ht="17.100000000000001" customHeight="1"/>
    <row r="309" ht="17.100000000000001" customHeight="1"/>
    <row r="310" ht="17.100000000000001" customHeight="1"/>
    <row r="311" ht="17.100000000000001" customHeight="1"/>
    <row r="312" ht="17.100000000000001" customHeight="1"/>
    <row r="313" ht="17.100000000000001" customHeight="1"/>
    <row r="314" ht="17.100000000000001" customHeight="1"/>
    <row r="315" ht="17.100000000000001" customHeight="1"/>
    <row r="316" ht="17.100000000000001" customHeight="1"/>
    <row r="317" ht="17.100000000000001" customHeight="1"/>
    <row r="318" ht="17.100000000000001" customHeight="1"/>
    <row r="319" ht="17.100000000000001" customHeight="1"/>
    <row r="320" ht="17.100000000000001" customHeight="1"/>
    <row r="321" ht="17.100000000000001" customHeight="1"/>
    <row r="322" ht="17.100000000000001" customHeight="1"/>
    <row r="323" ht="17.100000000000001" customHeight="1"/>
    <row r="324" ht="17.100000000000001" customHeight="1"/>
    <row r="325" ht="17.100000000000001" customHeight="1"/>
    <row r="326" ht="17.100000000000001" customHeight="1"/>
    <row r="327" ht="17.100000000000001" customHeight="1"/>
    <row r="328" ht="17.100000000000001" customHeight="1"/>
    <row r="329" ht="17.100000000000001" customHeight="1"/>
    <row r="330" ht="17.100000000000001" customHeight="1"/>
    <row r="331" ht="17.100000000000001" customHeight="1"/>
    <row r="332" ht="17.100000000000001" customHeight="1"/>
    <row r="333" ht="17.100000000000001" customHeight="1"/>
    <row r="334" ht="17.100000000000001" customHeight="1"/>
    <row r="335" ht="17.100000000000001" customHeight="1"/>
    <row r="336" ht="17.100000000000001" customHeight="1"/>
    <row r="337" ht="17.100000000000001" customHeight="1"/>
    <row r="338" ht="17.100000000000001" customHeight="1"/>
    <row r="339" ht="17.100000000000001" customHeight="1"/>
    <row r="340" ht="17.100000000000001" customHeight="1"/>
    <row r="341" ht="17.100000000000001" customHeight="1"/>
    <row r="342" ht="17.100000000000001" customHeight="1"/>
    <row r="343" ht="17.100000000000001" customHeight="1"/>
    <row r="344" ht="17.100000000000001" customHeight="1"/>
    <row r="345" ht="17.100000000000001" customHeight="1"/>
    <row r="346" ht="17.100000000000001" customHeight="1"/>
    <row r="347" ht="17.100000000000001" customHeight="1"/>
    <row r="348" ht="17.100000000000001" customHeight="1"/>
    <row r="349" ht="17.100000000000001" customHeight="1"/>
    <row r="350" ht="17.100000000000001" customHeight="1"/>
    <row r="351" ht="17.100000000000001" customHeight="1"/>
    <row r="352" ht="17.100000000000001" customHeight="1"/>
    <row r="353" ht="17.100000000000001" customHeight="1"/>
    <row r="354" ht="17.100000000000001" customHeight="1"/>
    <row r="355" ht="17.100000000000001" customHeight="1"/>
    <row r="356" ht="17.100000000000001" customHeight="1"/>
    <row r="357" ht="17.100000000000001" customHeight="1"/>
    <row r="358" ht="17.100000000000001" customHeight="1"/>
    <row r="359" ht="17.100000000000001" customHeight="1"/>
    <row r="360" ht="17.100000000000001" customHeight="1"/>
    <row r="361" ht="17.100000000000001" customHeight="1"/>
    <row r="362" ht="17.100000000000001" customHeight="1"/>
    <row r="363" ht="17.100000000000001" customHeight="1"/>
    <row r="364" ht="17.100000000000001" customHeight="1"/>
    <row r="365" ht="17.100000000000001" customHeight="1"/>
    <row r="366" ht="17.100000000000001" customHeight="1"/>
    <row r="367" ht="17.100000000000001" customHeight="1"/>
    <row r="368" ht="17.100000000000001" customHeight="1"/>
    <row r="369" ht="17.100000000000001" customHeight="1"/>
    <row r="370" ht="17.100000000000001" customHeight="1"/>
    <row r="371" ht="17.100000000000001" customHeight="1"/>
    <row r="372" ht="17.100000000000001" customHeight="1"/>
    <row r="373" ht="17.100000000000001" customHeight="1"/>
    <row r="374" ht="17.100000000000001" customHeight="1"/>
    <row r="375" ht="17.100000000000001" customHeight="1"/>
    <row r="376" ht="17.100000000000001" customHeight="1"/>
    <row r="377" ht="17.100000000000001" customHeight="1"/>
    <row r="378" ht="17.100000000000001" customHeight="1"/>
    <row r="379" ht="17.100000000000001" customHeight="1"/>
    <row r="380" ht="17.100000000000001" customHeight="1"/>
    <row r="381" ht="17.100000000000001" customHeight="1"/>
    <row r="382" ht="17.100000000000001" customHeight="1"/>
    <row r="383" ht="17.100000000000001" customHeight="1"/>
    <row r="384" ht="17.100000000000001" customHeight="1"/>
    <row r="385" ht="17.100000000000001" customHeight="1"/>
    <row r="386" ht="17.100000000000001" customHeight="1"/>
    <row r="387" ht="17.100000000000001" customHeight="1"/>
    <row r="388" ht="17.100000000000001" customHeight="1"/>
    <row r="389" ht="17.100000000000001" customHeight="1"/>
    <row r="390" ht="17.100000000000001" customHeight="1"/>
    <row r="391" ht="17.100000000000001" customHeight="1"/>
    <row r="392" ht="17.100000000000001" customHeight="1"/>
    <row r="393" ht="17.100000000000001" customHeight="1"/>
    <row r="394" ht="17.100000000000001" customHeight="1"/>
    <row r="395" ht="17.100000000000001" customHeight="1"/>
    <row r="396" ht="17.100000000000001" customHeight="1"/>
    <row r="397" ht="17.100000000000001" customHeight="1"/>
    <row r="398" ht="17.100000000000001" customHeight="1"/>
    <row r="399" ht="17.100000000000001" customHeight="1"/>
    <row r="400" ht="17.100000000000001" customHeight="1"/>
    <row r="401" ht="17.100000000000001" customHeight="1"/>
    <row r="402" ht="17.100000000000001" customHeight="1"/>
    <row r="403" ht="17.100000000000001" customHeight="1"/>
    <row r="404" ht="17.100000000000001" customHeight="1"/>
    <row r="405" ht="17.100000000000001" customHeight="1"/>
    <row r="406" ht="17.100000000000001" customHeight="1"/>
    <row r="407" ht="17.100000000000001" customHeight="1"/>
    <row r="408" ht="17.100000000000001" customHeight="1"/>
    <row r="409" ht="17.100000000000001" customHeight="1"/>
    <row r="410" ht="17.100000000000001" customHeight="1"/>
    <row r="411" ht="17.100000000000001" customHeight="1"/>
    <row r="412" ht="17.100000000000001" customHeight="1"/>
    <row r="413" ht="17.100000000000001" customHeight="1"/>
    <row r="414" ht="17.100000000000001" customHeight="1"/>
    <row r="415" ht="17.100000000000001" customHeight="1"/>
    <row r="416" ht="17.100000000000001" customHeight="1"/>
    <row r="417" ht="17.100000000000001" customHeight="1"/>
    <row r="418" ht="17.100000000000001" customHeight="1"/>
    <row r="419" ht="17.100000000000001" customHeight="1"/>
    <row r="420" ht="17.100000000000001" customHeight="1"/>
    <row r="421" ht="17.100000000000001" customHeight="1"/>
    <row r="422" ht="17.100000000000001" customHeight="1"/>
    <row r="423" ht="17.100000000000001" customHeight="1"/>
    <row r="424" ht="17.100000000000001" customHeight="1"/>
    <row r="425" ht="17.100000000000001" customHeight="1"/>
    <row r="426" ht="17.100000000000001" customHeight="1"/>
    <row r="427" ht="17.100000000000001" customHeight="1"/>
    <row r="428" ht="17.100000000000001" customHeight="1"/>
    <row r="429" ht="17.100000000000001" customHeight="1"/>
    <row r="430" ht="17.100000000000001" customHeight="1"/>
    <row r="431" ht="17.100000000000001" customHeight="1"/>
    <row r="432" ht="17.100000000000001" customHeight="1"/>
    <row r="433" ht="17.100000000000001" customHeight="1"/>
    <row r="434" ht="17.100000000000001" customHeight="1"/>
    <row r="435" ht="17.100000000000001" customHeight="1"/>
    <row r="436" ht="17.100000000000001" customHeight="1"/>
    <row r="437" ht="17.100000000000001" customHeight="1"/>
    <row r="438" ht="17.100000000000001" customHeight="1"/>
    <row r="439" ht="17.100000000000001" customHeight="1"/>
    <row r="440" ht="17.100000000000001" customHeight="1"/>
    <row r="441" ht="17.100000000000001" customHeight="1"/>
    <row r="442" ht="17.100000000000001" customHeight="1"/>
    <row r="443" ht="17.100000000000001" customHeight="1"/>
    <row r="444" ht="17.100000000000001" customHeight="1"/>
    <row r="445" ht="17.100000000000001" customHeight="1"/>
    <row r="446" ht="17.100000000000001" customHeight="1"/>
    <row r="447" ht="17.100000000000001" customHeight="1"/>
    <row r="448" ht="17.100000000000001" customHeight="1"/>
    <row r="449" ht="17.100000000000001" customHeight="1"/>
    <row r="450" ht="17.100000000000001" customHeight="1"/>
    <row r="451" ht="17.100000000000001" customHeight="1"/>
    <row r="452" ht="17.100000000000001" customHeight="1"/>
    <row r="453" ht="17.100000000000001" customHeight="1"/>
    <row r="454" ht="17.100000000000001" customHeight="1"/>
    <row r="455" ht="17.100000000000001" customHeight="1"/>
    <row r="456" ht="17.100000000000001" customHeight="1"/>
    <row r="457" ht="17.100000000000001" customHeight="1"/>
    <row r="458" ht="17.100000000000001" customHeight="1"/>
    <row r="459" ht="17.100000000000001" customHeight="1"/>
    <row r="460" ht="17.100000000000001" customHeight="1"/>
    <row r="461" ht="17.100000000000001" customHeight="1"/>
    <row r="462" ht="17.100000000000001" customHeight="1"/>
    <row r="463" ht="17.100000000000001" customHeight="1"/>
    <row r="464" ht="17.100000000000001" customHeight="1"/>
    <row r="465" ht="17.100000000000001" customHeight="1"/>
    <row r="466" ht="17.100000000000001" customHeight="1"/>
    <row r="467" ht="17.100000000000001" customHeight="1"/>
    <row r="468" ht="17.100000000000001" customHeight="1"/>
    <row r="469" ht="17.100000000000001" customHeight="1"/>
    <row r="470" ht="17.100000000000001" customHeight="1"/>
    <row r="471" ht="17.100000000000001" customHeight="1"/>
    <row r="472" ht="17.100000000000001" customHeight="1"/>
    <row r="473" ht="17.100000000000001" customHeight="1"/>
    <row r="474" ht="17.100000000000001" customHeight="1"/>
    <row r="475" ht="17.100000000000001" customHeight="1"/>
    <row r="476" ht="17.100000000000001" customHeight="1"/>
    <row r="477" ht="17.100000000000001" customHeight="1"/>
    <row r="478" ht="17.100000000000001" customHeight="1"/>
    <row r="479" ht="17.100000000000001" customHeight="1"/>
    <row r="480" ht="17.100000000000001" customHeight="1"/>
    <row r="481" ht="17.100000000000001" customHeight="1"/>
    <row r="482" ht="17.100000000000001" customHeight="1"/>
    <row r="483" ht="17.100000000000001" customHeight="1"/>
    <row r="484" ht="17.100000000000001" customHeight="1"/>
    <row r="485" ht="17.100000000000001" customHeight="1"/>
    <row r="486" ht="17.100000000000001" customHeight="1"/>
    <row r="487" ht="17.100000000000001" customHeight="1"/>
    <row r="488" ht="17.100000000000001" customHeight="1"/>
    <row r="489" ht="17.100000000000001" customHeight="1"/>
    <row r="490" ht="17.100000000000001" customHeight="1"/>
    <row r="491" ht="17.100000000000001" customHeight="1"/>
    <row r="492" ht="17.100000000000001" customHeight="1"/>
    <row r="493" ht="17.100000000000001" customHeight="1"/>
    <row r="494" ht="17.100000000000001" customHeight="1"/>
    <row r="495" ht="17.100000000000001" customHeight="1"/>
    <row r="496" ht="17.100000000000001" customHeight="1"/>
    <row r="497" ht="17.100000000000001" customHeight="1"/>
    <row r="498" ht="17.100000000000001" customHeight="1"/>
    <row r="499" ht="17.100000000000001" customHeight="1"/>
    <row r="500" ht="17.100000000000001" customHeight="1"/>
    <row r="501" ht="17.100000000000001" customHeight="1"/>
    <row r="502" ht="17.100000000000001" customHeight="1"/>
    <row r="503" ht="17.100000000000001" customHeight="1"/>
    <row r="504" ht="17.100000000000001" customHeight="1"/>
    <row r="505" ht="17.100000000000001" customHeight="1"/>
    <row r="506" ht="17.100000000000001" customHeight="1"/>
    <row r="507" ht="17.100000000000001" customHeight="1"/>
    <row r="508" ht="17.100000000000001" customHeight="1"/>
    <row r="509" ht="17.100000000000001" customHeight="1"/>
    <row r="510" ht="17.100000000000001" customHeight="1"/>
    <row r="511" ht="17.100000000000001" customHeight="1"/>
    <row r="512" ht="17.100000000000001" customHeight="1"/>
    <row r="513" ht="17.100000000000001" customHeight="1"/>
    <row r="514" ht="17.100000000000001" customHeight="1"/>
    <row r="515" ht="17.100000000000001" customHeight="1"/>
    <row r="516" ht="17.100000000000001" customHeight="1"/>
    <row r="517" ht="17.100000000000001" customHeight="1"/>
    <row r="518" ht="17.100000000000001" customHeight="1"/>
    <row r="519" ht="17.100000000000001" customHeight="1"/>
    <row r="520" ht="17.100000000000001" customHeight="1"/>
    <row r="521" ht="17.100000000000001" customHeight="1"/>
    <row r="522" ht="17.100000000000001" customHeight="1"/>
    <row r="523" ht="17.100000000000001" customHeight="1"/>
    <row r="524" ht="17.100000000000001" customHeight="1"/>
    <row r="525" ht="17.100000000000001" customHeight="1"/>
    <row r="526" ht="17.100000000000001" customHeight="1"/>
    <row r="527" ht="17.100000000000001" customHeight="1"/>
    <row r="528" ht="17.100000000000001" customHeight="1"/>
    <row r="529" ht="17.100000000000001" customHeight="1"/>
    <row r="530" ht="17.100000000000001" customHeight="1"/>
    <row r="531" ht="17.100000000000001" customHeight="1"/>
    <row r="532" ht="17.100000000000001" customHeight="1"/>
    <row r="533" ht="17.100000000000001" customHeight="1"/>
    <row r="534" ht="17.100000000000001" customHeight="1"/>
    <row r="535" ht="17.100000000000001" customHeight="1"/>
    <row r="536" ht="17.100000000000001" customHeight="1"/>
    <row r="537" ht="17.100000000000001" customHeight="1"/>
    <row r="538" ht="17.100000000000001" customHeight="1"/>
    <row r="539" ht="17.100000000000001" customHeight="1"/>
    <row r="540" ht="17.100000000000001" customHeight="1"/>
    <row r="541" ht="17.100000000000001" customHeight="1"/>
    <row r="542" ht="17.100000000000001" customHeight="1"/>
    <row r="543" ht="17.100000000000001" customHeight="1"/>
    <row r="544" ht="17.100000000000001" customHeight="1"/>
    <row r="545" ht="17.100000000000001" customHeight="1"/>
    <row r="546" ht="17.100000000000001" customHeight="1"/>
    <row r="547" ht="17.100000000000001" customHeight="1"/>
    <row r="548" ht="17.100000000000001" customHeight="1"/>
    <row r="549" ht="17.100000000000001" customHeight="1"/>
    <row r="550" ht="17.100000000000001" customHeight="1"/>
    <row r="551" ht="17.100000000000001" customHeight="1"/>
    <row r="552" ht="17.100000000000001" customHeight="1"/>
    <row r="553" ht="17.100000000000001" customHeight="1"/>
    <row r="554" ht="17.100000000000001" customHeight="1"/>
    <row r="555" ht="17.100000000000001" customHeight="1"/>
    <row r="556" ht="17.100000000000001" customHeight="1"/>
    <row r="557" ht="17.100000000000001" customHeight="1"/>
    <row r="558" ht="17.100000000000001" customHeight="1"/>
    <row r="559" ht="17.100000000000001" customHeight="1"/>
    <row r="560" ht="17.100000000000001" customHeight="1"/>
    <row r="561" ht="17.100000000000001" customHeight="1"/>
    <row r="562" ht="17.100000000000001" customHeight="1"/>
    <row r="563" ht="17.100000000000001" customHeight="1"/>
    <row r="564" ht="17.100000000000001" customHeight="1"/>
    <row r="565" ht="17.100000000000001" customHeight="1"/>
    <row r="566" ht="17.100000000000001" customHeight="1"/>
    <row r="567" ht="17.100000000000001" customHeight="1"/>
    <row r="568" ht="17.100000000000001" customHeight="1"/>
    <row r="569" ht="17.100000000000001" customHeight="1"/>
    <row r="570" ht="17.100000000000001" customHeight="1"/>
    <row r="571" ht="17.100000000000001" customHeight="1"/>
    <row r="572" ht="17.100000000000001" customHeight="1"/>
    <row r="573" ht="17.100000000000001" customHeight="1"/>
    <row r="574" ht="17.100000000000001" customHeight="1"/>
    <row r="575" ht="17.100000000000001" customHeight="1"/>
    <row r="576" ht="17.100000000000001" customHeight="1"/>
    <row r="577" ht="17.100000000000001" customHeight="1"/>
    <row r="578" ht="17.100000000000001" customHeight="1"/>
    <row r="579" ht="17.100000000000001" customHeight="1"/>
    <row r="580" ht="17.100000000000001" customHeight="1"/>
    <row r="581" ht="17.100000000000001" customHeight="1"/>
    <row r="582" ht="17.100000000000001" customHeight="1"/>
    <row r="583" ht="17.100000000000001" customHeight="1"/>
    <row r="584" ht="17.100000000000001" customHeight="1"/>
    <row r="585" ht="17.100000000000001" customHeight="1"/>
    <row r="586" ht="17.100000000000001" customHeight="1"/>
    <row r="587" ht="17.100000000000001" customHeight="1"/>
    <row r="588" ht="17.100000000000001" customHeight="1"/>
    <row r="589" ht="17.100000000000001" customHeight="1"/>
    <row r="590" ht="17.100000000000001" customHeight="1"/>
    <row r="591" ht="17.100000000000001" customHeight="1"/>
    <row r="592" ht="17.100000000000001" customHeight="1"/>
    <row r="593" ht="17.100000000000001" customHeight="1"/>
    <row r="594" ht="17.100000000000001" customHeight="1"/>
    <row r="595" ht="17.100000000000001" customHeight="1"/>
    <row r="596" ht="17.100000000000001" customHeight="1"/>
    <row r="597" ht="17.100000000000001" customHeight="1"/>
    <row r="598" ht="17.100000000000001" customHeight="1"/>
    <row r="599" ht="17.100000000000001" customHeight="1"/>
    <row r="600" ht="17.100000000000001" customHeight="1"/>
    <row r="601" ht="17.100000000000001" customHeight="1"/>
    <row r="602" ht="17.100000000000001" customHeight="1"/>
    <row r="603" ht="17.100000000000001" customHeight="1"/>
    <row r="604" ht="17.100000000000001" customHeight="1"/>
    <row r="605" ht="17.100000000000001" customHeight="1"/>
    <row r="606" ht="17.100000000000001" customHeight="1"/>
    <row r="607" ht="17.100000000000001" customHeight="1"/>
    <row r="608" ht="17.100000000000001" customHeight="1"/>
    <row r="609" ht="17.100000000000001" customHeight="1"/>
    <row r="610" ht="17.100000000000001" customHeight="1"/>
    <row r="611" ht="17.100000000000001" customHeight="1"/>
    <row r="612" ht="17.100000000000001" customHeight="1"/>
    <row r="613" ht="17.100000000000001" customHeight="1"/>
    <row r="614" ht="17.100000000000001" customHeight="1"/>
    <row r="615" ht="17.100000000000001" customHeight="1"/>
    <row r="616" ht="17.100000000000001" customHeight="1"/>
    <row r="617" ht="17.100000000000001" customHeight="1"/>
    <row r="618" ht="17.100000000000001" customHeight="1"/>
    <row r="619" ht="17.100000000000001" customHeight="1"/>
    <row r="620" ht="17.100000000000001" customHeight="1"/>
    <row r="621" ht="17.100000000000001" customHeight="1"/>
    <row r="622" ht="17.100000000000001" customHeight="1"/>
    <row r="623" ht="17.100000000000001" customHeight="1"/>
    <row r="624" ht="17.100000000000001" customHeight="1"/>
    <row r="625" ht="17.100000000000001" customHeight="1"/>
    <row r="626" ht="17.100000000000001" customHeight="1"/>
    <row r="627" ht="17.100000000000001" customHeight="1"/>
    <row r="628" ht="17.100000000000001" customHeight="1"/>
    <row r="629" ht="17.100000000000001" customHeight="1"/>
    <row r="630" ht="17.100000000000001" customHeight="1"/>
    <row r="631" ht="17.100000000000001" customHeight="1"/>
    <row r="632" ht="17.100000000000001" customHeight="1"/>
    <row r="633" ht="17.100000000000001" customHeight="1"/>
    <row r="634" ht="17.100000000000001" customHeight="1"/>
    <row r="635" ht="17.100000000000001" customHeight="1"/>
    <row r="636" ht="17.100000000000001" customHeight="1"/>
    <row r="637" ht="17.100000000000001" customHeight="1"/>
    <row r="638" ht="17.100000000000001" customHeight="1"/>
    <row r="639" ht="17.100000000000001" customHeight="1"/>
    <row r="640" ht="17.100000000000001" customHeight="1"/>
    <row r="641" ht="17.100000000000001" customHeight="1"/>
    <row r="642" ht="17.100000000000001" customHeight="1"/>
    <row r="643" ht="17.100000000000001" customHeight="1"/>
    <row r="644" ht="17.100000000000001" customHeight="1"/>
    <row r="645" ht="17.100000000000001" customHeight="1"/>
    <row r="646" ht="17.100000000000001" customHeight="1"/>
    <row r="647" ht="17.100000000000001" customHeight="1"/>
    <row r="648" ht="17.100000000000001" customHeight="1"/>
    <row r="649" ht="17.100000000000001" customHeight="1"/>
    <row r="650" ht="17.100000000000001" customHeight="1"/>
    <row r="651" ht="17.100000000000001" customHeight="1"/>
    <row r="652" ht="17.100000000000001" customHeight="1"/>
    <row r="653" ht="17.100000000000001" customHeight="1"/>
    <row r="654" ht="17.100000000000001" customHeight="1"/>
    <row r="655" ht="17.100000000000001" customHeight="1"/>
    <row r="656" ht="17.100000000000001" customHeight="1"/>
    <row r="657" ht="17.100000000000001" customHeight="1"/>
    <row r="658" ht="17.100000000000001" customHeight="1"/>
    <row r="659" ht="17.100000000000001" customHeight="1"/>
    <row r="660" ht="17.100000000000001" customHeight="1"/>
    <row r="661" ht="17.100000000000001" customHeight="1"/>
    <row r="662" ht="17.100000000000001" customHeight="1"/>
    <row r="663" ht="17.100000000000001" customHeight="1"/>
    <row r="664" ht="17.100000000000001" customHeight="1"/>
    <row r="665" ht="17.100000000000001" customHeight="1"/>
    <row r="666" ht="17.100000000000001" customHeight="1"/>
    <row r="667" ht="17.100000000000001" customHeight="1"/>
    <row r="668" ht="17.100000000000001" customHeight="1"/>
    <row r="669" ht="17.100000000000001" customHeight="1"/>
    <row r="670" ht="17.100000000000001" customHeight="1"/>
    <row r="671" ht="17.100000000000001" customHeight="1"/>
    <row r="672" ht="17.100000000000001" customHeight="1"/>
    <row r="673" ht="17.100000000000001" customHeight="1"/>
    <row r="674" ht="17.100000000000001" customHeight="1"/>
    <row r="675" ht="17.100000000000001" customHeight="1"/>
    <row r="676" ht="17.100000000000001" customHeight="1"/>
    <row r="677" ht="17.100000000000001" customHeight="1"/>
    <row r="678" ht="17.100000000000001" customHeight="1"/>
    <row r="679" ht="17.100000000000001" customHeight="1"/>
    <row r="680" ht="17.100000000000001" customHeight="1"/>
    <row r="681" ht="17.100000000000001" customHeight="1"/>
    <row r="682" ht="17.100000000000001" customHeight="1"/>
    <row r="683" ht="17.100000000000001" customHeight="1"/>
    <row r="684" ht="17.100000000000001" customHeight="1"/>
    <row r="685" ht="17.100000000000001" customHeight="1"/>
    <row r="686" ht="17.100000000000001" customHeight="1"/>
    <row r="687" ht="17.100000000000001" customHeight="1"/>
    <row r="688" ht="17.100000000000001" customHeight="1"/>
    <row r="689" ht="17.100000000000001" customHeight="1"/>
    <row r="690" ht="17.100000000000001" customHeight="1"/>
    <row r="691" ht="17.100000000000001" customHeight="1"/>
    <row r="692" ht="17.100000000000001" customHeight="1"/>
    <row r="693" ht="17.100000000000001" customHeight="1"/>
    <row r="694" ht="17.100000000000001" customHeight="1"/>
    <row r="695" ht="17.100000000000001" customHeight="1"/>
    <row r="696" ht="17.100000000000001" customHeight="1"/>
    <row r="697" ht="17.100000000000001" customHeight="1"/>
    <row r="698" ht="17.100000000000001" customHeight="1"/>
    <row r="699" ht="17.100000000000001" customHeight="1"/>
    <row r="700" ht="17.100000000000001" customHeight="1"/>
    <row r="701" ht="17.100000000000001" customHeight="1"/>
    <row r="702" ht="17.100000000000001" customHeight="1"/>
    <row r="703" ht="17.100000000000001" customHeight="1"/>
    <row r="704" ht="17.100000000000001" customHeight="1"/>
    <row r="705" ht="17.100000000000001" customHeight="1"/>
    <row r="706" ht="17.100000000000001" customHeight="1"/>
    <row r="707" ht="17.100000000000001" customHeight="1"/>
    <row r="708" ht="17.100000000000001" customHeight="1"/>
    <row r="709" ht="17.100000000000001" customHeight="1"/>
    <row r="710" ht="17.100000000000001" customHeight="1"/>
    <row r="711" ht="17.100000000000001" customHeight="1"/>
    <row r="712" ht="17.100000000000001" customHeight="1"/>
    <row r="713" ht="17.100000000000001" customHeight="1"/>
    <row r="714" ht="17.100000000000001" customHeight="1"/>
    <row r="715" ht="17.100000000000001" customHeight="1"/>
    <row r="716" ht="17.100000000000001" customHeight="1"/>
    <row r="717" ht="17.100000000000001" customHeight="1"/>
    <row r="718" ht="17.100000000000001" customHeight="1"/>
    <row r="719" ht="17.100000000000001" customHeight="1"/>
    <row r="720" ht="17.100000000000001" customHeight="1"/>
    <row r="721" ht="17.100000000000001" customHeight="1"/>
    <row r="722" ht="17.100000000000001" customHeight="1"/>
    <row r="723" ht="17.100000000000001" customHeight="1"/>
    <row r="724" ht="17.100000000000001" customHeight="1"/>
    <row r="725" ht="17.100000000000001" customHeight="1"/>
    <row r="726" ht="17.100000000000001" customHeight="1"/>
    <row r="727" ht="17.100000000000001" customHeight="1"/>
    <row r="728" ht="17.100000000000001" customHeight="1"/>
    <row r="729" ht="17.100000000000001" customHeight="1"/>
    <row r="730" ht="17.100000000000001" customHeight="1"/>
    <row r="731" ht="17.100000000000001" customHeight="1"/>
    <row r="732" ht="17.100000000000001" customHeight="1"/>
    <row r="733" ht="17.100000000000001" customHeight="1"/>
    <row r="734" ht="17.100000000000001" customHeight="1"/>
    <row r="735" ht="17.100000000000001" customHeight="1"/>
    <row r="736" ht="17.100000000000001" customHeight="1"/>
    <row r="737" ht="17.100000000000001" customHeight="1"/>
    <row r="738" ht="17.100000000000001" customHeight="1"/>
    <row r="739" ht="17.100000000000001" customHeight="1"/>
    <row r="740" ht="17.100000000000001" customHeight="1"/>
    <row r="741" ht="17.100000000000001" customHeight="1"/>
    <row r="742" ht="17.100000000000001" customHeight="1"/>
    <row r="743" ht="17.100000000000001" customHeight="1"/>
    <row r="744" ht="17.100000000000001" customHeight="1"/>
    <row r="745" ht="17.100000000000001" customHeight="1"/>
    <row r="746" ht="17.100000000000001" customHeight="1"/>
    <row r="747" ht="17.100000000000001" customHeight="1"/>
    <row r="748" ht="17.100000000000001" customHeight="1"/>
    <row r="749" ht="17.100000000000001" customHeight="1"/>
    <row r="750" ht="17.100000000000001" customHeight="1"/>
    <row r="751" ht="17.100000000000001" customHeight="1"/>
    <row r="752" ht="17.100000000000001" customHeight="1"/>
    <row r="753" ht="17.100000000000001" customHeight="1"/>
    <row r="754" ht="17.100000000000001" customHeight="1"/>
    <row r="755" ht="17.100000000000001" customHeight="1"/>
    <row r="756" ht="17.100000000000001" customHeight="1"/>
    <row r="757" ht="17.100000000000001" customHeight="1"/>
    <row r="758" ht="17.100000000000001" customHeight="1"/>
    <row r="759" ht="17.100000000000001" customHeight="1"/>
    <row r="760" ht="17.100000000000001" customHeight="1"/>
    <row r="761" ht="17.100000000000001" customHeight="1"/>
    <row r="762" ht="17.100000000000001" customHeight="1"/>
    <row r="763" ht="17.100000000000001" customHeight="1"/>
    <row r="764" ht="17.100000000000001" customHeight="1"/>
    <row r="765" ht="17.100000000000001" customHeight="1"/>
    <row r="766" ht="17.100000000000001" customHeight="1"/>
    <row r="767" ht="17.100000000000001" customHeight="1"/>
    <row r="768" ht="17.100000000000001" customHeight="1"/>
    <row r="769" ht="17.100000000000001" customHeight="1"/>
    <row r="770" ht="17.100000000000001" customHeight="1"/>
    <row r="771" ht="17.100000000000001" customHeight="1"/>
    <row r="772" ht="17.100000000000001" customHeight="1"/>
    <row r="773" ht="17.100000000000001" customHeight="1"/>
    <row r="774" ht="17.100000000000001" customHeight="1"/>
    <row r="775" ht="17.100000000000001" customHeight="1"/>
    <row r="776" ht="17.100000000000001" customHeight="1"/>
    <row r="777" ht="17.100000000000001" customHeight="1"/>
    <row r="778" ht="17.100000000000001" customHeight="1"/>
    <row r="779" ht="17.100000000000001" customHeight="1"/>
    <row r="780" ht="17.100000000000001" customHeight="1"/>
    <row r="781" ht="17.100000000000001" customHeight="1"/>
    <row r="782" ht="17.100000000000001" customHeight="1"/>
    <row r="783" ht="17.100000000000001" customHeight="1"/>
    <row r="784" ht="17.100000000000001" customHeight="1"/>
    <row r="785" ht="17.100000000000001" customHeight="1"/>
    <row r="786" ht="17.100000000000001" customHeight="1"/>
    <row r="787" ht="17.100000000000001" customHeight="1"/>
    <row r="788" ht="17.100000000000001" customHeight="1"/>
    <row r="789" ht="17.100000000000001" customHeight="1"/>
    <row r="790" ht="17.100000000000001" customHeight="1"/>
    <row r="791" ht="17.100000000000001" customHeight="1"/>
    <row r="792" ht="17.100000000000001" customHeight="1"/>
    <row r="793" ht="17.100000000000001" customHeight="1"/>
    <row r="794" ht="17.100000000000001" customHeight="1"/>
    <row r="795" ht="17.100000000000001" customHeight="1"/>
    <row r="796" ht="17.100000000000001" customHeight="1"/>
    <row r="797" ht="17.100000000000001" customHeight="1"/>
    <row r="798" ht="17.100000000000001" customHeight="1"/>
    <row r="799" ht="17.100000000000001" customHeight="1"/>
    <row r="800" ht="17.100000000000001" customHeight="1"/>
    <row r="801" ht="17.100000000000001" customHeight="1"/>
    <row r="802" ht="17.100000000000001" customHeight="1"/>
    <row r="803" ht="17.100000000000001" customHeight="1"/>
    <row r="804" ht="17.100000000000001" customHeight="1"/>
    <row r="805" ht="17.100000000000001" customHeight="1"/>
    <row r="806" ht="17.100000000000001" customHeight="1"/>
    <row r="807" ht="17.100000000000001" customHeight="1"/>
    <row r="808" ht="17.100000000000001" customHeight="1"/>
    <row r="809" ht="17.100000000000001" customHeight="1"/>
    <row r="810" ht="17.100000000000001" customHeight="1"/>
    <row r="811" ht="17.100000000000001" customHeight="1"/>
    <row r="812" ht="17.100000000000001" customHeight="1"/>
    <row r="813" ht="17.100000000000001" customHeight="1"/>
    <row r="814" ht="17.100000000000001" customHeight="1"/>
    <row r="815" ht="17.100000000000001" customHeight="1"/>
    <row r="816" ht="17.100000000000001" customHeight="1"/>
    <row r="817" ht="17.100000000000001" customHeight="1"/>
    <row r="818" ht="17.100000000000001" customHeight="1"/>
    <row r="819" ht="17.100000000000001" customHeight="1"/>
    <row r="820" ht="17.100000000000001" customHeight="1"/>
    <row r="821" ht="17.100000000000001" customHeight="1"/>
    <row r="822" ht="17.100000000000001" customHeight="1"/>
    <row r="823" ht="17.100000000000001" customHeight="1"/>
    <row r="824" ht="17.100000000000001" customHeight="1"/>
    <row r="825" ht="17.100000000000001" customHeight="1"/>
    <row r="826" ht="17.100000000000001" customHeight="1"/>
    <row r="827" ht="17.100000000000001" customHeight="1"/>
    <row r="828" ht="17.100000000000001" customHeight="1"/>
    <row r="829" ht="17.100000000000001" customHeight="1"/>
    <row r="830" ht="17.100000000000001" customHeight="1"/>
    <row r="831" ht="17.100000000000001" customHeight="1"/>
    <row r="832" ht="17.100000000000001" customHeight="1"/>
    <row r="833" ht="17.100000000000001" customHeight="1"/>
    <row r="834" ht="17.100000000000001" customHeight="1"/>
    <row r="835" ht="17.100000000000001" customHeight="1"/>
    <row r="836" ht="17.100000000000001" customHeight="1"/>
    <row r="837" ht="17.100000000000001" customHeight="1"/>
    <row r="838" ht="17.100000000000001" customHeight="1"/>
    <row r="839" ht="17.100000000000001" customHeight="1"/>
    <row r="840" ht="17.100000000000001" customHeight="1"/>
    <row r="841" ht="17.100000000000001" customHeight="1"/>
    <row r="842" ht="17.100000000000001" customHeight="1"/>
    <row r="843" ht="17.100000000000001" customHeight="1"/>
    <row r="844" ht="17.100000000000001" customHeight="1"/>
    <row r="845" ht="17.100000000000001" customHeight="1"/>
    <row r="846" ht="17.100000000000001" customHeight="1"/>
    <row r="847" ht="17.100000000000001" customHeight="1"/>
    <row r="848" ht="17.100000000000001" customHeight="1"/>
    <row r="849" ht="17.100000000000001" customHeight="1"/>
    <row r="850" ht="17.100000000000001" customHeight="1"/>
    <row r="851" ht="17.100000000000001" customHeight="1"/>
    <row r="852" ht="17.100000000000001" customHeight="1"/>
    <row r="853" ht="17.100000000000001" customHeight="1"/>
    <row r="854" ht="17.100000000000001" customHeight="1"/>
    <row r="855" ht="17.100000000000001" customHeight="1"/>
    <row r="856" ht="17.100000000000001" customHeight="1"/>
    <row r="857" ht="17.100000000000001" customHeight="1"/>
    <row r="858" ht="17.100000000000001" customHeight="1"/>
    <row r="859" ht="17.100000000000001" customHeight="1"/>
    <row r="860" ht="17.100000000000001" customHeight="1"/>
    <row r="861" ht="17.100000000000001" customHeight="1"/>
    <row r="862" ht="17.100000000000001" customHeight="1"/>
    <row r="863" ht="17.100000000000001" customHeight="1"/>
    <row r="864" ht="17.100000000000001" customHeight="1"/>
    <row r="865" ht="17.100000000000001" customHeight="1"/>
    <row r="866" ht="17.100000000000001" customHeight="1"/>
    <row r="867" ht="17.100000000000001" customHeight="1"/>
    <row r="868" ht="17.100000000000001" customHeight="1"/>
    <row r="869" ht="17.100000000000001" customHeight="1"/>
    <row r="870" ht="17.100000000000001" customHeight="1"/>
    <row r="871" ht="17.100000000000001" customHeight="1"/>
    <row r="872" ht="17.100000000000001" customHeight="1"/>
    <row r="873" ht="17.100000000000001" customHeight="1"/>
    <row r="874" ht="17.100000000000001" customHeight="1"/>
    <row r="875" ht="17.100000000000001" customHeight="1"/>
    <row r="876" ht="17.100000000000001" customHeight="1"/>
    <row r="877" ht="17.100000000000001" customHeight="1"/>
    <row r="878" ht="17.100000000000001" customHeight="1"/>
    <row r="879" ht="17.100000000000001" customHeight="1"/>
    <row r="880" ht="17.100000000000001" customHeight="1"/>
    <row r="881" ht="17.100000000000001" customHeight="1"/>
    <row r="882" ht="17.100000000000001" customHeight="1"/>
    <row r="883" ht="17.100000000000001" customHeight="1"/>
    <row r="884" ht="17.100000000000001" customHeight="1"/>
    <row r="885" ht="17.100000000000001" customHeight="1"/>
    <row r="886" ht="17.100000000000001" customHeight="1"/>
    <row r="887" ht="17.100000000000001" customHeight="1"/>
    <row r="888" ht="17.100000000000001" customHeight="1"/>
    <row r="889" ht="17.100000000000001" customHeight="1"/>
    <row r="890" ht="17.100000000000001" customHeight="1"/>
    <row r="891" ht="17.100000000000001" customHeight="1"/>
    <row r="892" ht="17.100000000000001" customHeight="1"/>
    <row r="893" ht="17.100000000000001" customHeight="1"/>
    <row r="894" ht="17.100000000000001" customHeight="1"/>
    <row r="895" ht="17.100000000000001" customHeight="1"/>
    <row r="896" ht="17.100000000000001" customHeight="1"/>
    <row r="897" ht="17.100000000000001" customHeight="1"/>
    <row r="898" ht="17.100000000000001" customHeight="1"/>
    <row r="899" ht="17.100000000000001" customHeight="1"/>
    <row r="900" ht="17.100000000000001" customHeight="1"/>
    <row r="901" ht="17.100000000000001" customHeight="1"/>
    <row r="902" ht="17.100000000000001" customHeight="1"/>
    <row r="903" ht="17.100000000000001" customHeight="1"/>
    <row r="904" ht="17.100000000000001" customHeight="1"/>
    <row r="905" ht="17.100000000000001" customHeight="1"/>
    <row r="906" ht="17.100000000000001" customHeight="1"/>
    <row r="907" ht="17.100000000000001" customHeight="1"/>
    <row r="908" ht="17.100000000000001" customHeight="1"/>
    <row r="909" ht="17.100000000000001" customHeight="1"/>
    <row r="910" ht="17.100000000000001" customHeight="1"/>
    <row r="911" ht="17.100000000000001" customHeight="1"/>
    <row r="912" ht="17.100000000000001" customHeight="1"/>
    <row r="913" ht="17.100000000000001" customHeight="1"/>
    <row r="914" ht="17.100000000000001" customHeight="1"/>
    <row r="915" ht="17.100000000000001" customHeight="1"/>
    <row r="916" ht="17.100000000000001" customHeight="1"/>
    <row r="917" ht="17.100000000000001" customHeight="1"/>
    <row r="918" ht="17.100000000000001" customHeight="1"/>
    <row r="919" ht="17.100000000000001" customHeight="1"/>
    <row r="920" ht="17.100000000000001" customHeight="1"/>
    <row r="921" ht="17.100000000000001" customHeight="1"/>
    <row r="922" ht="17.100000000000001" customHeight="1"/>
    <row r="923" ht="17.100000000000001" customHeight="1"/>
    <row r="924" ht="17.100000000000001" customHeight="1"/>
    <row r="925" ht="17.100000000000001" customHeight="1"/>
    <row r="926" ht="17.100000000000001" customHeight="1"/>
    <row r="927" ht="17.100000000000001" customHeight="1"/>
    <row r="928" ht="17.100000000000001" customHeight="1"/>
    <row r="929" ht="17.100000000000001" customHeight="1"/>
    <row r="930" ht="17.100000000000001" customHeight="1"/>
    <row r="931" ht="17.100000000000001" customHeight="1"/>
    <row r="932" ht="17.100000000000001" customHeight="1"/>
    <row r="933" ht="17.100000000000001" customHeight="1"/>
    <row r="934" ht="17.100000000000001" customHeight="1"/>
    <row r="935" ht="17.100000000000001" customHeight="1"/>
    <row r="936" ht="17.100000000000001" customHeight="1"/>
    <row r="937" ht="17.100000000000001" customHeight="1"/>
    <row r="938" ht="17.100000000000001" customHeight="1"/>
    <row r="939" ht="17.100000000000001" customHeight="1"/>
    <row r="940" ht="17.100000000000001" customHeight="1"/>
    <row r="941" ht="17.100000000000001" customHeight="1"/>
    <row r="942" ht="17.100000000000001" customHeight="1"/>
    <row r="943" ht="17.100000000000001" customHeight="1"/>
    <row r="944" ht="17.100000000000001" customHeight="1"/>
    <row r="945" ht="17.100000000000001" customHeight="1"/>
    <row r="946" ht="17.100000000000001" customHeight="1"/>
    <row r="947" ht="17.100000000000001" customHeight="1"/>
    <row r="948" ht="17.100000000000001" customHeight="1"/>
    <row r="949" ht="17.100000000000001" customHeight="1"/>
    <row r="950" ht="17.100000000000001" customHeight="1"/>
    <row r="951" ht="17.100000000000001" customHeight="1"/>
    <row r="952" ht="17.100000000000001" customHeight="1"/>
    <row r="953" ht="17.100000000000001" customHeight="1"/>
    <row r="954" ht="17.100000000000001" customHeight="1"/>
    <row r="955" ht="17.100000000000001" customHeight="1"/>
    <row r="956" ht="17.100000000000001" customHeight="1"/>
    <row r="957" ht="17.100000000000001" customHeight="1"/>
    <row r="958" ht="17.100000000000001" customHeight="1"/>
    <row r="959" ht="17.100000000000001" customHeight="1"/>
    <row r="960" ht="17.100000000000001" customHeight="1"/>
    <row r="961" ht="17.100000000000001" customHeight="1"/>
    <row r="962" ht="17.100000000000001" customHeight="1"/>
    <row r="963" ht="17.100000000000001" customHeight="1"/>
    <row r="964" ht="17.100000000000001" customHeight="1"/>
    <row r="965" ht="17.100000000000001" customHeight="1"/>
    <row r="966" ht="17.100000000000001" customHeight="1"/>
    <row r="967" ht="17.100000000000001" customHeight="1"/>
    <row r="968" ht="17.100000000000001" customHeight="1"/>
    <row r="969" ht="17.100000000000001" customHeight="1"/>
    <row r="970" ht="17.100000000000001" customHeight="1"/>
    <row r="971" ht="17.100000000000001" customHeight="1"/>
    <row r="972" ht="17.100000000000001" customHeight="1"/>
    <row r="973" ht="17.100000000000001" customHeight="1"/>
    <row r="974" ht="17.100000000000001" customHeight="1"/>
    <row r="975" ht="17.100000000000001" customHeight="1"/>
    <row r="976" ht="17.100000000000001" customHeight="1"/>
    <row r="977" ht="17.100000000000001" customHeight="1"/>
    <row r="978" ht="17.100000000000001" customHeight="1"/>
    <row r="979" ht="17.100000000000001" customHeight="1"/>
    <row r="980" ht="17.100000000000001" customHeight="1"/>
    <row r="981" ht="17.100000000000001" customHeight="1"/>
    <row r="982" ht="17.100000000000001" customHeight="1"/>
    <row r="983" ht="17.100000000000001" customHeight="1"/>
    <row r="984" ht="17.100000000000001" customHeight="1"/>
    <row r="985" ht="17.100000000000001" customHeight="1"/>
    <row r="986" ht="17.100000000000001" customHeight="1"/>
    <row r="987" ht="17.100000000000001" customHeight="1"/>
    <row r="988" ht="17.100000000000001" customHeight="1"/>
    <row r="989" ht="17.100000000000001" customHeight="1"/>
    <row r="990" ht="17.100000000000001" customHeight="1"/>
    <row r="991" ht="17.100000000000001" customHeight="1"/>
    <row r="992" ht="17.100000000000001" customHeight="1"/>
    <row r="993" ht="17.100000000000001" customHeight="1"/>
    <row r="994" ht="17.100000000000001" customHeight="1"/>
    <row r="995" ht="17.100000000000001" customHeight="1"/>
    <row r="996" ht="17.100000000000001" customHeight="1"/>
    <row r="997" ht="17.100000000000001" customHeight="1"/>
    <row r="998" ht="17.100000000000001" customHeight="1"/>
    <row r="999" ht="17.100000000000001" customHeight="1"/>
    <row r="1000" ht="17.100000000000001" customHeight="1"/>
    <row r="1001" ht="17.100000000000001" customHeight="1"/>
    <row r="1002" ht="17.100000000000001" customHeight="1"/>
    <row r="1003" ht="17.100000000000001" customHeight="1"/>
    <row r="1004" ht="17.100000000000001" customHeight="1"/>
    <row r="1005" ht="17.100000000000001" customHeight="1"/>
    <row r="1006" ht="17.100000000000001" customHeight="1"/>
    <row r="1007" ht="17.100000000000001" customHeight="1"/>
    <row r="1008" ht="17.100000000000001" customHeight="1"/>
    <row r="1009" ht="17.100000000000001" customHeight="1"/>
    <row r="1010" ht="17.100000000000001" customHeight="1"/>
    <row r="1011" ht="17.100000000000001" customHeight="1"/>
    <row r="1012" ht="17.100000000000001" customHeight="1"/>
    <row r="1013" ht="17.100000000000001" customHeight="1"/>
    <row r="1014" ht="17.100000000000001" customHeight="1"/>
    <row r="1015" ht="17.100000000000001" customHeight="1"/>
    <row r="1016" ht="17.100000000000001" customHeight="1"/>
    <row r="1017" ht="17.100000000000001" customHeight="1"/>
    <row r="1018" ht="17.100000000000001" customHeight="1"/>
    <row r="1019" ht="17.100000000000001" customHeight="1"/>
    <row r="1020" ht="17.100000000000001" customHeight="1"/>
    <row r="1021" ht="17.100000000000001" customHeight="1"/>
    <row r="1022" ht="17.100000000000001" customHeight="1"/>
    <row r="1023" ht="17.100000000000001" customHeight="1"/>
    <row r="1024" ht="17.100000000000001" customHeight="1"/>
    <row r="1025" ht="17.100000000000001" customHeight="1"/>
    <row r="1026" ht="17.100000000000001" customHeight="1"/>
    <row r="1027" ht="17.100000000000001" customHeight="1"/>
    <row r="1028" ht="17.100000000000001" customHeight="1"/>
    <row r="1029" ht="17.100000000000001" customHeight="1"/>
    <row r="1030" ht="17.100000000000001" customHeight="1"/>
    <row r="1031" ht="17.100000000000001" customHeight="1"/>
    <row r="1032" ht="17.100000000000001" customHeight="1"/>
    <row r="1033" ht="17.100000000000001" customHeight="1"/>
    <row r="1034" ht="17.100000000000001" customHeight="1"/>
    <row r="1035" ht="17.100000000000001" customHeight="1"/>
    <row r="1036" ht="17.100000000000001" customHeight="1"/>
    <row r="1037" ht="17.100000000000001" customHeight="1"/>
    <row r="1038" ht="17.100000000000001" customHeight="1"/>
    <row r="1039" ht="17.100000000000001" customHeight="1"/>
    <row r="1040" ht="17.100000000000001" customHeight="1"/>
    <row r="1041" ht="17.100000000000001" customHeight="1"/>
    <row r="1042" ht="17.100000000000001" customHeight="1"/>
    <row r="1043" ht="17.100000000000001" customHeight="1"/>
    <row r="1044" ht="17.100000000000001" customHeight="1"/>
    <row r="1045" ht="17.100000000000001" customHeight="1"/>
    <row r="1046" ht="17.100000000000001" customHeight="1"/>
    <row r="1047" ht="17.100000000000001" customHeight="1"/>
    <row r="1048" ht="17.100000000000001" customHeight="1"/>
    <row r="1049" ht="17.100000000000001" customHeight="1"/>
    <row r="1050" ht="17.100000000000001" customHeight="1"/>
    <row r="1051" ht="17.100000000000001" customHeight="1"/>
    <row r="1052" ht="17.100000000000001" customHeight="1"/>
    <row r="1053" ht="17.100000000000001" customHeight="1"/>
    <row r="1054" ht="17.100000000000001" customHeight="1"/>
    <row r="1055" ht="17.100000000000001" customHeight="1"/>
    <row r="1056" ht="17.100000000000001" customHeight="1"/>
    <row r="1057" ht="17.100000000000001" customHeight="1"/>
    <row r="1058" ht="17.100000000000001" customHeight="1"/>
    <row r="1059" ht="17.100000000000001" customHeight="1"/>
    <row r="1060" ht="17.100000000000001" customHeight="1"/>
    <row r="1061" ht="17.100000000000001" customHeight="1"/>
    <row r="1062" ht="17.100000000000001" customHeight="1"/>
    <row r="1063" ht="17.100000000000001" customHeight="1"/>
    <row r="1064" ht="17.100000000000001" customHeight="1"/>
    <row r="1065" ht="17.100000000000001" customHeight="1"/>
    <row r="1066" ht="17.100000000000001" customHeight="1"/>
    <row r="1067" ht="17.100000000000001" customHeight="1"/>
    <row r="1068" ht="17.100000000000001" customHeight="1"/>
    <row r="1069" ht="17.100000000000001" customHeight="1"/>
    <row r="1070" ht="17.100000000000001" customHeight="1"/>
    <row r="1071" ht="17.100000000000001" customHeight="1"/>
    <row r="1072" ht="17.100000000000001" customHeight="1"/>
    <row r="1073" ht="17.100000000000001" customHeight="1"/>
    <row r="1074" ht="17.100000000000001" customHeight="1"/>
    <row r="1075" ht="17.100000000000001" customHeight="1"/>
    <row r="1076" ht="17.100000000000001" customHeight="1"/>
    <row r="1077" ht="17.100000000000001" customHeight="1"/>
    <row r="1078" ht="17.100000000000001" customHeight="1"/>
    <row r="1079" ht="17.100000000000001" customHeight="1"/>
    <row r="1080" ht="17.100000000000001" customHeight="1"/>
    <row r="1081" ht="17.100000000000001" customHeight="1"/>
    <row r="1082" ht="17.100000000000001" customHeight="1"/>
    <row r="1083" ht="17.100000000000001" customHeight="1"/>
    <row r="1084" ht="17.100000000000001" customHeight="1"/>
    <row r="1085" ht="17.100000000000001" customHeight="1"/>
    <row r="1086" ht="17.100000000000001" customHeight="1"/>
    <row r="1087" ht="17.100000000000001" customHeight="1"/>
    <row r="1088" ht="17.100000000000001" customHeight="1"/>
    <row r="1089" ht="17.100000000000001" customHeight="1"/>
    <row r="1090" ht="17.100000000000001" customHeight="1"/>
    <row r="1091" ht="17.100000000000001" customHeight="1"/>
    <row r="1092" ht="17.100000000000001" customHeight="1"/>
    <row r="1093" ht="17.100000000000001" customHeight="1"/>
    <row r="1094" ht="17.100000000000001" customHeight="1"/>
    <row r="1095" ht="17.100000000000001" customHeight="1"/>
    <row r="1096" ht="17.100000000000001" customHeight="1"/>
    <row r="1097" ht="17.100000000000001" customHeight="1"/>
    <row r="1098" ht="17.100000000000001" customHeight="1"/>
    <row r="1099" ht="17.100000000000001" customHeight="1"/>
    <row r="1100" ht="17.100000000000001" customHeight="1"/>
    <row r="1101" ht="17.100000000000001" customHeight="1"/>
    <row r="1102" ht="17.100000000000001" customHeight="1"/>
    <row r="1103" ht="17.100000000000001" customHeight="1"/>
    <row r="1104" ht="17.100000000000001" customHeight="1"/>
    <row r="1105" ht="17.100000000000001" customHeight="1"/>
    <row r="1106" ht="17.100000000000001" customHeight="1"/>
    <row r="1107" ht="17.100000000000001" customHeight="1"/>
    <row r="1108" ht="17.100000000000001" customHeight="1"/>
    <row r="1109" ht="17.100000000000001" customHeight="1"/>
    <row r="1110" ht="17.100000000000001" customHeight="1"/>
    <row r="1111" ht="17.100000000000001" customHeight="1"/>
    <row r="1112" ht="17.100000000000001" customHeight="1"/>
    <row r="1113" ht="17.100000000000001" customHeight="1"/>
    <row r="1114" ht="17.100000000000001" customHeight="1"/>
    <row r="1115" ht="17.100000000000001" customHeight="1"/>
    <row r="1116" ht="17.100000000000001" customHeight="1"/>
    <row r="1117" ht="17.100000000000001" customHeight="1"/>
    <row r="1118" ht="17.100000000000001" customHeight="1"/>
    <row r="1119" ht="17.100000000000001" customHeight="1"/>
    <row r="1120" ht="17.100000000000001" customHeight="1"/>
    <row r="1121" ht="17.100000000000001" customHeight="1"/>
    <row r="1122" ht="17.100000000000001" customHeight="1"/>
    <row r="1123" ht="17.100000000000001" customHeight="1"/>
    <row r="1124" ht="17.100000000000001" customHeight="1"/>
    <row r="1125" ht="17.100000000000001" customHeight="1"/>
    <row r="1126" ht="17.100000000000001" customHeight="1"/>
    <row r="1127" ht="17.100000000000001" customHeight="1"/>
    <row r="1128" ht="17.100000000000001" customHeight="1"/>
    <row r="1129" ht="17.100000000000001" customHeight="1"/>
    <row r="1130" ht="17.100000000000001" customHeight="1"/>
    <row r="1131" ht="17.100000000000001" customHeight="1"/>
    <row r="1132" ht="17.100000000000001" customHeight="1"/>
    <row r="1133" ht="17.100000000000001" customHeight="1"/>
    <row r="1134" ht="17.100000000000001" customHeight="1"/>
    <row r="1135" ht="17.100000000000001" customHeight="1"/>
    <row r="1136" ht="17.100000000000001" customHeight="1"/>
    <row r="1137" ht="17.100000000000001" customHeight="1"/>
    <row r="1138" ht="17.100000000000001" customHeight="1"/>
    <row r="1139" ht="17.100000000000001" customHeight="1"/>
    <row r="1140" ht="17.100000000000001" customHeight="1"/>
    <row r="1141" ht="17.100000000000001" customHeight="1"/>
    <row r="1142" ht="17.100000000000001" customHeight="1"/>
    <row r="1143" ht="17.100000000000001" customHeight="1"/>
    <row r="1144" ht="17.100000000000001" customHeight="1"/>
    <row r="1145" ht="17.100000000000001" customHeight="1"/>
    <row r="1146" ht="17.100000000000001" customHeight="1"/>
    <row r="1147" ht="17.100000000000001" customHeight="1"/>
    <row r="1148" ht="17.100000000000001" customHeight="1"/>
    <row r="1149" ht="17.100000000000001" customHeight="1"/>
    <row r="1150" ht="17.100000000000001" customHeight="1"/>
    <row r="1151" ht="17.100000000000001" customHeight="1"/>
    <row r="1152" ht="17.100000000000001" customHeight="1"/>
    <row r="1153" ht="17.100000000000001" customHeight="1"/>
    <row r="1154" ht="17.100000000000001" customHeight="1"/>
    <row r="1155" ht="17.100000000000001" customHeight="1"/>
    <row r="1156" ht="17.100000000000001" customHeight="1"/>
    <row r="1157" ht="17.100000000000001" customHeight="1"/>
    <row r="1158" ht="17.100000000000001" customHeight="1"/>
    <row r="1159" ht="17.100000000000001" customHeight="1"/>
    <row r="1160" ht="17.100000000000001" customHeight="1"/>
    <row r="1161" ht="17.100000000000001" customHeight="1"/>
    <row r="1162" ht="17.100000000000001" customHeight="1"/>
    <row r="1163" ht="17.100000000000001" customHeight="1"/>
    <row r="1164" ht="17.100000000000001" customHeight="1"/>
    <row r="1165" ht="17.100000000000001" customHeight="1"/>
    <row r="1166" ht="17.100000000000001" customHeight="1"/>
    <row r="1167" ht="17.100000000000001" customHeight="1"/>
    <row r="1168" ht="17.100000000000001" customHeight="1"/>
    <row r="1169" ht="17.100000000000001" customHeight="1"/>
    <row r="1170" ht="17.100000000000001" customHeight="1"/>
    <row r="1171" ht="17.100000000000001" customHeight="1"/>
    <row r="1172" ht="17.100000000000001" customHeight="1"/>
    <row r="1173" ht="17.100000000000001" customHeight="1"/>
    <row r="1174" ht="17.100000000000001" customHeight="1"/>
    <row r="1175" ht="17.100000000000001" customHeight="1"/>
    <row r="1176" ht="17.100000000000001" customHeight="1"/>
    <row r="1177" ht="17.100000000000001" customHeight="1"/>
    <row r="1178" ht="17.100000000000001" customHeight="1"/>
    <row r="1179" ht="17.100000000000001" customHeight="1"/>
    <row r="1180" ht="17.100000000000001" customHeight="1"/>
    <row r="1181" ht="17.100000000000001" customHeight="1"/>
    <row r="1182" ht="17.100000000000001" customHeight="1"/>
    <row r="1183" ht="17.100000000000001" customHeight="1"/>
    <row r="1184" ht="17.100000000000001" customHeight="1"/>
    <row r="1185" ht="17.100000000000001" customHeight="1"/>
    <row r="1186" ht="17.100000000000001" customHeight="1"/>
    <row r="1187" ht="17.100000000000001" customHeight="1"/>
    <row r="1188" ht="17.100000000000001" customHeight="1"/>
    <row r="1189" ht="17.100000000000001" customHeight="1"/>
    <row r="1190" ht="17.100000000000001" customHeight="1"/>
    <row r="1191" ht="17.100000000000001" customHeight="1"/>
    <row r="1192" ht="17.100000000000001" customHeight="1"/>
    <row r="1193" ht="17.100000000000001" customHeight="1"/>
    <row r="1194" ht="17.100000000000001" customHeight="1"/>
    <row r="1195" ht="17.100000000000001" customHeight="1"/>
    <row r="1196" ht="17.100000000000001" customHeight="1"/>
    <row r="1197" ht="17.100000000000001" customHeight="1"/>
    <row r="1198" ht="17.100000000000001" customHeight="1"/>
    <row r="1199" ht="17.100000000000001" customHeight="1"/>
    <row r="1200" ht="17.100000000000001" customHeight="1"/>
    <row r="1201" ht="17.100000000000001" customHeight="1"/>
    <row r="1202" ht="17.100000000000001" customHeight="1"/>
    <row r="1203" ht="17.100000000000001" customHeight="1"/>
    <row r="1204" ht="17.100000000000001" customHeight="1"/>
    <row r="1205" ht="17.100000000000001" customHeight="1"/>
    <row r="1206" ht="17.100000000000001" customHeight="1"/>
    <row r="1207" ht="17.100000000000001" customHeight="1"/>
    <row r="1208" ht="17.100000000000001" customHeight="1"/>
    <row r="1209" ht="17.100000000000001" customHeight="1"/>
    <row r="1210" ht="17.100000000000001" customHeight="1"/>
    <row r="1211" ht="17.100000000000001" customHeight="1"/>
    <row r="1212" ht="17.100000000000001" customHeight="1"/>
    <row r="1213" ht="17.100000000000001" customHeight="1"/>
    <row r="1214" ht="17.100000000000001" customHeight="1"/>
    <row r="1215" ht="17.100000000000001" customHeight="1"/>
    <row r="1216" ht="17.100000000000001" customHeight="1"/>
    <row r="1217" ht="17.100000000000001" customHeight="1"/>
    <row r="1218" ht="17.100000000000001" customHeight="1"/>
    <row r="1219" ht="17.100000000000001" customHeight="1"/>
    <row r="1220" ht="17.100000000000001" customHeight="1"/>
    <row r="1221" ht="17.100000000000001" customHeight="1"/>
    <row r="1222" ht="17.100000000000001" customHeight="1"/>
    <row r="1223" ht="17.100000000000001" customHeight="1"/>
    <row r="1224" ht="17.100000000000001" customHeight="1"/>
    <row r="1225" ht="17.100000000000001" customHeight="1"/>
    <row r="1226" ht="17.100000000000001" customHeight="1"/>
    <row r="1227" ht="17.100000000000001" customHeight="1"/>
    <row r="1228" ht="17.100000000000001" customHeight="1"/>
    <row r="1229" ht="17.100000000000001" customHeight="1"/>
    <row r="1230" ht="17.100000000000001" customHeight="1"/>
    <row r="1231" ht="17.100000000000001" customHeight="1"/>
    <row r="1232" ht="17.100000000000001" customHeight="1"/>
    <row r="1233" ht="17.100000000000001" customHeight="1"/>
    <row r="1234" ht="17.100000000000001" customHeight="1"/>
    <row r="1235" ht="17.100000000000001" customHeight="1"/>
    <row r="1236" ht="17.100000000000001" customHeight="1"/>
    <row r="1237" ht="17.100000000000001" customHeight="1"/>
    <row r="1238" ht="17.100000000000001" customHeight="1"/>
    <row r="1239" ht="17.100000000000001" customHeight="1"/>
    <row r="1240" ht="17.100000000000001" customHeight="1"/>
    <row r="1241" ht="17.100000000000001" customHeight="1"/>
    <row r="1242" ht="17.100000000000001" customHeight="1"/>
    <row r="1243" ht="17.100000000000001" customHeight="1"/>
    <row r="1244" ht="17.100000000000001" customHeight="1"/>
    <row r="1245" ht="17.100000000000001" customHeight="1"/>
    <row r="1246" ht="17.100000000000001" customHeight="1"/>
    <row r="1247" ht="17.100000000000001" customHeight="1"/>
    <row r="1248" ht="17.100000000000001" customHeight="1"/>
    <row r="1249" ht="17.100000000000001" customHeight="1"/>
    <row r="1250" ht="17.100000000000001" customHeight="1"/>
    <row r="1251" ht="17.100000000000001" customHeight="1"/>
    <row r="1252" ht="17.100000000000001" customHeight="1"/>
    <row r="1253" ht="17.100000000000001" customHeight="1"/>
    <row r="1254" ht="17.100000000000001" customHeight="1"/>
    <row r="1255" ht="17.100000000000001" customHeight="1"/>
    <row r="1256" ht="17.100000000000001" customHeight="1"/>
    <row r="1257" ht="17.100000000000001" customHeight="1"/>
    <row r="1258" ht="17.100000000000001" customHeight="1"/>
    <row r="1259" ht="17.100000000000001" customHeight="1"/>
    <row r="1260" ht="17.100000000000001" customHeight="1"/>
    <row r="1261" ht="17.100000000000001" customHeight="1"/>
    <row r="1262" ht="17.100000000000001" customHeight="1"/>
    <row r="1263" ht="17.100000000000001" customHeight="1"/>
    <row r="1264" ht="17.100000000000001" customHeight="1"/>
    <row r="1265" ht="17.100000000000001" customHeight="1"/>
    <row r="1266" ht="17.100000000000001" customHeight="1"/>
    <row r="1267" ht="17.100000000000001" customHeight="1"/>
    <row r="1268" ht="17.100000000000001" customHeight="1"/>
    <row r="1269" ht="17.100000000000001" customHeight="1"/>
    <row r="1270" ht="17.100000000000001" customHeight="1"/>
    <row r="1271" ht="17.100000000000001" customHeight="1"/>
    <row r="1272" ht="17.100000000000001" customHeight="1"/>
    <row r="1273" ht="17.100000000000001" customHeight="1"/>
    <row r="1274" ht="17.100000000000001" customHeight="1"/>
    <row r="1275" ht="17.100000000000001" customHeight="1"/>
    <row r="1276" ht="17.100000000000001" customHeight="1"/>
    <row r="1277" ht="17.100000000000001" customHeight="1"/>
    <row r="1278" ht="17.100000000000001" customHeight="1"/>
    <row r="1279" ht="17.100000000000001" customHeight="1"/>
    <row r="1280" ht="17.100000000000001" customHeight="1"/>
    <row r="1281" ht="17.100000000000001" customHeight="1"/>
    <row r="1282" ht="17.100000000000001" customHeight="1"/>
    <row r="1283" ht="17.100000000000001" customHeight="1"/>
    <row r="1284" ht="17.100000000000001" customHeight="1"/>
    <row r="1285" ht="17.100000000000001" customHeight="1"/>
    <row r="1286" ht="17.100000000000001" customHeight="1"/>
    <row r="1287" ht="17.100000000000001" customHeight="1"/>
    <row r="1288" ht="17.100000000000001" customHeight="1"/>
    <row r="1289" ht="17.100000000000001" customHeight="1"/>
    <row r="1290" ht="17.100000000000001" customHeight="1"/>
    <row r="1291" ht="17.100000000000001" customHeight="1"/>
    <row r="1292" ht="17.100000000000001" customHeight="1"/>
    <row r="1293" ht="17.100000000000001" customHeight="1"/>
    <row r="1294" ht="17.100000000000001" customHeight="1"/>
    <row r="1295" ht="17.100000000000001" customHeight="1"/>
    <row r="1296" ht="17.100000000000001" customHeight="1"/>
    <row r="1297" ht="17.100000000000001" customHeight="1"/>
    <row r="1298" ht="17.100000000000001" customHeight="1"/>
    <row r="1299" ht="17.100000000000001" customHeight="1"/>
    <row r="1300" ht="17.100000000000001" customHeight="1"/>
    <row r="1301" ht="17.100000000000001" customHeight="1"/>
    <row r="1302" ht="17.100000000000001" customHeight="1"/>
    <row r="1303" ht="17.100000000000001" customHeight="1"/>
    <row r="1304" ht="17.100000000000001" customHeight="1"/>
    <row r="1305" ht="17.100000000000001" customHeight="1"/>
    <row r="1306" ht="17.100000000000001" customHeight="1"/>
    <row r="1307" ht="17.100000000000001" customHeight="1"/>
    <row r="1308" ht="17.100000000000001" customHeight="1"/>
    <row r="1309" ht="17.100000000000001" customHeight="1"/>
    <row r="1310" ht="17.100000000000001" customHeight="1"/>
    <row r="1311" ht="17.100000000000001" customHeight="1"/>
    <row r="1312" ht="17.100000000000001" customHeight="1"/>
    <row r="1313" ht="17.100000000000001" customHeight="1"/>
    <row r="1314" ht="17.100000000000001" customHeight="1"/>
    <row r="1315" ht="17.100000000000001" customHeight="1"/>
    <row r="1316" ht="17.100000000000001" customHeight="1"/>
    <row r="1317" ht="17.100000000000001" customHeight="1"/>
    <row r="1318" ht="17.100000000000001" customHeight="1"/>
    <row r="1319" ht="17.100000000000001" customHeight="1"/>
    <row r="1320" ht="17.100000000000001" customHeight="1"/>
    <row r="1321" ht="17.100000000000001" customHeight="1"/>
    <row r="1322" ht="17.100000000000001" customHeight="1"/>
    <row r="1323" ht="17.100000000000001" customHeight="1"/>
    <row r="1324" ht="17.100000000000001" customHeight="1"/>
    <row r="1325" ht="17.100000000000001" customHeight="1"/>
    <row r="1326" ht="17.100000000000001" customHeight="1"/>
    <row r="1327" ht="17.100000000000001" customHeight="1"/>
    <row r="1328" ht="17.100000000000001" customHeight="1"/>
    <row r="1329" ht="17.100000000000001" customHeight="1"/>
    <row r="1330" ht="17.100000000000001" customHeight="1"/>
    <row r="1331" ht="17.100000000000001" customHeight="1"/>
    <row r="1332" ht="17.100000000000001" customHeight="1"/>
    <row r="1333" ht="17.100000000000001" customHeight="1"/>
    <row r="1334" ht="17.100000000000001" customHeight="1"/>
    <row r="1335" ht="17.100000000000001" customHeight="1"/>
    <row r="1336" ht="17.100000000000001" customHeight="1"/>
    <row r="1337" ht="17.100000000000001" customHeight="1"/>
    <row r="1338" ht="17.100000000000001" customHeight="1"/>
    <row r="1339" ht="17.100000000000001" customHeight="1"/>
    <row r="1340" ht="17.100000000000001" customHeight="1"/>
    <row r="1341" ht="17.100000000000001" customHeight="1"/>
    <row r="1342" ht="17.100000000000001" customHeight="1"/>
    <row r="1343" ht="17.100000000000001" customHeight="1"/>
    <row r="1344" ht="17.100000000000001" customHeight="1"/>
    <row r="1345" ht="17.100000000000001" customHeight="1"/>
    <row r="1346" ht="17.100000000000001" customHeight="1"/>
    <row r="1347" ht="17.100000000000001" customHeight="1"/>
    <row r="1348" ht="17.100000000000001" customHeight="1"/>
    <row r="1349" ht="17.100000000000001" customHeight="1"/>
    <row r="1350" ht="17.100000000000001" customHeight="1"/>
    <row r="1351" ht="17.100000000000001" customHeight="1"/>
    <row r="1352" ht="17.100000000000001" customHeight="1"/>
    <row r="1353" ht="17.100000000000001" customHeight="1"/>
    <row r="1354" ht="17.100000000000001" customHeight="1"/>
    <row r="1355" ht="17.100000000000001" customHeight="1"/>
    <row r="1356" ht="17.100000000000001" customHeight="1"/>
    <row r="1357" ht="17.100000000000001" customHeight="1"/>
    <row r="1358" ht="17.100000000000001" customHeight="1"/>
    <row r="1359" ht="17.100000000000001" customHeight="1"/>
    <row r="1360" ht="17.100000000000001" customHeight="1"/>
    <row r="1361" ht="17.100000000000001" customHeight="1"/>
    <row r="1362" ht="17.100000000000001" customHeight="1"/>
    <row r="1363" ht="17.100000000000001" customHeight="1"/>
    <row r="1364" ht="17.100000000000001" customHeight="1"/>
    <row r="1365" ht="17.100000000000001" customHeight="1"/>
    <row r="1366" ht="17.100000000000001" customHeight="1"/>
    <row r="1367" ht="17.100000000000001" customHeight="1"/>
    <row r="1368" ht="17.100000000000001" customHeight="1"/>
    <row r="1369" ht="17.100000000000001" customHeight="1"/>
    <row r="1370" ht="17.100000000000001" customHeight="1"/>
    <row r="1371" ht="17.100000000000001" customHeight="1"/>
    <row r="1372" ht="17.100000000000001" customHeight="1"/>
    <row r="1373" ht="17.100000000000001" customHeight="1"/>
    <row r="1374" ht="17.100000000000001" customHeight="1"/>
    <row r="1375" ht="17.100000000000001" customHeight="1"/>
    <row r="1376" ht="17.100000000000001" customHeight="1"/>
    <row r="1377" ht="17.100000000000001" customHeight="1"/>
    <row r="1378" ht="17.100000000000001" customHeight="1"/>
    <row r="1379" ht="17.100000000000001" customHeight="1"/>
    <row r="1380" ht="17.100000000000001" customHeight="1"/>
    <row r="1381" ht="17.100000000000001" customHeight="1"/>
    <row r="1382" ht="17.100000000000001" customHeight="1"/>
    <row r="1383" ht="17.100000000000001" customHeight="1"/>
    <row r="1384" ht="17.100000000000001" customHeight="1"/>
    <row r="1385" ht="17.100000000000001" customHeight="1"/>
    <row r="1386" ht="17.100000000000001" customHeight="1"/>
    <row r="1387" ht="17.100000000000001" customHeight="1"/>
    <row r="1388" ht="17.100000000000001" customHeight="1"/>
    <row r="1389" ht="17.100000000000001" customHeight="1"/>
    <row r="1390" ht="17.100000000000001" customHeight="1"/>
    <row r="1391" ht="17.100000000000001" customHeight="1"/>
    <row r="1392" ht="17.100000000000001" customHeight="1"/>
    <row r="1393" ht="17.100000000000001" customHeight="1"/>
    <row r="1394" ht="17.100000000000001" customHeight="1"/>
    <row r="1395" ht="17.100000000000001" customHeight="1"/>
    <row r="1396" ht="17.100000000000001" customHeight="1"/>
    <row r="1397" ht="17.100000000000001" customHeight="1"/>
    <row r="1398" ht="17.100000000000001" customHeight="1"/>
    <row r="1399" ht="17.100000000000001" customHeight="1"/>
    <row r="1400" ht="17.100000000000001" customHeight="1"/>
    <row r="1401" ht="17.100000000000001" customHeight="1"/>
    <row r="1402" ht="17.100000000000001" customHeight="1"/>
    <row r="1403" ht="17.100000000000001" customHeight="1"/>
    <row r="1404" ht="17.100000000000001" customHeight="1"/>
    <row r="1405" ht="17.100000000000001" customHeight="1"/>
    <row r="1406" ht="17.100000000000001" customHeight="1"/>
    <row r="1407" ht="17.100000000000001" customHeight="1"/>
    <row r="1408" ht="17.100000000000001" customHeight="1"/>
    <row r="1409" ht="17.100000000000001" customHeight="1"/>
    <row r="1410" ht="17.100000000000001" customHeight="1"/>
    <row r="1411" ht="17.100000000000001" customHeight="1"/>
    <row r="1412" ht="17.100000000000001" customHeight="1"/>
    <row r="1413" ht="17.100000000000001" customHeight="1"/>
    <row r="1414" ht="17.100000000000001" customHeight="1"/>
    <row r="1415" ht="17.100000000000001" customHeight="1"/>
    <row r="1416" ht="17.100000000000001" customHeight="1"/>
    <row r="1417" ht="17.100000000000001" customHeight="1"/>
    <row r="1418" ht="17.100000000000001" customHeight="1"/>
    <row r="1419" ht="17.100000000000001" customHeight="1"/>
    <row r="1420" ht="17.100000000000001" customHeight="1"/>
    <row r="1421" ht="17.100000000000001" customHeight="1"/>
    <row r="1422" ht="17.100000000000001" customHeight="1"/>
    <row r="1423" ht="17.100000000000001" customHeight="1"/>
    <row r="1424" ht="17.100000000000001" customHeight="1"/>
    <row r="1425" ht="17.100000000000001" customHeight="1"/>
    <row r="1426" ht="17.100000000000001" customHeight="1"/>
    <row r="1427" ht="17.100000000000001" customHeight="1"/>
    <row r="1428" ht="17.100000000000001" customHeight="1"/>
    <row r="1429" ht="17.100000000000001" customHeight="1"/>
    <row r="1430" ht="17.100000000000001" customHeight="1"/>
    <row r="1431" ht="17.100000000000001" customHeight="1"/>
    <row r="1432" ht="17.100000000000001" customHeight="1"/>
    <row r="1433" ht="17.100000000000001" customHeight="1"/>
    <row r="1434" ht="17.100000000000001" customHeight="1"/>
    <row r="1435" ht="17.100000000000001" customHeight="1"/>
    <row r="1436" ht="17.100000000000001" customHeight="1"/>
    <row r="1437" ht="17.100000000000001" customHeight="1"/>
    <row r="1438" ht="17.100000000000001" customHeight="1"/>
    <row r="1439" ht="17.100000000000001" customHeight="1"/>
    <row r="1440" ht="17.100000000000001" customHeight="1"/>
    <row r="1441" ht="17.100000000000001" customHeight="1"/>
    <row r="1442" ht="17.100000000000001" customHeight="1"/>
    <row r="1443" ht="17.100000000000001" customHeight="1"/>
    <row r="1444" ht="17.100000000000001" customHeight="1"/>
    <row r="1445" ht="17.100000000000001" customHeight="1"/>
    <row r="1446" ht="17.100000000000001" customHeight="1"/>
    <row r="1447" ht="17.100000000000001" customHeight="1"/>
    <row r="1448" ht="17.100000000000001" customHeight="1"/>
    <row r="1449" ht="17.100000000000001" customHeight="1"/>
    <row r="1450" ht="17.100000000000001" customHeight="1"/>
    <row r="1451" ht="17.100000000000001" customHeight="1"/>
    <row r="1452" ht="17.100000000000001" customHeight="1"/>
    <row r="1453" ht="17.100000000000001" customHeight="1"/>
    <row r="1454" ht="17.100000000000001" customHeight="1"/>
    <row r="1455" ht="17.100000000000001" customHeight="1"/>
    <row r="1456" ht="17.100000000000001" customHeight="1"/>
    <row r="1457" ht="17.100000000000001" customHeight="1"/>
    <row r="1458" ht="17.100000000000001" customHeight="1"/>
    <row r="1459" ht="17.100000000000001" customHeight="1"/>
    <row r="1460" ht="17.100000000000001" customHeight="1"/>
    <row r="1461" ht="17.100000000000001" customHeight="1"/>
    <row r="1462" ht="17.100000000000001" customHeight="1"/>
    <row r="1463" ht="17.100000000000001" customHeight="1"/>
    <row r="1464" ht="17.100000000000001" customHeight="1"/>
    <row r="1465" ht="17.100000000000001" customHeight="1"/>
    <row r="1466" ht="17.100000000000001" customHeight="1"/>
    <row r="1467" ht="17.100000000000001" customHeight="1"/>
    <row r="1468" ht="17.100000000000001" customHeight="1"/>
    <row r="1469" ht="17.100000000000001" customHeight="1"/>
    <row r="1470" ht="17.100000000000001" customHeight="1"/>
    <row r="1471" ht="17.100000000000001" customHeight="1"/>
    <row r="1472" ht="17.100000000000001" customHeight="1"/>
    <row r="1473" ht="17.100000000000001" customHeight="1"/>
    <row r="1474" ht="17.100000000000001" customHeight="1"/>
    <row r="1475" ht="17.100000000000001" customHeight="1"/>
    <row r="1476" ht="17.100000000000001" customHeight="1"/>
    <row r="1477" ht="17.100000000000001" customHeight="1"/>
    <row r="1478" ht="17.100000000000001" customHeight="1"/>
    <row r="1479" ht="17.100000000000001" customHeight="1"/>
    <row r="1480" ht="17.100000000000001" customHeight="1"/>
    <row r="1481" ht="17.100000000000001" customHeight="1"/>
    <row r="1482" ht="17.100000000000001" customHeight="1"/>
    <row r="1483" ht="17.100000000000001" customHeight="1"/>
    <row r="1484" ht="17.100000000000001" customHeight="1"/>
    <row r="1485" ht="17.100000000000001" customHeight="1"/>
    <row r="1486" ht="17.100000000000001" customHeight="1"/>
    <row r="1487" ht="17.100000000000001" customHeight="1"/>
    <row r="1488" ht="17.100000000000001" customHeight="1"/>
    <row r="1489" ht="17.100000000000001" customHeight="1"/>
    <row r="1490" ht="17.100000000000001" customHeight="1"/>
    <row r="1491" ht="17.100000000000001" customHeight="1"/>
    <row r="1492" ht="17.100000000000001" customHeight="1"/>
    <row r="1493" ht="17.100000000000001" customHeight="1"/>
    <row r="1494" ht="17.100000000000001" customHeight="1"/>
    <row r="1495" ht="17.100000000000001" customHeight="1"/>
    <row r="1496" ht="17.100000000000001" customHeight="1"/>
    <row r="1497" ht="17.100000000000001" customHeight="1"/>
    <row r="1498" ht="17.100000000000001" customHeight="1"/>
    <row r="1499" ht="17.100000000000001" customHeight="1"/>
    <row r="1500" ht="17.100000000000001" customHeight="1"/>
    <row r="1501" ht="17.100000000000001" customHeight="1"/>
    <row r="1502" ht="17.100000000000001" customHeight="1"/>
    <row r="1503" ht="17.100000000000001" customHeight="1"/>
    <row r="1504" ht="17.100000000000001" customHeight="1"/>
    <row r="1505" ht="17.100000000000001" customHeight="1"/>
    <row r="1506" ht="17.100000000000001" customHeight="1"/>
    <row r="1507" ht="17.100000000000001" customHeight="1"/>
    <row r="1508" ht="17.100000000000001" customHeight="1"/>
    <row r="1509" ht="17.100000000000001" customHeight="1"/>
    <row r="1510" ht="17.100000000000001" customHeight="1"/>
    <row r="1511" ht="17.100000000000001" customHeight="1"/>
    <row r="1512" ht="17.100000000000001" customHeight="1"/>
    <row r="1513" ht="17.100000000000001" customHeight="1"/>
    <row r="1514" ht="17.100000000000001" customHeight="1"/>
    <row r="1515" ht="17.100000000000001" customHeight="1"/>
    <row r="1516" ht="17.100000000000001" customHeight="1"/>
    <row r="1517" ht="17.100000000000001" customHeight="1"/>
    <row r="1518" ht="17.100000000000001" customHeight="1"/>
    <row r="1519" ht="17.100000000000001" customHeight="1"/>
    <row r="1520" ht="17.100000000000001" customHeight="1"/>
    <row r="1521" ht="17.100000000000001" customHeight="1"/>
    <row r="1522" ht="17.100000000000001" customHeight="1"/>
    <row r="1523" ht="17.100000000000001" customHeight="1"/>
    <row r="1524" ht="17.100000000000001" customHeight="1"/>
    <row r="1525" ht="17.100000000000001" customHeight="1"/>
    <row r="1526" ht="17.100000000000001" customHeight="1"/>
    <row r="1527" ht="17.100000000000001" customHeight="1"/>
    <row r="1528" ht="17.100000000000001" customHeight="1"/>
    <row r="1529" ht="17.100000000000001" customHeight="1"/>
    <row r="1530" ht="17.100000000000001" customHeight="1"/>
    <row r="1531" ht="17.100000000000001" customHeight="1"/>
    <row r="1532" ht="17.100000000000001" customHeight="1"/>
    <row r="1533" ht="17.100000000000001" customHeight="1"/>
    <row r="1534" ht="17.100000000000001" customHeight="1"/>
    <row r="1535" ht="17.100000000000001" customHeight="1"/>
    <row r="1536" ht="17.100000000000001" customHeight="1"/>
    <row r="1537" ht="17.100000000000001" customHeight="1"/>
    <row r="1538" ht="17.100000000000001" customHeight="1"/>
    <row r="1539" ht="17.100000000000001" customHeight="1"/>
    <row r="1540" ht="17.100000000000001" customHeight="1"/>
    <row r="1541" ht="17.100000000000001" customHeight="1"/>
    <row r="1542" ht="17.100000000000001" customHeight="1"/>
    <row r="1543" ht="17.100000000000001" customHeight="1"/>
    <row r="1544" ht="17.100000000000001" customHeight="1"/>
    <row r="1545" ht="17.100000000000001" customHeight="1"/>
    <row r="1546" ht="17.100000000000001" customHeight="1"/>
    <row r="1547" ht="17.100000000000001" customHeight="1"/>
    <row r="1548" ht="17.100000000000001" customHeight="1"/>
    <row r="1549" ht="17.100000000000001" customHeight="1"/>
    <row r="1550" ht="17.100000000000001" customHeight="1"/>
    <row r="1551" ht="17.100000000000001" customHeight="1"/>
    <row r="1552" ht="17.100000000000001" customHeight="1"/>
    <row r="1553" ht="17.100000000000001" customHeight="1"/>
    <row r="1554" ht="17.100000000000001" customHeight="1"/>
    <row r="1555" ht="17.100000000000001" customHeight="1"/>
    <row r="1556" ht="17.100000000000001" customHeight="1"/>
    <row r="1557" ht="17.100000000000001" customHeight="1"/>
    <row r="1558" ht="17.100000000000001" customHeight="1"/>
    <row r="1559" ht="17.100000000000001" customHeight="1"/>
    <row r="1560" ht="17.100000000000001" customHeight="1"/>
    <row r="1561" ht="17.100000000000001" customHeight="1"/>
    <row r="1562" ht="17.100000000000001" customHeight="1"/>
    <row r="1563" ht="17.100000000000001" customHeight="1"/>
    <row r="1564" ht="17.100000000000001" customHeight="1"/>
    <row r="1565" ht="17.100000000000001" customHeight="1"/>
    <row r="1566" ht="17.100000000000001" customHeight="1"/>
    <row r="1567" ht="17.100000000000001" customHeight="1"/>
    <row r="1568" ht="17.100000000000001" customHeight="1"/>
    <row r="1569" ht="17.100000000000001" customHeight="1"/>
    <row r="1570" ht="17.100000000000001" customHeight="1"/>
    <row r="1571" ht="17.100000000000001" customHeight="1"/>
    <row r="1572" ht="17.100000000000001" customHeight="1"/>
    <row r="1573" ht="17.100000000000001" customHeight="1"/>
    <row r="1574" ht="17.100000000000001" customHeight="1"/>
    <row r="1575" ht="17.100000000000001" customHeight="1"/>
    <row r="1576" ht="17.100000000000001" customHeight="1"/>
    <row r="1577" ht="17.100000000000001" customHeight="1"/>
    <row r="1578" ht="17.100000000000001" customHeight="1"/>
    <row r="1579" ht="17.100000000000001" customHeight="1"/>
    <row r="1580" ht="17.100000000000001" customHeight="1"/>
    <row r="1581" ht="17.100000000000001" customHeight="1"/>
    <row r="1582" ht="17.100000000000001" customHeight="1"/>
    <row r="1583" ht="17.100000000000001" customHeight="1"/>
    <row r="1584" ht="17.100000000000001" customHeight="1"/>
    <row r="1585" ht="17.100000000000001" customHeight="1"/>
    <row r="1586" ht="17.100000000000001" customHeight="1"/>
    <row r="1587" ht="17.100000000000001" customHeight="1"/>
    <row r="1588" ht="17.100000000000001" customHeight="1"/>
    <row r="1589" ht="17.100000000000001" customHeight="1"/>
    <row r="1590" ht="17.100000000000001" customHeight="1"/>
    <row r="1591" ht="17.100000000000001" customHeight="1"/>
    <row r="1592" ht="17.100000000000001" customHeight="1"/>
    <row r="1593" ht="17.100000000000001" customHeight="1"/>
    <row r="1594" ht="17.100000000000001" customHeight="1"/>
    <row r="1595" ht="17.100000000000001" customHeight="1"/>
    <row r="1596" ht="17.100000000000001" customHeight="1"/>
    <row r="1597" ht="17.100000000000001" customHeight="1"/>
    <row r="1598" ht="17.100000000000001" customHeight="1"/>
    <row r="1599" ht="17.100000000000001" customHeight="1"/>
    <row r="1600" ht="17.100000000000001" customHeight="1"/>
    <row r="1601" ht="17.100000000000001" customHeight="1"/>
    <row r="1602" ht="17.100000000000001" customHeight="1"/>
    <row r="1603" ht="17.100000000000001" customHeight="1"/>
    <row r="1604" ht="17.100000000000001" customHeight="1"/>
    <row r="1605" ht="17.100000000000001" customHeight="1"/>
    <row r="1606" ht="17.100000000000001" customHeight="1"/>
    <row r="1607" ht="17.100000000000001" customHeight="1"/>
    <row r="1608" ht="17.100000000000001" customHeight="1"/>
    <row r="1609" ht="17.100000000000001" customHeight="1"/>
    <row r="1610" ht="17.100000000000001" customHeight="1"/>
    <row r="1611" ht="17.100000000000001" customHeight="1"/>
    <row r="1612" ht="17.100000000000001" customHeight="1"/>
    <row r="1613" ht="17.100000000000001" customHeight="1"/>
    <row r="1614" ht="17.100000000000001" customHeight="1"/>
    <row r="1615" ht="17.100000000000001" customHeight="1"/>
    <row r="1616" ht="17.100000000000001" customHeight="1"/>
    <row r="1617" ht="17.100000000000001" customHeight="1"/>
    <row r="1618" ht="17.100000000000001" customHeight="1"/>
    <row r="1619" ht="17.100000000000001" customHeight="1"/>
    <row r="1620" ht="17.100000000000001" customHeight="1"/>
    <row r="1621" ht="17.100000000000001" customHeight="1"/>
    <row r="1622" ht="17.100000000000001" customHeight="1"/>
    <row r="1623" ht="17.100000000000001" customHeight="1"/>
    <row r="1624" ht="17.100000000000001" customHeight="1"/>
    <row r="1625" ht="17.100000000000001" customHeight="1"/>
    <row r="1626" ht="17.100000000000001" customHeight="1"/>
    <row r="1627" ht="17.100000000000001" customHeight="1"/>
    <row r="1628" ht="17.100000000000001" customHeight="1"/>
    <row r="1629" ht="17.100000000000001" customHeight="1"/>
    <row r="1630" ht="17.100000000000001" customHeight="1"/>
    <row r="1631" ht="17.100000000000001" customHeight="1"/>
    <row r="1632" ht="17.100000000000001" customHeight="1"/>
    <row r="1633" ht="17.100000000000001" customHeight="1"/>
    <row r="1634" ht="17.100000000000001" customHeight="1"/>
    <row r="1635" ht="17.100000000000001" customHeight="1"/>
    <row r="1636" ht="17.100000000000001" customHeight="1"/>
    <row r="1637" ht="17.100000000000001" customHeight="1"/>
    <row r="1638" ht="17.100000000000001" customHeight="1"/>
    <row r="1639" ht="17.100000000000001" customHeight="1"/>
    <row r="1640" ht="17.100000000000001" customHeight="1"/>
    <row r="1641" ht="17.100000000000001" customHeight="1"/>
    <row r="1642" ht="17.100000000000001" customHeight="1"/>
    <row r="1643" ht="17.100000000000001" customHeight="1"/>
    <row r="1644" ht="17.100000000000001" customHeight="1"/>
    <row r="1645" ht="17.100000000000001" customHeight="1"/>
    <row r="1646" ht="17.100000000000001" customHeight="1"/>
    <row r="1647" ht="17.100000000000001" customHeight="1"/>
    <row r="1648" ht="17.100000000000001" customHeight="1"/>
    <row r="1649" ht="17.100000000000001" customHeight="1"/>
    <row r="1650" ht="17.100000000000001" customHeight="1"/>
    <row r="1651" ht="17.100000000000001" customHeight="1"/>
    <row r="1652" ht="17.100000000000001" customHeight="1"/>
    <row r="1653" ht="17.100000000000001" customHeight="1"/>
    <row r="1654" ht="17.100000000000001" customHeight="1"/>
    <row r="1655" ht="17.100000000000001" customHeight="1"/>
    <row r="1656" ht="17.100000000000001" customHeight="1"/>
    <row r="1657" ht="17.100000000000001" customHeight="1"/>
    <row r="1658" ht="17.100000000000001" customHeight="1"/>
    <row r="1659" ht="17.100000000000001" customHeight="1"/>
    <row r="1660" ht="17.100000000000001" customHeight="1"/>
    <row r="1661" ht="17.100000000000001" customHeight="1"/>
    <row r="1662" ht="17.100000000000001" customHeight="1"/>
    <row r="1663" ht="17.100000000000001" customHeight="1"/>
    <row r="1664" ht="17.100000000000001" customHeight="1"/>
    <row r="1665" ht="17.100000000000001" customHeight="1"/>
    <row r="1666" ht="17.100000000000001" customHeight="1"/>
    <row r="1667" ht="17.100000000000001" customHeight="1"/>
    <row r="1668" ht="17.100000000000001" customHeight="1"/>
    <row r="1669" ht="17.100000000000001" customHeight="1"/>
    <row r="1670" ht="17.100000000000001" customHeight="1"/>
    <row r="1671" ht="17.100000000000001" customHeight="1"/>
    <row r="1672" ht="17.100000000000001" customHeight="1"/>
    <row r="1673" ht="17.100000000000001" customHeight="1"/>
    <row r="1674" ht="17.100000000000001" customHeight="1"/>
    <row r="1675" ht="17.100000000000001" customHeight="1"/>
    <row r="1676" ht="17.100000000000001" customHeight="1"/>
    <row r="1677" ht="17.100000000000001" customHeight="1"/>
    <row r="1678" ht="17.100000000000001" customHeight="1"/>
    <row r="1679" ht="17.100000000000001" customHeight="1"/>
    <row r="1680" ht="17.100000000000001" customHeight="1"/>
    <row r="1681" ht="17.100000000000001" customHeight="1"/>
    <row r="1682" ht="17.100000000000001" customHeight="1"/>
    <row r="1683" ht="17.100000000000001" customHeight="1"/>
    <row r="1684" ht="17.100000000000001" customHeight="1"/>
    <row r="1685" ht="17.100000000000001" customHeight="1"/>
    <row r="1686" ht="17.100000000000001" customHeight="1"/>
    <row r="1687" ht="17.100000000000001" customHeight="1"/>
    <row r="1688" ht="17.100000000000001" customHeight="1"/>
    <row r="1689" ht="17.100000000000001" customHeight="1"/>
    <row r="1690" ht="17.100000000000001" customHeight="1"/>
    <row r="1691" ht="17.100000000000001" customHeight="1"/>
    <row r="1692" ht="17.100000000000001" customHeight="1"/>
    <row r="1693" ht="17.100000000000001" customHeight="1"/>
    <row r="1694" ht="17.100000000000001" customHeight="1"/>
    <row r="1695" ht="17.100000000000001" customHeight="1"/>
    <row r="1696" ht="17.100000000000001" customHeight="1"/>
    <row r="1697" ht="17.100000000000001" customHeight="1"/>
    <row r="1698" ht="17.100000000000001" customHeight="1"/>
    <row r="1699" ht="17.100000000000001" customHeight="1"/>
    <row r="1700" ht="17.100000000000001" customHeight="1"/>
    <row r="1701" ht="17.100000000000001" customHeight="1"/>
    <row r="1702" ht="17.100000000000001" customHeight="1"/>
    <row r="1703" ht="17.100000000000001" customHeight="1"/>
    <row r="1704" ht="17.100000000000001" customHeight="1"/>
    <row r="1705" ht="17.100000000000001" customHeight="1"/>
    <row r="1706" ht="17.100000000000001" customHeight="1"/>
    <row r="1707" ht="17.100000000000001" customHeight="1"/>
    <row r="1708" ht="17.100000000000001" customHeight="1"/>
    <row r="1709" ht="17.100000000000001" customHeight="1"/>
    <row r="1710" ht="17.100000000000001" customHeight="1"/>
    <row r="1711" ht="17.100000000000001" customHeight="1"/>
    <row r="1712" ht="17.100000000000001" customHeight="1"/>
    <row r="1713" ht="17.100000000000001" customHeight="1"/>
    <row r="1714" ht="17.100000000000001" customHeight="1"/>
    <row r="1715" ht="17.100000000000001" customHeight="1"/>
    <row r="1716" ht="17.100000000000001" customHeight="1"/>
    <row r="1717" ht="17.100000000000001" customHeight="1"/>
    <row r="1718" ht="17.100000000000001" customHeight="1"/>
    <row r="1719" ht="17.100000000000001" customHeight="1"/>
    <row r="1720" ht="17.100000000000001" customHeight="1"/>
    <row r="1721" ht="17.100000000000001" customHeight="1"/>
    <row r="1722" ht="17.100000000000001" customHeight="1"/>
    <row r="1723" ht="17.100000000000001" customHeight="1"/>
    <row r="1724" ht="17.100000000000001" customHeight="1"/>
    <row r="1725" ht="17.100000000000001" customHeight="1"/>
    <row r="1726" ht="17.100000000000001" customHeight="1"/>
    <row r="1727" ht="17.100000000000001" customHeight="1"/>
    <row r="1728" ht="17.100000000000001" customHeight="1"/>
    <row r="1729" ht="17.100000000000001" customHeight="1"/>
    <row r="1730" ht="17.100000000000001" customHeight="1"/>
    <row r="1731" ht="17.100000000000001" customHeight="1"/>
    <row r="1732" ht="17.100000000000001" customHeight="1"/>
    <row r="1733" ht="17.100000000000001" customHeight="1"/>
    <row r="1734" ht="17.100000000000001" customHeight="1"/>
    <row r="1735" ht="17.100000000000001" customHeight="1"/>
    <row r="1736" ht="17.100000000000001" customHeight="1"/>
    <row r="1737" ht="17.100000000000001" customHeight="1"/>
    <row r="1738" ht="17.100000000000001" customHeight="1"/>
    <row r="1739" ht="17.100000000000001" customHeight="1"/>
    <row r="1740" ht="17.100000000000001" customHeight="1"/>
    <row r="1741" ht="17.100000000000001" customHeight="1"/>
    <row r="1742" ht="17.100000000000001" customHeight="1"/>
    <row r="1743" ht="17.100000000000001" customHeight="1"/>
    <row r="1744" ht="17.100000000000001" customHeight="1"/>
    <row r="1745" ht="17.100000000000001" customHeight="1"/>
    <row r="1746" ht="17.100000000000001" customHeight="1"/>
    <row r="1747" ht="17.100000000000001" customHeight="1"/>
    <row r="1748" ht="17.100000000000001" customHeight="1"/>
    <row r="1749" ht="17.100000000000001" customHeight="1"/>
    <row r="1750" ht="17.100000000000001" customHeight="1"/>
    <row r="1751" ht="17.100000000000001" customHeight="1"/>
    <row r="1752" ht="17.100000000000001" customHeight="1"/>
    <row r="1753" ht="17.100000000000001" customHeight="1"/>
    <row r="1754" ht="17.100000000000001" customHeight="1"/>
    <row r="1755" ht="17.100000000000001" customHeight="1"/>
    <row r="1756" ht="17.100000000000001" customHeight="1"/>
    <row r="1757" ht="17.100000000000001" customHeight="1"/>
    <row r="1758" ht="17.100000000000001" customHeight="1"/>
    <row r="1759" ht="17.100000000000001" customHeight="1"/>
    <row r="1760" ht="17.100000000000001" customHeight="1"/>
    <row r="1761" ht="17.100000000000001" customHeight="1"/>
    <row r="1762" ht="17.100000000000001" customHeight="1"/>
    <row r="1763" ht="17.100000000000001" customHeight="1"/>
    <row r="1764" ht="17.100000000000001" customHeight="1"/>
    <row r="1765" ht="17.100000000000001" customHeight="1"/>
    <row r="1766" ht="17.100000000000001" customHeight="1"/>
    <row r="1767" ht="17.100000000000001" customHeight="1"/>
    <row r="1768" ht="17.100000000000001" customHeight="1"/>
    <row r="1769" ht="17.100000000000001" customHeight="1"/>
    <row r="1770" ht="17.100000000000001" customHeight="1"/>
    <row r="1771" ht="17.100000000000001" customHeight="1"/>
    <row r="1772" ht="17.100000000000001" customHeight="1"/>
    <row r="1773" ht="17.100000000000001" customHeight="1"/>
    <row r="1774" ht="17.100000000000001" customHeight="1"/>
    <row r="1775" ht="17.100000000000001" customHeight="1"/>
    <row r="1776" ht="17.100000000000001" customHeight="1"/>
    <row r="1777" ht="17.100000000000001" customHeight="1"/>
    <row r="1778" ht="17.100000000000001" customHeight="1"/>
    <row r="1779" ht="17.100000000000001" customHeight="1"/>
    <row r="1780" ht="17.100000000000001" customHeight="1"/>
    <row r="1781" ht="17.100000000000001" customHeight="1"/>
    <row r="1782" ht="17.100000000000001" customHeight="1"/>
    <row r="1783" ht="17.100000000000001" customHeight="1"/>
    <row r="1784" ht="17.100000000000001" customHeight="1"/>
    <row r="1785" ht="17.100000000000001" customHeight="1"/>
    <row r="1786" ht="17.100000000000001" customHeight="1"/>
    <row r="1787" ht="17.100000000000001" customHeight="1"/>
    <row r="1788" ht="17.100000000000001" customHeight="1"/>
    <row r="1789" ht="17.100000000000001" customHeight="1"/>
    <row r="1790" ht="17.100000000000001" customHeight="1"/>
    <row r="1791" ht="17.100000000000001" customHeight="1"/>
    <row r="1792" ht="17.100000000000001" customHeight="1"/>
    <row r="1793" ht="17.100000000000001" customHeight="1"/>
    <row r="1794" ht="17.100000000000001" customHeight="1"/>
    <row r="1795" ht="17.100000000000001" customHeight="1"/>
    <row r="1796" ht="17.100000000000001" customHeight="1"/>
    <row r="1797" ht="17.100000000000001" customHeight="1"/>
    <row r="1798" ht="17.100000000000001" customHeight="1"/>
    <row r="1799" ht="17.100000000000001" customHeight="1"/>
    <row r="1800" ht="17.100000000000001" customHeight="1"/>
    <row r="1801" ht="17.100000000000001" customHeight="1"/>
    <row r="1802" ht="17.100000000000001" customHeight="1"/>
    <row r="1803" ht="17.100000000000001" customHeight="1"/>
    <row r="1804" ht="17.100000000000001" customHeight="1"/>
    <row r="1805" ht="17.100000000000001" customHeight="1"/>
    <row r="1806" ht="17.100000000000001" customHeight="1"/>
    <row r="1807" ht="17.100000000000001" customHeight="1"/>
    <row r="1808" ht="17.100000000000001" customHeight="1"/>
    <row r="1809" ht="17.100000000000001" customHeight="1"/>
    <row r="1810" ht="17.100000000000001" customHeight="1"/>
    <row r="1811" ht="17.100000000000001" customHeight="1"/>
    <row r="1812" ht="17.100000000000001" customHeight="1"/>
    <row r="1813" ht="17.100000000000001" customHeight="1"/>
    <row r="1814" ht="17.100000000000001" customHeight="1"/>
    <row r="1815" ht="17.100000000000001" customHeight="1"/>
    <row r="1816" ht="17.100000000000001" customHeight="1"/>
    <row r="1817" ht="17.100000000000001" customHeight="1"/>
    <row r="1818" ht="17.100000000000001" customHeight="1"/>
    <row r="1819" ht="17.100000000000001" customHeight="1"/>
    <row r="1820" ht="17.100000000000001" customHeight="1"/>
    <row r="1821" ht="17.100000000000001" customHeight="1"/>
    <row r="1822" ht="17.100000000000001" customHeight="1"/>
    <row r="1823" ht="17.100000000000001" customHeight="1"/>
    <row r="1824" ht="17.100000000000001" customHeight="1"/>
    <row r="1825" ht="17.100000000000001" customHeight="1"/>
    <row r="1826" ht="17.100000000000001" customHeight="1"/>
    <row r="1827" ht="17.100000000000001" customHeight="1"/>
    <row r="1828" ht="17.100000000000001" customHeight="1"/>
    <row r="1829" ht="17.100000000000001" customHeight="1"/>
    <row r="1830" ht="17.100000000000001" customHeight="1"/>
    <row r="1831" ht="17.100000000000001" customHeight="1"/>
    <row r="1832" ht="17.100000000000001" customHeight="1"/>
    <row r="1833" ht="17.100000000000001" customHeight="1"/>
    <row r="1834" ht="17.100000000000001" customHeight="1"/>
    <row r="1835" ht="17.100000000000001" customHeight="1"/>
    <row r="1836" ht="17.100000000000001" customHeight="1"/>
    <row r="1837" ht="17.100000000000001" customHeight="1"/>
    <row r="1838" ht="17.100000000000001" customHeight="1"/>
    <row r="1839" ht="17.100000000000001" customHeight="1"/>
    <row r="1840" ht="17.100000000000001" customHeight="1"/>
    <row r="1841" ht="17.100000000000001" customHeight="1"/>
    <row r="1842" ht="17.100000000000001" customHeight="1"/>
    <row r="1843" ht="17.100000000000001" customHeight="1"/>
    <row r="1844" ht="17.100000000000001" customHeight="1"/>
    <row r="1845" ht="17.100000000000001" customHeight="1"/>
    <row r="1846" ht="17.100000000000001" customHeight="1"/>
    <row r="1847" ht="17.100000000000001" customHeight="1"/>
    <row r="1848" ht="17.100000000000001" customHeight="1"/>
    <row r="1849" ht="17.100000000000001" customHeight="1"/>
    <row r="1850" ht="17.100000000000001" customHeight="1"/>
    <row r="1851" ht="17.100000000000001" customHeight="1"/>
    <row r="1852" ht="17.100000000000001" customHeight="1"/>
    <row r="1853" ht="17.100000000000001" customHeight="1"/>
    <row r="1854" ht="17.100000000000001" customHeight="1"/>
    <row r="1855" ht="17.100000000000001" customHeight="1"/>
    <row r="1856" ht="17.100000000000001" customHeight="1"/>
    <row r="1857" ht="17.100000000000001" customHeight="1"/>
    <row r="1858" ht="17.100000000000001" customHeight="1"/>
    <row r="1859" ht="17.100000000000001" customHeight="1"/>
    <row r="1860" ht="17.100000000000001" customHeight="1"/>
    <row r="1861" ht="17.100000000000001" customHeight="1"/>
    <row r="1862" ht="17.100000000000001" customHeight="1"/>
    <row r="1863" ht="17.100000000000001" customHeight="1"/>
    <row r="1864" ht="17.100000000000001" customHeight="1"/>
    <row r="1865" ht="17.100000000000001" customHeight="1"/>
    <row r="1866" ht="17.100000000000001" customHeight="1"/>
    <row r="1867" ht="17.100000000000001" customHeight="1"/>
    <row r="1868" ht="17.100000000000001" customHeight="1"/>
    <row r="1869" ht="17.100000000000001" customHeight="1"/>
    <row r="1870" ht="17.100000000000001" customHeight="1"/>
    <row r="1871" ht="17.100000000000001" customHeight="1"/>
    <row r="1872" ht="17.100000000000001" customHeight="1"/>
    <row r="1873" ht="17.100000000000001" customHeight="1"/>
    <row r="1874" ht="17.100000000000001" customHeight="1"/>
    <row r="1875" ht="17.100000000000001" customHeight="1"/>
    <row r="1876" ht="17.100000000000001" customHeight="1"/>
    <row r="1877" ht="17.100000000000001" customHeight="1"/>
    <row r="1878" ht="17.100000000000001" customHeight="1"/>
    <row r="1879" ht="17.100000000000001" customHeight="1"/>
    <row r="1880" ht="17.100000000000001" customHeight="1"/>
    <row r="1881" ht="17.100000000000001" customHeight="1"/>
    <row r="1882" ht="17.100000000000001" customHeight="1"/>
    <row r="1883" ht="17.100000000000001" customHeight="1"/>
    <row r="1884" ht="17.100000000000001" customHeight="1"/>
    <row r="1885" ht="17.100000000000001" customHeight="1"/>
    <row r="1886" ht="17.100000000000001" customHeight="1"/>
    <row r="1887" ht="17.100000000000001" customHeight="1"/>
    <row r="1888" ht="17.100000000000001" customHeight="1"/>
    <row r="1889" ht="17.100000000000001" customHeight="1"/>
    <row r="1890" ht="17.100000000000001" customHeight="1"/>
    <row r="1891" ht="17.100000000000001" customHeight="1"/>
    <row r="1892" ht="17.100000000000001" customHeight="1"/>
    <row r="1893" ht="17.100000000000001" customHeight="1"/>
    <row r="1894" ht="17.100000000000001" customHeight="1"/>
    <row r="1895" ht="17.100000000000001" customHeight="1"/>
    <row r="1896" ht="17.100000000000001" customHeight="1"/>
    <row r="1897" ht="17.100000000000001" customHeight="1"/>
    <row r="1898" ht="17.100000000000001" customHeight="1"/>
    <row r="1899" ht="17.100000000000001" customHeight="1"/>
    <row r="1900" ht="17.100000000000001" customHeight="1"/>
    <row r="1901" ht="17.100000000000001" customHeight="1"/>
    <row r="1902" ht="17.100000000000001" customHeight="1"/>
    <row r="1903" ht="17.100000000000001" customHeight="1"/>
    <row r="1904" ht="17.100000000000001" customHeight="1"/>
    <row r="1905" ht="17.100000000000001" customHeight="1"/>
    <row r="1906" ht="17.100000000000001" customHeight="1"/>
    <row r="1907" ht="17.100000000000001" customHeight="1"/>
    <row r="1908" ht="17.100000000000001" customHeight="1"/>
    <row r="1909" ht="17.100000000000001" customHeight="1"/>
    <row r="1910" ht="17.100000000000001" customHeight="1"/>
    <row r="1911" ht="17.100000000000001" customHeight="1"/>
    <row r="1912" ht="17.100000000000001" customHeight="1"/>
    <row r="1913" ht="17.100000000000001" customHeight="1"/>
    <row r="1914" ht="17.100000000000001" customHeight="1"/>
    <row r="1915" ht="17.100000000000001" customHeight="1"/>
    <row r="1916" ht="17.100000000000001" customHeight="1"/>
    <row r="1917" ht="17.100000000000001" customHeight="1"/>
    <row r="1918" ht="17.100000000000001" customHeight="1"/>
    <row r="1919" ht="17.100000000000001" customHeight="1"/>
    <row r="1920" ht="17.100000000000001" customHeight="1"/>
    <row r="1921" ht="17.100000000000001" customHeight="1"/>
    <row r="1922" ht="17.100000000000001" customHeight="1"/>
    <row r="1923" ht="17.100000000000001" customHeight="1"/>
    <row r="1924" ht="17.100000000000001" customHeight="1"/>
    <row r="1925" ht="17.100000000000001" customHeight="1"/>
    <row r="1926" ht="17.100000000000001" customHeight="1"/>
    <row r="1927" ht="17.100000000000001" customHeight="1"/>
    <row r="1928" ht="17.100000000000001" customHeight="1"/>
    <row r="1929" ht="17.100000000000001" customHeight="1"/>
    <row r="1930" ht="17.100000000000001" customHeight="1"/>
    <row r="1931" ht="17.100000000000001" customHeight="1"/>
    <row r="1932" ht="17.100000000000001" customHeight="1"/>
    <row r="1933" ht="17.100000000000001" customHeight="1"/>
    <row r="1934" ht="17.100000000000001" customHeight="1"/>
    <row r="1935" ht="17.100000000000001" customHeight="1"/>
    <row r="1936" ht="17.100000000000001" customHeight="1"/>
    <row r="1937" ht="17.100000000000001" customHeight="1"/>
    <row r="1938" ht="17.100000000000001" customHeight="1"/>
    <row r="1939" ht="17.100000000000001" customHeight="1"/>
    <row r="1940" ht="17.100000000000001" customHeight="1"/>
    <row r="1941" ht="17.100000000000001" customHeight="1"/>
    <row r="1942" ht="17.100000000000001" customHeight="1"/>
    <row r="1943" ht="17.100000000000001" customHeight="1"/>
    <row r="1944" ht="17.100000000000001" customHeight="1"/>
    <row r="1945" ht="17.100000000000001" customHeight="1"/>
    <row r="1946" ht="17.100000000000001" customHeight="1"/>
    <row r="1947" ht="17.100000000000001" customHeight="1"/>
    <row r="1948" ht="17.100000000000001" customHeight="1"/>
    <row r="1949" ht="17.100000000000001" customHeight="1"/>
    <row r="1950" ht="17.100000000000001" customHeight="1"/>
    <row r="1951" ht="17.100000000000001" customHeight="1"/>
    <row r="1952" ht="17.100000000000001" customHeight="1"/>
    <row r="1953" ht="17.100000000000001" customHeight="1"/>
    <row r="1954" ht="17.100000000000001" customHeight="1"/>
    <row r="1955" ht="17.100000000000001" customHeight="1"/>
    <row r="1956" ht="17.100000000000001" customHeight="1"/>
    <row r="1957" ht="17.100000000000001" customHeight="1"/>
    <row r="1958" ht="17.100000000000001" customHeight="1"/>
    <row r="1959" ht="17.100000000000001" customHeight="1"/>
    <row r="1960" ht="17.100000000000001" customHeight="1"/>
    <row r="1961" ht="17.100000000000001" customHeight="1"/>
    <row r="1962" ht="17.100000000000001" customHeight="1"/>
    <row r="1963" ht="17.100000000000001" customHeight="1"/>
    <row r="1964" ht="17.100000000000001" customHeight="1"/>
    <row r="1965" ht="17.100000000000001" customHeight="1"/>
    <row r="1966" ht="17.100000000000001" customHeight="1"/>
    <row r="1967" ht="17.100000000000001" customHeight="1"/>
    <row r="1968" ht="17.100000000000001" customHeight="1"/>
    <row r="1969" ht="17.100000000000001" customHeight="1"/>
    <row r="1970" ht="17.100000000000001" customHeight="1"/>
    <row r="1971" ht="17.100000000000001" customHeight="1"/>
    <row r="1972" ht="17.100000000000001" customHeight="1"/>
    <row r="1973" ht="17.100000000000001" customHeight="1"/>
    <row r="1974" ht="17.100000000000001" customHeight="1"/>
    <row r="1975" ht="17.100000000000001" customHeight="1"/>
    <row r="1976" ht="17.100000000000001" customHeight="1"/>
    <row r="1977" ht="17.100000000000001" customHeight="1"/>
    <row r="1978" ht="17.100000000000001" customHeight="1"/>
    <row r="1979" ht="17.100000000000001" customHeight="1"/>
    <row r="1980" ht="17.100000000000001" customHeight="1"/>
    <row r="1981" ht="17.100000000000001" customHeight="1"/>
    <row r="1982" ht="17.100000000000001" customHeight="1"/>
    <row r="1983" ht="17.100000000000001" customHeight="1"/>
    <row r="1984" ht="17.100000000000001" customHeight="1"/>
    <row r="1985" ht="17.100000000000001" customHeight="1"/>
    <row r="1986" ht="17.100000000000001" customHeight="1"/>
    <row r="1987" ht="17.100000000000001" customHeight="1"/>
    <row r="1988" ht="17.100000000000001" customHeight="1"/>
    <row r="1989" ht="17.100000000000001" customHeight="1"/>
    <row r="1990" ht="17.100000000000001" customHeight="1"/>
    <row r="1991" ht="17.100000000000001" customHeight="1"/>
    <row r="1992" ht="17.100000000000001" customHeight="1"/>
    <row r="1993" ht="17.100000000000001" customHeight="1"/>
    <row r="1994" ht="17.100000000000001" customHeight="1"/>
    <row r="1995" ht="17.100000000000001" customHeight="1"/>
    <row r="1996" ht="17.100000000000001" customHeight="1"/>
    <row r="1997" ht="17.100000000000001" customHeight="1"/>
    <row r="1998" ht="17.100000000000001" customHeight="1"/>
    <row r="1999" ht="17.100000000000001" customHeight="1"/>
    <row r="2000" ht="17.100000000000001" customHeight="1"/>
    <row r="2001" ht="17.100000000000001" customHeight="1"/>
    <row r="2002" ht="17.100000000000001" customHeight="1"/>
  </sheetData>
  <mergeCells count="1">
    <mergeCell ref="B3:C3"/>
  </mergeCells>
  <phoneticPr fontId="24" type="noConversion"/>
  <conditionalFormatting sqref="C4:C8 C11:C19">
    <cfRule type="expression" dxfId="49" priority="19">
      <formula>OR(C4="", C4=0)</formula>
    </cfRule>
  </conditionalFormatting>
  <conditionalFormatting sqref="G19:L21 F4:L18 F19:F28 I56:I68 L6:L28">
    <cfRule type="expression" dxfId="48" priority="40">
      <formula>AND(LEN(F4)=0, OR(COUNTIF($F4:$L4,"&lt;&gt;") &gt; 0, COUNTIF($Q4:$R4,"&lt;&gt;") &gt; 0))</formula>
    </cfRule>
  </conditionalFormatting>
  <conditionalFormatting sqref="J4:K110">
    <cfRule type="expression" dxfId="47" priority="28">
      <formula>OR(ActorType="CylinderUnits", ActorType="SensorUnits")</formula>
    </cfRule>
  </conditionalFormatting>
  <conditionalFormatting sqref="L4:O110">
    <cfRule type="expression" dxfId="46" priority="27">
      <formula>AND(ActorType&lt;&gt;"CylinderUnits", ActorType&lt;&gt;"SensorUnits",LEN(ActorType)&gt;0)</formula>
    </cfRule>
  </conditionalFormatting>
  <conditionalFormatting sqref="P4:P110">
    <cfRule type="expression" dxfId="45" priority="22">
      <formula>AND(ActorType&lt;&gt;"CylinderUnits", LEN(ActorType)&gt;0)</formula>
    </cfRule>
  </conditionalFormatting>
  <conditionalFormatting sqref="Q4:S58 Q65:S110">
    <cfRule type="expression" dxfId="44" priority="29">
      <formula>IF(RowType = "Start Conditions", TRUE, FALSE)</formula>
    </cfRule>
    <cfRule type="expression" dxfId="43" priority="38">
      <formula>AND(RowType &lt;&gt; "Start Conditions", LEN($Q4)=0, LEN($R4)=0, COUNTIF($H4:$L4,"&lt;&gt;") &gt; 0)</formula>
    </cfRule>
  </conditionalFormatting>
  <conditionalFormatting sqref="L4:L110">
    <cfRule type="cellIs" dxfId="42" priority="10" operator="equal">
      <formula>"ON"</formula>
    </cfRule>
    <cfRule type="cellIs" dxfId="41" priority="11" operator="equal">
      <formula>"OFF"</formula>
    </cfRule>
  </conditionalFormatting>
  <conditionalFormatting sqref="K4:K110">
    <cfRule type="expression" dxfId="40" priority="20">
      <formula>AND(Style &lt;&gt; "", RowType = "Start Conditions")</formula>
    </cfRule>
  </conditionalFormatting>
  <conditionalFormatting sqref="F4:V110">
    <cfRule type="expression" dxfId="39" priority="12">
      <formula>AND(Style &lt;&gt; "", RowType = "Sequence Header")</formula>
    </cfRule>
    <cfRule type="expression" dxfId="38" priority="14">
      <formula>AND(Style &lt;&gt; "", RowType = "Start Conditions Header")</formula>
    </cfRule>
    <cfRule type="expression" dxfId="37" priority="15">
      <formula>AND(Style &lt;&gt; "", RowType = "Fixed State")</formula>
    </cfRule>
    <cfRule type="expression" dxfId="36" priority="18">
      <formula>AND(Style &lt;&gt; "", RowType = "Transition State")</formula>
    </cfRule>
  </conditionalFormatting>
  <conditionalFormatting sqref="Q60:S60 Q62:S64">
    <cfRule type="expression" dxfId="35" priority="49">
      <formula>IF(RowType = "Start Conditions", TRUE, FALSE)</formula>
    </cfRule>
    <cfRule type="expression" dxfId="34" priority="50">
      <formula>AND(RowType &lt;&gt; "Start Conditions", LEN($Q60)=0, LEN($R60)=0, COUNTIF($H59:$L59,"&lt;&gt;") &gt; 0)</formula>
    </cfRule>
  </conditionalFormatting>
  <conditionalFormatting sqref="Q59:S59">
    <cfRule type="expression" dxfId="33" priority="51">
      <formula>IF(RowType = "Start Conditions", TRUE, FALSE)</formula>
    </cfRule>
    <cfRule type="expression" dxfId="32" priority="52">
      <formula>AND(RowType &lt;&gt; "Start Conditions", LEN($Q59)=0, LEN($R59)=0, COUNTIF(#REF!,"&lt;&gt;") &gt; 0)</formula>
    </cfRule>
  </conditionalFormatting>
  <conditionalFormatting sqref="Q61:S61">
    <cfRule type="expression" dxfId="31" priority="93">
      <formula>IF(RowType = "Start Conditions", TRUE, FALSE)</formula>
    </cfRule>
    <cfRule type="expression" dxfId="30" priority="94">
      <formula>AND(RowType &lt;&gt; "Start Conditions", LEN($Q61)=0, LEN($R61)=0, COUNTIF(#REF!,"&lt;&gt;") &gt; 0)</formula>
    </cfRule>
  </conditionalFormatting>
  <conditionalFormatting sqref="I84:I96">
    <cfRule type="expression" dxfId="29" priority="1">
      <formula>AND(LEN(I84)=0, OR(COUNTIF($F84:$L84,"&lt;&gt;") &gt; 0, COUNTIF($Q84:$R84,"&lt;&gt;") &gt; 0))</formula>
    </cfRule>
  </conditionalFormatting>
  <dataValidations count="5">
    <dataValidation type="list" allowBlank="1" showInputMessage="1" showErrorMessage="1" sqref="L4:L110" xr:uid="{C8D7C42C-A4DB-4F26-B309-4C3F6D450441}">
      <formula1 xml:space="preserve"> IF(AND(ActorType = "CylinderUnits", RowType = "Start Conditions"), MotionGroupStatuses,  IF(AND(ActorType = "CylinderUnits", RowType &lt;&gt; "Start Conditions"), MotionGroupActions,   IF(ActorType = "SensorUnits", SensorGroupStatuses, "")))</formula1>
    </dataValidation>
    <dataValidation type="list" allowBlank="1" showInputMessage="1" showErrorMessage="1" sqref="I4:I110" xr:uid="{A59C2BEB-80CA-4C0A-B5F5-DDE799CD6CE9}">
      <formula1>INDIRECT(ActorType)</formula1>
    </dataValidation>
    <dataValidation type="list" allowBlank="1" showInputMessage="1" showErrorMessage="1" sqref="F4:F110" xr:uid="{7DD20AC1-2AD0-4EE3-8775-E38B089546C8}">
      <formula1>StyleDescriptions</formula1>
    </dataValidation>
    <dataValidation type="list" allowBlank="1" showInputMessage="1" showErrorMessage="1" sqref="H4:H110" xr:uid="{C5BA7839-8787-4BEC-A91C-84D046E4F846}">
      <formula1>"CylinderUnits, SensorUnits, Operators, Robots, Motor"</formula1>
    </dataValidation>
    <dataValidation type="list" allowBlank="1" showInputMessage="1" showErrorMessage="1" sqref="G4:G110" xr:uid="{EAC2473A-F314-44AA-AB6C-D46E06E3553C}">
      <formula1>INDIRECT("Type[Type]")</formula1>
    </dataValidation>
  </dataValidations>
  <printOptions horizontalCentered="1"/>
  <pageMargins left="0.25" right="0.25" top="0.4" bottom="0.4" header="0.5" footer="0.25"/>
  <pageSetup scale="40" fitToHeight="5" orientation="portrait" r:id="rId1"/>
  <headerFooter>
    <oddFooter>&amp;L&amp;D&amp;CPage &amp;P of &amp;N&amp;REquipment Vendor Safety Buyoff - Rev 1</oddFooter>
  </headerFooter>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4FF2A-152F-42AA-8825-9B8C8A899F43}">
  <sheetPr codeName="Sheet10"/>
  <dimension ref="A1:S199"/>
  <sheetViews>
    <sheetView showGridLines="0" zoomScale="88" zoomScaleNormal="85" zoomScaleSheetLayoutView="85" workbookViewId="0">
      <selection activeCell="H18" sqref="H18"/>
    </sheetView>
  </sheetViews>
  <sheetFormatPr defaultColWidth="8.625" defaultRowHeight="12" customHeight="1"/>
  <cols>
    <col min="1" max="1" width="1.75" style="199" customWidth="1"/>
    <col min="2" max="2" width="25.75" style="199" customWidth="1"/>
    <col min="3" max="3" width="15.375" style="199" bestFit="1" customWidth="1"/>
    <col min="4" max="4" width="1.75" style="199" customWidth="1"/>
    <col min="5" max="6" width="20" style="204" customWidth="1"/>
    <col min="7" max="7" width="2.25" style="204" customWidth="1"/>
    <col min="8" max="8" width="18.5" style="204" bestFit="1" customWidth="1"/>
    <col min="9" max="9" width="10.125" style="204" bestFit="1" customWidth="1"/>
    <col min="10" max="10" width="8.875" style="215" bestFit="1" customWidth="1"/>
    <col min="11" max="11" width="9" style="215" bestFit="1" customWidth="1"/>
    <col min="12" max="12" width="10.5" style="206" bestFit="1" customWidth="1"/>
    <col min="13" max="13" width="9.875" style="206" bestFit="1" customWidth="1"/>
    <col min="14" max="14" width="18.5" style="206" bestFit="1" customWidth="1"/>
    <col min="15" max="15" width="9.875" style="206" bestFit="1" customWidth="1"/>
    <col min="16" max="16" width="8.875" style="216" bestFit="1" customWidth="1"/>
    <col min="17" max="17" width="9" style="216" bestFit="1" customWidth="1"/>
    <col min="18" max="18" width="10.5" style="206" bestFit="1" customWidth="1"/>
    <col min="19" max="19" width="9.875" style="199" bestFit="1" customWidth="1"/>
    <col min="20" max="55" width="14.25" style="199" customWidth="1"/>
    <col min="56" max="16384" width="8.625" style="199"/>
  </cols>
  <sheetData>
    <row r="1" spans="1:19" ht="26.25" thickBot="1">
      <c r="A1" s="40" t="e" vm="1">
        <v>#VALUE!</v>
      </c>
      <c r="B1" s="48" t="s">
        <v>0</v>
      </c>
      <c r="C1" s="49"/>
      <c r="D1" s="40"/>
      <c r="E1" s="120"/>
      <c r="F1" s="268"/>
      <c r="G1" s="120"/>
      <c r="H1" s="120"/>
      <c r="I1" s="120"/>
      <c r="J1" s="197"/>
      <c r="K1" s="197"/>
      <c r="L1" s="140"/>
      <c r="M1" s="140"/>
      <c r="N1" s="140"/>
      <c r="O1" s="140"/>
      <c r="P1" s="140"/>
      <c r="Q1" s="140"/>
      <c r="R1" s="140"/>
    </row>
    <row r="2" spans="1:19" ht="16.5" thickBot="1">
      <c r="A2" s="54"/>
      <c r="B2" s="55" t="s">
        <v>1</v>
      </c>
      <c r="C2" s="56"/>
      <c r="D2" s="54"/>
      <c r="E2" s="120"/>
      <c r="F2" s="269"/>
      <c r="G2" s="120"/>
      <c r="H2" s="351" t="s">
        <v>201</v>
      </c>
      <c r="I2" s="352"/>
      <c r="J2" s="352"/>
      <c r="K2" s="352"/>
      <c r="L2" s="352"/>
      <c r="M2" s="219"/>
      <c r="N2" s="353" t="str" cm="1">
        <f t="array" ref="N2">_xlfn.IFS(H2="Model 1","Model 2",H2="Common","")</f>
        <v/>
      </c>
      <c r="O2" s="353"/>
      <c r="P2" s="353"/>
      <c r="Q2" s="353"/>
      <c r="R2" s="354"/>
      <c r="S2" s="219"/>
    </row>
    <row r="3" spans="1:19" ht="16.5" thickBot="1">
      <c r="A3" s="140"/>
      <c r="B3" s="334" t="str" cm="1">
        <f t="array" aca="1" ref="B3" ca="1">_xlfn.TEXTAFTER(CELL("filename",A1),"]")</f>
        <v>Validation</v>
      </c>
      <c r="C3" s="334"/>
      <c r="D3" s="154"/>
      <c r="E3" s="217" t="s">
        <v>481</v>
      </c>
      <c r="F3" s="218" t="s">
        <v>482</v>
      </c>
      <c r="G3" s="198"/>
      <c r="H3" s="220" t="s">
        <v>484</v>
      </c>
      <c r="I3" s="221" t="s">
        <v>458</v>
      </c>
      <c r="J3" s="222" t="s">
        <v>153</v>
      </c>
      <c r="K3" s="222" t="s">
        <v>161</v>
      </c>
      <c r="L3" s="223" t="s">
        <v>483</v>
      </c>
      <c r="M3" s="222" t="s">
        <v>516</v>
      </c>
      <c r="N3" s="224" t="str" cm="1">
        <f t="array" ref="N3">_xlfn.IFS(H2="Model 1","Motion Group Name",H2="Common","")</f>
        <v/>
      </c>
      <c r="O3" s="222" t="str" cm="1">
        <f t="array" ref="O3">_xlfn.IFS(H2="Model 1","Unit Name",H2="Common","")</f>
        <v/>
      </c>
      <c r="P3" s="222" t="str" cm="1">
        <f t="array" ref="P3">_xlfn.IFS(H2="Model 1","TO WORK",H2="Common","")</f>
        <v/>
      </c>
      <c r="Q3" s="223" t="str" cm="1">
        <f t="array" ref="Q3">_xlfn.IFS(H2="Model 1","TO HOME",H2="Common","")</f>
        <v/>
      </c>
      <c r="R3" s="222" t="str" cm="1">
        <f t="array" ref="R3">_xlfn.IFS(H2="Model 1","Verification",H2="Common","")</f>
        <v/>
      </c>
      <c r="S3" s="222" t="s">
        <v>516</v>
      </c>
    </row>
    <row r="4" spans="1:19" ht="17.100000000000001" customHeight="1">
      <c r="A4" s="64"/>
      <c r="B4" s="65" t="s">
        <v>2</v>
      </c>
      <c r="C4" s="87" t="str">
        <f>IF(Shop &lt;&gt; "", Shop, "")</f>
        <v>BL03</v>
      </c>
      <c r="D4" s="88"/>
      <c r="E4" s="260" t="str" cm="1">
        <f t="array" ref="E4:E6">IFERROR(_xlfn.UNIQUE(_xlfn._xlws.FILTER(Sequence[Custom Description], Sequence[Row Type]="Transition State")),"")</f>
        <v>ToHomePos_R2S</v>
      </c>
      <c r="F4" s="261" t="str" cm="1">
        <f t="array" ref="F4:F6">IFERROR(_xlfn.UNIQUE(_xlfn._xlws.FILTER(Sequence[Custom Description], Sequence[Row Type]="Fixed State")),"")</f>
        <v>HomePos_R2S</v>
      </c>
      <c r="G4" s="211"/>
      <c r="H4" s="317" t="str">
        <f>IFERROR(IF($I4&lt;&gt;"",INDEX(Cylinders[MotionGroup Description],MATCH($I4,Cylinders[Unit Name],0)),""),"N/A")</f>
        <v>Group 1 Clamps</v>
      </c>
      <c r="I4" s="318" t="s">
        <v>522</v>
      </c>
      <c r="J4" s="325">
        <v>1</v>
      </c>
      <c r="K4" s="325">
        <v>1</v>
      </c>
      <c r="L4" s="325" t="s">
        <v>521</v>
      </c>
      <c r="M4" s="326"/>
      <c r="N4" s="317" t="str">
        <f>IFERROR(IF($O4&lt;&gt;"",INDEX(Cylinders[MotionGroup Description],MATCH($O4,Cylinders[Unit Name],0)),""),"N/A")</f>
        <v/>
      </c>
      <c r="O4" s="327"/>
      <c r="P4" s="327"/>
      <c r="Q4" s="327"/>
      <c r="R4" s="328"/>
      <c r="S4" s="326"/>
    </row>
    <row r="5" spans="1:19" ht="17.100000000000001" customHeight="1">
      <c r="A5" s="42"/>
      <c r="B5" s="65" t="s">
        <v>6</v>
      </c>
      <c r="C5" s="87" t="str">
        <f>IF(Line &lt;&gt; "", Line, "")</f>
        <v>FFLR</v>
      </c>
      <c r="D5" s="88"/>
      <c r="E5" s="262" t="str">
        <v>ToWorkPos1_R2S</v>
      </c>
      <c r="F5" s="263" t="str">
        <v>WorkPos1_R2S</v>
      </c>
      <c r="G5" s="212"/>
      <c r="H5" s="319" t="str">
        <f>IFERROR(IF($I5&lt;&gt;"",INDEX(Cylinders[MotionGroup Description],MATCH($I5,Cylinders[Unit Name],0)),""),"N/A")</f>
        <v>Group 1 Clamps</v>
      </c>
      <c r="I5" s="318" t="s">
        <v>523</v>
      </c>
      <c r="J5" s="325">
        <v>1</v>
      </c>
      <c r="K5" s="325">
        <v>1</v>
      </c>
      <c r="L5" s="325" t="s">
        <v>521</v>
      </c>
      <c r="M5" s="326"/>
      <c r="N5" s="319" t="str">
        <f>IFERROR(IF($O5&lt;&gt;"",INDEX(Cylinders[MotionGroup Description],MATCH($O5,Cylinders[Unit Name],0)),""),"N/A")</f>
        <v/>
      </c>
      <c r="O5" s="325"/>
      <c r="P5" s="325"/>
      <c r="Q5" s="325"/>
      <c r="R5" s="329"/>
      <c r="S5" s="326"/>
    </row>
    <row r="6" spans="1:19" ht="17.100000000000001" customHeight="1">
      <c r="A6" s="42"/>
      <c r="B6" s="65" t="s">
        <v>4</v>
      </c>
      <c r="C6" s="89" t="str">
        <f>IF(LineDescription&lt;&gt;"",LineDescription,"")</f>
        <v>Front Floor</v>
      </c>
      <c r="D6" s="88"/>
      <c r="E6" s="262" t="str">
        <v>ToToHomePos</v>
      </c>
      <c r="F6" s="264" t="str">
        <v>ToHomePos</v>
      </c>
      <c r="G6" s="212"/>
      <c r="H6" s="319" t="str">
        <f>IFERROR(IF($I6&lt;&gt;"",INDEX(Cylinders[MotionGroup Description],MATCH($I6,Cylinders[Unit Name],0)),""),"N/A")</f>
        <v>Group 1 Clamps</v>
      </c>
      <c r="I6" s="318" t="s">
        <v>524</v>
      </c>
      <c r="J6" s="325">
        <v>1</v>
      </c>
      <c r="K6" s="325">
        <v>1</v>
      </c>
      <c r="L6" s="325" t="s">
        <v>521</v>
      </c>
      <c r="M6" s="326"/>
      <c r="N6" s="319" t="str">
        <f>IFERROR(IF($O6&lt;&gt;"",INDEX(Cylinders[MotionGroup Description],MATCH($O6,Cylinders[Unit Name],0)),""),"N/A")</f>
        <v/>
      </c>
      <c r="O6" s="325"/>
      <c r="P6" s="325"/>
      <c r="Q6" s="325"/>
      <c r="R6" s="329"/>
      <c r="S6" s="326"/>
    </row>
    <row r="7" spans="1:19" ht="17.100000000000001" customHeight="1">
      <c r="A7" s="42"/>
      <c r="B7" s="65" t="s">
        <v>8</v>
      </c>
      <c r="C7" s="89" t="str">
        <f>IF(Station &lt;&gt; "", Station, "")</f>
        <v>010</v>
      </c>
      <c r="D7" s="88"/>
      <c r="E7" s="262"/>
      <c r="F7" s="264"/>
      <c r="G7" s="212"/>
      <c r="H7" s="319" t="str">
        <f>IFERROR(IF($I7&lt;&gt;"",INDEX(Cylinders[MotionGroup Description],MATCH($I7,Cylinders[Unit Name],0)),""),"N/A")</f>
        <v>Group 1 Clamps</v>
      </c>
      <c r="I7" s="318" t="s">
        <v>519</v>
      </c>
      <c r="J7" s="320">
        <v>1</v>
      </c>
      <c r="K7" s="320">
        <v>1</v>
      </c>
      <c r="L7" s="320" t="s">
        <v>521</v>
      </c>
      <c r="M7" s="321"/>
      <c r="N7" s="319" t="str">
        <f>IFERROR(IF($O7&lt;&gt;"",INDEX(Cylinders[MotionGroup Description],MATCH($O7,Cylinders[Unit Name],0)),""),"N/A")</f>
        <v/>
      </c>
      <c r="O7" s="325"/>
      <c r="P7" s="325"/>
      <c r="Q7" s="325"/>
      <c r="R7" s="329"/>
      <c r="S7" s="321"/>
    </row>
    <row r="8" spans="1:19" ht="17.100000000000001" customHeight="1">
      <c r="A8" s="42"/>
      <c r="B8" s="65" t="s">
        <v>10</v>
      </c>
      <c r="C8" s="89" t="str">
        <f>StationDescription</f>
        <v>Station 010</v>
      </c>
      <c r="D8" s="88"/>
      <c r="E8" s="265"/>
      <c r="F8" s="264"/>
      <c r="G8" s="212"/>
      <c r="H8" s="319" t="str">
        <f>IFERROR(IF($I8&lt;&gt;"",INDEX(Cylinders[MotionGroup Description],MATCH($I8,Cylinders[Unit Name],0)),""),"N/A")</f>
        <v>Group 1 Clamps</v>
      </c>
      <c r="I8" s="318" t="s">
        <v>525</v>
      </c>
      <c r="J8" s="320">
        <v>1</v>
      </c>
      <c r="K8" s="320">
        <v>1</v>
      </c>
      <c r="L8" s="320" t="s">
        <v>521</v>
      </c>
      <c r="M8" s="321"/>
      <c r="N8" s="319" t="str">
        <f>IFERROR(IF($O8&lt;&gt;"",INDEX(Cylinders[MotionGroup Description],MATCH($O8,Cylinders[Unit Name],0)),""),"N/A")</f>
        <v/>
      </c>
      <c r="O8" s="325"/>
      <c r="P8" s="325"/>
      <c r="Q8" s="325"/>
      <c r="R8" s="329"/>
      <c r="S8" s="321"/>
    </row>
    <row r="9" spans="1:19" ht="17.100000000000001" customHeight="1">
      <c r="A9" s="42"/>
      <c r="B9" s="65" t="s">
        <v>12</v>
      </c>
      <c r="C9" s="89" t="str">
        <f>IF(System &lt;&gt; "", System, "")</f>
        <v/>
      </c>
      <c r="D9" s="88"/>
      <c r="E9" s="265"/>
      <c r="F9" s="264"/>
      <c r="G9" s="212"/>
      <c r="H9" s="319" t="str">
        <f>IFERROR(IF($I9&lt;&gt;"",INDEX(Cylinders[MotionGroup Description],MATCH($I9,Cylinders[Unit Name],0)),""),"N/A")</f>
        <v>Group 4 Pins</v>
      </c>
      <c r="I9" s="318" t="s">
        <v>534</v>
      </c>
      <c r="J9" s="320">
        <v>1</v>
      </c>
      <c r="K9" s="320">
        <v>1</v>
      </c>
      <c r="L9" s="320" t="s">
        <v>521</v>
      </c>
      <c r="M9" s="321"/>
      <c r="N9" s="319" t="str">
        <f>IFERROR(IF($O9&lt;&gt;"",INDEX(Cylinders[MotionGroup Description],MATCH($O9,Cylinders[Unit Name],0)),""),"N/A")</f>
        <v/>
      </c>
      <c r="O9" s="325"/>
      <c r="P9" s="325"/>
      <c r="Q9" s="325"/>
      <c r="R9" s="329"/>
      <c r="S9" s="321"/>
    </row>
    <row r="10" spans="1:19" ht="17.100000000000001" customHeight="1">
      <c r="A10" s="42"/>
      <c r="B10" s="65" t="s">
        <v>428</v>
      </c>
      <c r="C10" s="89" t="str">
        <f>IF(SystemDescription &lt;&gt; "", SystemDescription, "")</f>
        <v/>
      </c>
      <c r="D10" s="90"/>
      <c r="E10" s="265"/>
      <c r="F10" s="264"/>
      <c r="G10" s="212"/>
      <c r="H10" s="319" t="str">
        <f>IFERROR(IF($I10&lt;&gt;"",INDEX(Cylinders[MotionGroup Description],MATCH($I10,Cylinders[Unit Name],0)),""),"N/A")</f>
        <v>Group 1 Clamps</v>
      </c>
      <c r="I10" s="318" t="s">
        <v>526</v>
      </c>
      <c r="J10" s="320">
        <v>1</v>
      </c>
      <c r="K10" s="320">
        <v>1</v>
      </c>
      <c r="L10" s="320" t="s">
        <v>521</v>
      </c>
      <c r="M10" s="321"/>
      <c r="N10" s="319" t="str">
        <f>IFERROR(IF($O10&lt;&gt;"",INDEX(Cylinders[MotionGroup Description],MATCH($O10,Cylinders[Unit Name],0)),""),"N/A")</f>
        <v/>
      </c>
      <c r="O10" s="325"/>
      <c r="P10" s="325"/>
      <c r="Q10" s="325"/>
      <c r="R10" s="329"/>
      <c r="S10" s="321"/>
    </row>
    <row r="11" spans="1:19" ht="17.100000000000001" customHeight="1">
      <c r="A11" s="42"/>
      <c r="B11" s="71" t="s">
        <v>13</v>
      </c>
      <c r="C11" s="87" t="str">
        <f>IF(Tool &lt;&gt; "", Tool, "")</f>
        <v>UA1</v>
      </c>
      <c r="D11" s="91"/>
      <c r="E11" s="265"/>
      <c r="F11" s="264"/>
      <c r="G11" s="212"/>
      <c r="H11" s="319" t="str">
        <f>IFERROR(IF($I11&lt;&gt;"",INDEX(Cylinders[MotionGroup Description],MATCH($I11,Cylinders[Unit Name],0)),""),"N/A")</f>
        <v>Group 1 Clamps</v>
      </c>
      <c r="I11" s="318" t="s">
        <v>542</v>
      </c>
      <c r="J11" s="320">
        <v>1</v>
      </c>
      <c r="K11" s="320">
        <v>1</v>
      </c>
      <c r="L11" s="320" t="s">
        <v>521</v>
      </c>
      <c r="M11" s="321"/>
      <c r="N11" s="319" t="str">
        <f>IFERROR(IF($O11&lt;&gt;"",INDEX(Cylinders[MotionGroup Description],MATCH($O11,Cylinders[Unit Name],0)),""),"N/A")</f>
        <v/>
      </c>
      <c r="O11" s="325"/>
      <c r="P11" s="325"/>
      <c r="Q11" s="325"/>
      <c r="R11" s="329"/>
      <c r="S11" s="321"/>
    </row>
    <row r="12" spans="1:19" ht="17.100000000000001" customHeight="1">
      <c r="A12" s="42"/>
      <c r="B12" s="65" t="s">
        <v>16</v>
      </c>
      <c r="C12" s="87" t="str">
        <f>IF(ToolDescription &lt;&gt; "", ToolDescription, "")</f>
        <v>Fixture</v>
      </c>
      <c r="D12" s="88"/>
      <c r="E12" s="265"/>
      <c r="F12" s="264"/>
      <c r="G12" s="212"/>
      <c r="H12" s="319" t="str">
        <f>IFERROR(IF($I12&lt;&gt;"",INDEX(Cylinders[MotionGroup Description],MATCH($I12,Cylinders[Unit Name],0)),""),"N/A")</f>
        <v>Group 1 Clamps</v>
      </c>
      <c r="I12" s="318" t="s">
        <v>543</v>
      </c>
      <c r="J12" s="320">
        <v>1</v>
      </c>
      <c r="K12" s="320">
        <v>1</v>
      </c>
      <c r="L12" s="320" t="s">
        <v>521</v>
      </c>
      <c r="M12" s="321"/>
      <c r="N12" s="319" t="str">
        <f>IFERROR(IF($O12&lt;&gt;"",INDEX(Cylinders[MotionGroup Description],MATCH($O12,Cylinders[Unit Name],0)),""),"N/A")</f>
        <v/>
      </c>
      <c r="O12" s="325"/>
      <c r="P12" s="325"/>
      <c r="Q12" s="325"/>
      <c r="R12" s="329"/>
      <c r="S12" s="321"/>
    </row>
    <row r="13" spans="1:19" ht="17.100000000000001" customHeight="1">
      <c r="A13" s="42"/>
      <c r="B13" s="65" t="s">
        <v>3</v>
      </c>
      <c r="C13" s="89" t="str">
        <f>IF(Integrator &lt;&gt; "", Integrator, "")</f>
        <v>Mino</v>
      </c>
      <c r="D13" s="88"/>
      <c r="E13" s="265"/>
      <c r="F13" s="264"/>
      <c r="G13" s="212"/>
      <c r="H13" s="319" t="str">
        <f>IFERROR(IF($I13&lt;&gt;"",INDEX(Cylinders[MotionGroup Description],MATCH($I13,Cylinders[Unit Name],0)),""),"N/A")</f>
        <v>Group 2 Clamps</v>
      </c>
      <c r="I13" s="318" t="s">
        <v>527</v>
      </c>
      <c r="J13" s="320">
        <v>1</v>
      </c>
      <c r="K13" s="320">
        <v>1</v>
      </c>
      <c r="L13" s="320" t="s">
        <v>521</v>
      </c>
      <c r="M13" s="321"/>
      <c r="N13" s="319" t="str">
        <f>IFERROR(IF($O13&lt;&gt;"",INDEX(Cylinders[MotionGroup Description],MATCH($O13,Cylinders[Unit Name],0)),""),"N/A")</f>
        <v/>
      </c>
      <c r="O13" s="325"/>
      <c r="P13" s="325"/>
      <c r="Q13" s="325"/>
      <c r="R13" s="329"/>
      <c r="S13" s="321"/>
    </row>
    <row r="14" spans="1:19" ht="17.100000000000001" customHeight="1">
      <c r="A14" s="42"/>
      <c r="B14" s="65" t="s">
        <v>7</v>
      </c>
      <c r="C14" s="94">
        <f>IF(DesignStatus &lt;&gt; "", DesignStatus, "")</f>
        <v>1</v>
      </c>
      <c r="D14" s="42"/>
      <c r="E14" s="265"/>
      <c r="F14" s="264"/>
      <c r="G14" s="212"/>
      <c r="H14" s="319" t="str">
        <f>IFERROR(IF($I14&lt;&gt;"",INDEX(Cylinders[MotionGroup Description],MATCH($I14,Cylinders[Unit Name],0)),""),"N/A")</f>
        <v>Group 4 Pins</v>
      </c>
      <c r="I14" s="318" t="s">
        <v>547</v>
      </c>
      <c r="J14" s="320">
        <v>1</v>
      </c>
      <c r="K14" s="320">
        <v>1</v>
      </c>
      <c r="L14" s="320" t="s">
        <v>521</v>
      </c>
      <c r="M14" s="321"/>
      <c r="N14" s="319" t="str">
        <f>IFERROR(IF($O14&lt;&gt;"",INDEX(Cylinders[MotionGroup Description],MATCH($O14,Cylinders[Unit Name],0)),""),"N/A")</f>
        <v/>
      </c>
      <c r="O14" s="325"/>
      <c r="P14" s="325"/>
      <c r="Q14" s="325"/>
      <c r="R14" s="329"/>
      <c r="S14" s="321"/>
    </row>
    <row r="15" spans="1:19" ht="17.100000000000001" customHeight="1">
      <c r="A15" s="42"/>
      <c r="B15" s="65" t="s">
        <v>5</v>
      </c>
      <c r="C15" s="95" t="str">
        <f>IF(Date &lt;&gt; "", Date, "")</f>
        <v>1/15/2025</v>
      </c>
      <c r="D15" s="42"/>
      <c r="E15" s="265"/>
      <c r="F15" s="264"/>
      <c r="G15" s="212"/>
      <c r="H15" s="319" t="str">
        <f>IFERROR(IF($I15&lt;&gt;"",INDEX(Cylinders[MotionGroup Description],MATCH($I15,Cylinders[Unit Name],0)),""),"N/A")</f>
        <v>Group 2 Clamps</v>
      </c>
      <c r="I15" s="318" t="s">
        <v>528</v>
      </c>
      <c r="J15" s="320">
        <v>1</v>
      </c>
      <c r="K15" s="320">
        <v>1</v>
      </c>
      <c r="L15" s="320" t="s">
        <v>521</v>
      </c>
      <c r="M15" s="321"/>
      <c r="N15" s="319" t="str">
        <f>IFERROR(IF($O15&lt;&gt;"",INDEX(Cylinders[MotionGroup Description],MATCH($O15,Cylinders[Unit Name],0)),""),"N/A")</f>
        <v/>
      </c>
      <c r="O15" s="325"/>
      <c r="P15" s="325"/>
      <c r="Q15" s="325"/>
      <c r="R15" s="329"/>
      <c r="S15" s="321"/>
    </row>
    <row r="16" spans="1:19" ht="17.100000000000001" customHeight="1">
      <c r="A16" s="42"/>
      <c r="B16" s="65" t="s">
        <v>9</v>
      </c>
      <c r="C16" s="89" t="str">
        <f>IF(IntegratorResponsibleEngineer &lt;&gt; "", IntegratorResponsibleEngineer, "")</f>
        <v>wei  jiang</v>
      </c>
      <c r="D16" s="42"/>
      <c r="E16" s="265"/>
      <c r="F16" s="264"/>
      <c r="G16" s="212"/>
      <c r="H16" s="319" t="str">
        <f>IFERROR(IF($I16&lt;&gt;"",INDEX(Cylinders[MotionGroup Description],MATCH($I16,Cylinders[Unit Name],0)),""),"N/A")</f>
        <v>Group 4 Pins</v>
      </c>
      <c r="I16" s="318" t="s">
        <v>548</v>
      </c>
      <c r="J16" s="320">
        <v>1</v>
      </c>
      <c r="K16" s="320">
        <v>1</v>
      </c>
      <c r="L16" s="320" t="s">
        <v>521</v>
      </c>
      <c r="M16" s="321"/>
      <c r="N16" s="319" t="str">
        <f>IFERROR(IF($O16&lt;&gt;"",INDEX(Cylinders[MotionGroup Description],MATCH($O16,Cylinders[Unit Name],0)),""),"N/A")</f>
        <v/>
      </c>
      <c r="O16" s="325"/>
      <c r="P16" s="325"/>
      <c r="Q16" s="325"/>
      <c r="R16" s="329"/>
      <c r="S16" s="321"/>
    </row>
    <row r="17" spans="1:19" ht="17.100000000000001" customHeight="1">
      <c r="A17" s="42"/>
      <c r="B17" s="65" t="s">
        <v>11</v>
      </c>
      <c r="C17" s="89" t="str">
        <f>IF(RivianResponsibleEngineer &lt;&gt; "", RivianResponsibleEngineer, "")</f>
        <v>Abraham Reyes</v>
      </c>
      <c r="D17" s="42"/>
      <c r="E17" s="265"/>
      <c r="F17" s="264"/>
      <c r="G17" s="212"/>
      <c r="H17" s="319" t="str">
        <f>IFERROR(IF($I17&lt;&gt;"",INDEX(Cylinders[MotionGroup Description],MATCH($I17,Cylinders[Unit Name],0)),""),"N/A")</f>
        <v>Group 4 Pins</v>
      </c>
      <c r="I17" s="318" t="s">
        <v>572</v>
      </c>
      <c r="J17" s="320">
        <v>1</v>
      </c>
      <c r="K17" s="320">
        <v>1</v>
      </c>
      <c r="L17" s="320" t="s">
        <v>521</v>
      </c>
      <c r="M17" s="321"/>
      <c r="N17" s="319" t="str">
        <f>IFERROR(IF($O17&lt;&gt;"",INDEX(Cylinders[MotionGroup Description],MATCH($O17,Cylinders[Unit Name],0)),""),"N/A")</f>
        <v/>
      </c>
      <c r="O17" s="325"/>
      <c r="P17" s="325"/>
      <c r="Q17" s="325"/>
      <c r="R17" s="329"/>
      <c r="S17" s="321"/>
    </row>
    <row r="18" spans="1:19" ht="17.100000000000001" customHeight="1">
      <c r="A18" s="42"/>
      <c r="B18" s="65" t="s">
        <v>14</v>
      </c>
      <c r="C18" s="89" t="str">
        <f>IF(ManifoldConnection &lt;&gt; "", ManifoldConnection, "")</f>
        <v>M12 5-Pin</v>
      </c>
      <c r="D18" s="42"/>
      <c r="E18" s="265"/>
      <c r="F18" s="264"/>
      <c r="G18" s="212"/>
      <c r="H18" s="319" t="str">
        <f>IFERROR(IF($I18&lt;&gt;"",INDEX(Cylinders[MotionGroup Description],MATCH($I18,Cylinders[Unit Name],0)),""),"N/A")</f>
        <v>Group 3 Clamps</v>
      </c>
      <c r="I18" s="318" t="s">
        <v>529</v>
      </c>
      <c r="J18" s="320">
        <v>1</v>
      </c>
      <c r="K18" s="320">
        <v>1</v>
      </c>
      <c r="L18" s="320" t="s">
        <v>521</v>
      </c>
      <c r="M18" s="321"/>
      <c r="N18" s="319" t="str">
        <f>IFERROR(IF($O18&lt;&gt;"",INDEX(Cylinders[MotionGroup Description],MATCH($O18,Cylinders[Unit Name],0)),""),"N/A")</f>
        <v/>
      </c>
      <c r="O18" s="325"/>
      <c r="P18" s="325"/>
      <c r="Q18" s="325"/>
      <c r="R18" s="329"/>
      <c r="S18" s="321"/>
    </row>
    <row r="19" spans="1:19" ht="17.100000000000001" customHeight="1">
      <c r="A19" s="42"/>
      <c r="B19" s="65" t="s">
        <v>17</v>
      </c>
      <c r="C19" s="89" t="str">
        <f>IF(ToolType &lt;&gt; "", ToolType, "")</f>
        <v>Fixture</v>
      </c>
      <c r="D19" s="42"/>
      <c r="E19" s="265"/>
      <c r="F19" s="264"/>
      <c r="G19" s="212"/>
      <c r="H19" s="319" t="str">
        <f>IFERROR(IF($I19&lt;&gt;"",INDEX(Cylinders[MotionGroup Description],MATCH($I19,Cylinders[Unit Name],0)),""),"N/A")</f>
        <v>Group 3 Clamps</v>
      </c>
      <c r="I19" s="318" t="s">
        <v>530</v>
      </c>
      <c r="J19" s="320">
        <v>1</v>
      </c>
      <c r="K19" s="320">
        <v>1</v>
      </c>
      <c r="L19" s="320" t="s">
        <v>521</v>
      </c>
      <c r="M19" s="321"/>
      <c r="N19" s="319" t="str">
        <f>IFERROR(IF($O19&lt;&gt;"",INDEX(Cylinders[MotionGroup Description],MATCH($O19,Cylinders[Unit Name],0)),""),"N/A")</f>
        <v/>
      </c>
      <c r="O19" s="325"/>
      <c r="P19" s="325"/>
      <c r="Q19" s="325"/>
      <c r="R19" s="329"/>
      <c r="S19" s="321"/>
    </row>
    <row r="20" spans="1:19" ht="17.100000000000001" customHeight="1">
      <c r="A20" s="42"/>
      <c r="B20" s="78"/>
      <c r="C20" s="78"/>
      <c r="D20" s="42"/>
      <c r="E20" s="265"/>
      <c r="F20" s="264"/>
      <c r="G20" s="212"/>
      <c r="H20" s="319" t="str">
        <f>IFERROR(IF($I20&lt;&gt;"",INDEX(Cylinders[MotionGroup Description],MATCH($I20,Cylinders[Unit Name],0)),""),"N/A")</f>
        <v>Group 3 Clamps</v>
      </c>
      <c r="I20" s="318" t="s">
        <v>531</v>
      </c>
      <c r="J20" s="320">
        <v>1</v>
      </c>
      <c r="K20" s="320">
        <v>1</v>
      </c>
      <c r="L20" s="320" t="s">
        <v>521</v>
      </c>
      <c r="M20" s="321"/>
      <c r="N20" s="319" t="str">
        <f>IFERROR(IF($O20&lt;&gt;"",INDEX(Cylinders[MotionGroup Description],MATCH($O20,Cylinders[Unit Name],0)),""),"N/A")</f>
        <v/>
      </c>
      <c r="O20" s="325"/>
      <c r="P20" s="325"/>
      <c r="Q20" s="325"/>
      <c r="R20" s="329"/>
      <c r="S20" s="321"/>
    </row>
    <row r="21" spans="1:19" ht="17.100000000000001" customHeight="1">
      <c r="A21" s="42"/>
      <c r="B21" s="79"/>
      <c r="C21" s="78"/>
      <c r="D21" s="42"/>
      <c r="E21" s="265"/>
      <c r="F21" s="264"/>
      <c r="G21" s="212"/>
      <c r="H21" s="319" t="str">
        <f>IFERROR(IF($I21&lt;&gt;"",INDEX(Cylinders[MotionGroup Description],MATCH($I21,Cylinders[Unit Name],0)),""),"N/A")</f>
        <v>Group 3 Clamps</v>
      </c>
      <c r="I21" s="318" t="s">
        <v>520</v>
      </c>
      <c r="J21" s="320">
        <v>1</v>
      </c>
      <c r="K21" s="320">
        <v>1</v>
      </c>
      <c r="L21" s="320" t="s">
        <v>521</v>
      </c>
      <c r="M21" s="321"/>
      <c r="N21" s="319" t="str">
        <f>IFERROR(IF($O21&lt;&gt;"",INDEX(Cylinders[MotionGroup Description],MATCH($O21,Cylinders[Unit Name],0)),""),"N/A")</f>
        <v/>
      </c>
      <c r="O21" s="325"/>
      <c r="P21" s="325"/>
      <c r="Q21" s="325"/>
      <c r="R21" s="329"/>
      <c r="S21" s="321"/>
    </row>
    <row r="22" spans="1:19" ht="17.100000000000001" customHeight="1">
      <c r="A22" s="42"/>
      <c r="B22" s="78"/>
      <c r="C22" s="78"/>
      <c r="D22" s="42"/>
      <c r="E22" s="265"/>
      <c r="F22" s="264"/>
      <c r="G22" s="212"/>
      <c r="H22" s="319" t="str">
        <f>IFERROR(IF($I22&lt;&gt;"",INDEX(Cylinders[MotionGroup Description],MATCH($I22,Cylinders[Unit Name],0)),""),"N/A")</f>
        <v>Group 3 Clamps</v>
      </c>
      <c r="I22" s="318" t="s">
        <v>532</v>
      </c>
      <c r="J22" s="320">
        <v>1</v>
      </c>
      <c r="K22" s="320">
        <v>1</v>
      </c>
      <c r="L22" s="320" t="s">
        <v>521</v>
      </c>
      <c r="M22" s="321"/>
      <c r="N22" s="319" t="str">
        <f>IFERROR(IF($O22&lt;&gt;"",INDEX(Cylinders[MotionGroup Description],MATCH($O22,Cylinders[Unit Name],0)),""),"N/A")</f>
        <v/>
      </c>
      <c r="O22" s="325"/>
      <c r="P22" s="325"/>
      <c r="Q22" s="325"/>
      <c r="R22" s="329"/>
      <c r="S22" s="321"/>
    </row>
    <row r="23" spans="1:19" ht="17.100000000000001" customHeight="1">
      <c r="A23" s="42"/>
      <c r="B23" s="78"/>
      <c r="C23" s="78"/>
      <c r="D23" s="42"/>
      <c r="E23" s="265"/>
      <c r="F23" s="264"/>
      <c r="G23" s="212"/>
      <c r="H23" s="319" t="str">
        <f>IFERROR(IF($I23&lt;&gt;"",INDEX(Cylinders[MotionGroup Description],MATCH($I23,Cylinders[Unit Name],0)),""),"N/A")</f>
        <v>Group 4 Pins</v>
      </c>
      <c r="I23" s="318" t="s">
        <v>535</v>
      </c>
      <c r="J23" s="320">
        <v>1</v>
      </c>
      <c r="K23" s="320">
        <v>1</v>
      </c>
      <c r="L23" s="320" t="s">
        <v>521</v>
      </c>
      <c r="M23" s="321"/>
      <c r="N23" s="319" t="str">
        <f>IFERROR(IF($O23&lt;&gt;"",INDEX(Cylinders[MotionGroup Description],MATCH($O23,Cylinders[Unit Name],0)),""),"N/A")</f>
        <v/>
      </c>
      <c r="O23" s="325"/>
      <c r="P23" s="325"/>
      <c r="Q23" s="325"/>
      <c r="R23" s="329"/>
      <c r="S23" s="321"/>
    </row>
    <row r="24" spans="1:19" ht="17.100000000000001" customHeight="1">
      <c r="A24" s="42"/>
      <c r="B24" s="78"/>
      <c r="C24" s="78"/>
      <c r="D24" s="42"/>
      <c r="E24" s="265"/>
      <c r="F24" s="264"/>
      <c r="G24" s="212"/>
      <c r="H24" s="319" t="str">
        <f>IFERROR(IF($I24&lt;&gt;"",INDEX(Cylinders[MotionGroup Description],MATCH($I24,Cylinders[Unit Name],0)),""),"N/A")</f>
        <v>Group 3 Clamps</v>
      </c>
      <c r="I24" s="318" t="s">
        <v>533</v>
      </c>
      <c r="J24" s="320">
        <v>1</v>
      </c>
      <c r="K24" s="320">
        <v>1</v>
      </c>
      <c r="L24" s="320" t="s">
        <v>521</v>
      </c>
      <c r="M24" s="321"/>
      <c r="N24" s="319" t="str">
        <f>IFERROR(IF($O24&lt;&gt;"",INDEX(Cylinders[MotionGroup Description],MATCH($O24,Cylinders[Unit Name],0)),""),"N/A")</f>
        <v/>
      </c>
      <c r="O24" s="325"/>
      <c r="P24" s="325"/>
      <c r="Q24" s="325"/>
      <c r="R24" s="329"/>
      <c r="S24" s="321"/>
    </row>
    <row r="25" spans="1:19" ht="17.100000000000001" customHeight="1">
      <c r="A25" s="42"/>
      <c r="B25" s="78"/>
      <c r="C25" s="78"/>
      <c r="D25" s="42"/>
      <c r="E25" s="265"/>
      <c r="F25" s="264"/>
      <c r="G25" s="212"/>
      <c r="H25" s="319" t="str">
        <f>IFERROR(IF($I25&lt;&gt;"",INDEX(Cylinders[MotionGroup Description],MATCH($I25,Cylinders[Unit Name],0)),""),"N/A")</f>
        <v>Group 3 Clamps</v>
      </c>
      <c r="I25" s="318" t="s">
        <v>544</v>
      </c>
      <c r="J25" s="320">
        <v>1</v>
      </c>
      <c r="K25" s="320">
        <v>1</v>
      </c>
      <c r="L25" s="320" t="s">
        <v>521</v>
      </c>
      <c r="M25" s="321"/>
      <c r="N25" s="319" t="str">
        <f>IFERROR(IF($O25&lt;&gt;"",INDEX(Cylinders[MotionGroup Description],MATCH($O25,Cylinders[Unit Name],0)),""),"N/A")</f>
        <v/>
      </c>
      <c r="O25" s="325"/>
      <c r="P25" s="325"/>
      <c r="Q25" s="325"/>
      <c r="R25" s="329"/>
      <c r="S25" s="321"/>
    </row>
    <row r="26" spans="1:19" ht="17.100000000000001" customHeight="1">
      <c r="A26" s="42"/>
      <c r="B26" s="78"/>
      <c r="C26" s="78"/>
      <c r="D26" s="42"/>
      <c r="E26" s="265"/>
      <c r="F26" s="264"/>
      <c r="G26" s="212"/>
      <c r="H26" s="319" t="str">
        <f>IFERROR(IF($I26&lt;&gt;"",INDEX(Cylinders[MotionGroup Description],MATCH($I26,Cylinders[Unit Name],0)),""),"N/A")</f>
        <v>Group 3 Clamps</v>
      </c>
      <c r="I26" s="318" t="s">
        <v>545</v>
      </c>
      <c r="J26" s="320">
        <v>1</v>
      </c>
      <c r="K26" s="320">
        <v>1</v>
      </c>
      <c r="L26" s="320" t="s">
        <v>521</v>
      </c>
      <c r="M26" s="321"/>
      <c r="N26" s="319" t="str">
        <f>IFERROR(IF($O26&lt;&gt;"",INDEX(Cylinders[MotionGroup Description],MATCH($O26,Cylinders[Unit Name],0)),""),"N/A")</f>
        <v/>
      </c>
      <c r="O26" s="325"/>
      <c r="P26" s="325"/>
      <c r="Q26" s="325"/>
      <c r="R26" s="329"/>
      <c r="S26" s="321"/>
    </row>
    <row r="27" spans="1:19" ht="17.100000000000001" customHeight="1">
      <c r="A27" s="42"/>
      <c r="B27" s="78"/>
      <c r="C27" s="78"/>
      <c r="D27" s="42"/>
      <c r="E27" s="265"/>
      <c r="F27" s="264"/>
      <c r="G27" s="212"/>
      <c r="H27" s="319" t="str">
        <f>IFERROR(IF($I27&lt;&gt;"",INDEX(Cylinders[MotionGroup Description],MATCH($I27,Cylinders[Unit Name],0)),""),"N/A")</f>
        <v>Group 4 Pins</v>
      </c>
      <c r="I27" s="318" t="s">
        <v>595</v>
      </c>
      <c r="J27" s="320">
        <v>1</v>
      </c>
      <c r="K27" s="320">
        <v>1</v>
      </c>
      <c r="L27" s="320" t="s">
        <v>521</v>
      </c>
      <c r="M27" s="321"/>
      <c r="N27" s="319" t="str">
        <f>IFERROR(IF($O27&lt;&gt;"",INDEX(Cylinders[MotionGroup Description],MATCH($O27,Cylinders[Unit Name],0)),""),"N/A")</f>
        <v/>
      </c>
      <c r="O27" s="325"/>
      <c r="P27" s="325"/>
      <c r="Q27" s="325"/>
      <c r="R27" s="329"/>
      <c r="S27" s="321"/>
    </row>
    <row r="28" spans="1:19" ht="17.100000000000001" customHeight="1" thickBot="1">
      <c r="A28" s="42"/>
      <c r="B28" s="78"/>
      <c r="C28" s="78"/>
      <c r="D28" s="42"/>
      <c r="E28" s="266"/>
      <c r="F28" s="267"/>
      <c r="G28" s="213"/>
      <c r="H28" s="322" t="str">
        <f>IFERROR(IF($I28&lt;&gt;"",INDEX(Cylinders[MotionGroup Description],MATCH($I28,Cylinders[Unit Name],0)),""),"N/A")</f>
        <v/>
      </c>
      <c r="I28" s="323"/>
      <c r="J28" s="330"/>
      <c r="K28" s="330"/>
      <c r="L28" s="324"/>
      <c r="M28" s="321"/>
      <c r="N28" s="322" t="str">
        <f>IFERROR(IF($O28&lt;&gt;"",INDEX(Cylinders[MotionGroup Description],MATCH($O28,Cylinders[Unit Name],0)),""),"N/A")</f>
        <v/>
      </c>
      <c r="O28" s="331"/>
      <c r="P28" s="331"/>
      <c r="Q28" s="331"/>
      <c r="R28" s="332"/>
      <c r="S28" s="321"/>
    </row>
    <row r="29" spans="1:19" ht="17.100000000000001" customHeight="1">
      <c r="A29" s="42"/>
      <c r="B29" s="78"/>
      <c r="C29" s="78"/>
      <c r="D29" s="42"/>
      <c r="E29" s="209"/>
      <c r="F29" s="209"/>
      <c r="G29" s="209"/>
      <c r="H29" s="203" t="str">
        <f>IFERROR(IF($I29&lt;&gt;"",INDEX(Cylinders[MotionGroup Description],MATCH($I29,Cylinders[Unit Name],0)),""),"N/A")</f>
        <v/>
      </c>
      <c r="I29" s="203"/>
      <c r="J29" s="214"/>
      <c r="K29" s="214"/>
      <c r="L29" s="205"/>
      <c r="M29" s="205"/>
      <c r="N29" s="203" t="str">
        <f>IFERROR(IF($O29&lt;&gt;"",INDEX(Cylinders[MotionGroup Description],MATCH($O29,Cylinders[Unit Name],0)),""),"N/A")</f>
        <v/>
      </c>
      <c r="O29" s="202"/>
      <c r="P29" s="196"/>
      <c r="Q29" s="196"/>
      <c r="R29" s="196"/>
    </row>
    <row r="30" spans="1:19" ht="17.100000000000001" customHeight="1">
      <c r="A30" s="42"/>
      <c r="B30" s="78"/>
      <c r="C30" s="78"/>
      <c r="D30" s="42"/>
      <c r="E30" s="207"/>
      <c r="F30" s="207"/>
      <c r="G30" s="207"/>
      <c r="H30" s="204" t="str">
        <f>IFERROR(IF($I30&lt;&gt;"",INDEX(Cylinders[MotionGroup Description],MATCH($I30,Cylinders[Unit Name],0)),""),"N/A")</f>
        <v/>
      </c>
      <c r="N30" s="204" t="str">
        <f>IFERROR(IF($O30&lt;&gt;"",INDEX(Cylinders[MotionGroup Description],MATCH($O30,Cylinders[Unit Name],0)),""),"N/A")</f>
        <v/>
      </c>
      <c r="O30" s="200"/>
      <c r="P30" s="196"/>
      <c r="Q30" s="196"/>
      <c r="R30" s="196"/>
    </row>
    <row r="31" spans="1:19" ht="17.100000000000001" customHeight="1">
      <c r="A31" s="42"/>
      <c r="B31" s="78"/>
      <c r="C31" s="78"/>
      <c r="D31" s="42"/>
      <c r="E31" s="207"/>
      <c r="F31" s="207"/>
      <c r="G31" s="207"/>
      <c r="H31" s="204" t="str">
        <f>IFERROR(IF($I31&lt;&gt;"",INDEX(Cylinders[MotionGroup Description],MATCH($I31,Cylinders[Unit Name],0)),""),"N/A")</f>
        <v/>
      </c>
      <c r="N31" s="204" t="str">
        <f>IFERROR(IF($O31&lt;&gt;"",INDEX(Cylinders[MotionGroup Description],MATCH($O31,Cylinders[Unit Name],0)),""),"N/A")</f>
        <v/>
      </c>
      <c r="O31" s="200"/>
      <c r="P31" s="196"/>
      <c r="Q31" s="196"/>
      <c r="R31" s="196"/>
    </row>
    <row r="32" spans="1:19" ht="17.100000000000001" customHeight="1">
      <c r="A32" s="42"/>
      <c r="B32" s="78"/>
      <c r="C32" s="78"/>
      <c r="D32" s="42"/>
      <c r="E32" s="207"/>
      <c r="F32" s="207"/>
      <c r="G32" s="207"/>
      <c r="H32" s="204" t="str">
        <f>IFERROR(IF($I32&lt;&gt;"",INDEX(Cylinders[MotionGroup Description],MATCH($I32,Cylinders[Unit Name],0)),""),"N/A")</f>
        <v/>
      </c>
      <c r="N32" s="204" t="str">
        <f>IFERROR(IF($O32&lt;&gt;"",INDEX(Cylinders[MotionGroup Description],MATCH($O32,Cylinders[Unit Name],0)),""),"N/A")</f>
        <v/>
      </c>
      <c r="O32" s="200"/>
      <c r="P32" s="196"/>
      <c r="Q32" s="196"/>
      <c r="R32" s="196"/>
    </row>
    <row r="33" spans="1:18" ht="17.100000000000001" customHeight="1">
      <c r="A33" s="42"/>
      <c r="B33" s="78"/>
      <c r="C33" s="78"/>
      <c r="D33" s="42"/>
      <c r="E33" s="207"/>
      <c r="F33" s="207"/>
      <c r="G33" s="207"/>
      <c r="H33" s="204" t="str">
        <f>IFERROR(IF($I33&lt;&gt;"",INDEX(Cylinders[MotionGroup Description],MATCH($I33,Cylinders[Unit Name],0)),""),"N/A")</f>
        <v/>
      </c>
      <c r="N33" s="204" t="str">
        <f>IFERROR(IF($O33&lt;&gt;"",INDEX(Cylinders[MotionGroup Description],MATCH($O33,Cylinders[Unit Name],0)),""),"N/A")</f>
        <v/>
      </c>
      <c r="O33" s="200"/>
      <c r="P33" s="196"/>
      <c r="Q33" s="196"/>
      <c r="R33" s="196"/>
    </row>
    <row r="34" spans="1:18" ht="17.100000000000001" customHeight="1">
      <c r="A34" s="42"/>
      <c r="B34" s="78"/>
      <c r="C34" s="78"/>
      <c r="D34" s="42"/>
      <c r="E34" s="208"/>
      <c r="F34" s="208"/>
      <c r="G34" s="208"/>
      <c r="H34" s="204" t="str">
        <f>IFERROR(IF($I34&lt;&gt;"",INDEX(Cylinders[MotionGroup Description],MATCH($I34,Cylinders[Unit Name],0)),""),"N/A")</f>
        <v/>
      </c>
      <c r="N34" s="204" t="str">
        <f>IFERROR(IF($O34&lt;&gt;"",INDEX(Cylinders[MotionGroup Description],MATCH($O34,Cylinders[Unit Name],0)),""),"N/A")</f>
        <v/>
      </c>
      <c r="O34" s="201"/>
      <c r="P34" s="140"/>
      <c r="Q34" s="140"/>
      <c r="R34" s="140"/>
    </row>
    <row r="35" spans="1:18" ht="17.100000000000001" customHeight="1">
      <c r="A35" s="42"/>
      <c r="B35" s="78"/>
      <c r="C35" s="78"/>
      <c r="D35" s="42"/>
      <c r="E35" s="208"/>
      <c r="F35" s="208"/>
      <c r="G35" s="208"/>
      <c r="H35" s="204" t="str">
        <f>IFERROR(IF($I35&lt;&gt;"",INDEX(Cylinders[MotionGroup Description],MATCH($I35,Cylinders[Unit Name],0)),""),"N/A")</f>
        <v/>
      </c>
      <c r="N35" s="204" t="str">
        <f>IFERROR(IF($O35&lt;&gt;"",INDEX(Cylinders[MotionGroup Description],MATCH($O35,Cylinders[Unit Name],0)),""),"N/A")</f>
        <v/>
      </c>
      <c r="O35" s="201"/>
      <c r="P35" s="140"/>
      <c r="Q35" s="140"/>
      <c r="R35" s="140"/>
    </row>
    <row r="36" spans="1:18" ht="15.75">
      <c r="A36" s="42"/>
      <c r="B36" s="78"/>
      <c r="C36" s="78"/>
      <c r="D36" s="42"/>
      <c r="E36" s="208"/>
      <c r="F36" s="208"/>
      <c r="G36" s="208"/>
      <c r="H36" s="204" t="str">
        <f>IFERROR(IF($I36&lt;&gt;"",INDEX(Cylinders[MotionGroup Description],MATCH($I36,Cylinders[Unit Name],0)),""),"N/A")</f>
        <v/>
      </c>
      <c r="N36" s="204" t="str">
        <f>IFERROR(IF($O36&lt;&gt;"",INDEX(Cylinders[MotionGroup Description],MATCH($O36,Cylinders[Unit Name],0)),""),"N/A")</f>
        <v/>
      </c>
      <c r="O36" s="201"/>
      <c r="P36" s="140"/>
      <c r="Q36" s="140"/>
      <c r="R36" s="140"/>
    </row>
    <row r="37" spans="1:18" ht="17.100000000000001" customHeight="1">
      <c r="A37" s="42"/>
      <c r="B37" s="78"/>
      <c r="C37" s="78"/>
      <c r="D37" s="42"/>
      <c r="E37" s="208"/>
      <c r="F37" s="208"/>
      <c r="G37" s="208"/>
      <c r="H37" s="204" t="str">
        <f>IFERROR(IF($I37&lt;&gt;"",INDEX(Cylinders[MotionGroup Description],MATCH($I37,Cylinders[Unit Name],0)),""),"N/A")</f>
        <v/>
      </c>
      <c r="N37" s="204" t="str">
        <f>IFERROR(IF($O37&lt;&gt;"",INDEX(Cylinders[MotionGroup Description],MATCH($O37,Cylinders[Unit Name],0)),""),"N/A")</f>
        <v/>
      </c>
      <c r="O37" s="201"/>
      <c r="P37" s="140"/>
      <c r="Q37" s="140"/>
      <c r="R37" s="140"/>
    </row>
    <row r="38" spans="1:18" ht="17.100000000000001" customHeight="1">
      <c r="A38" s="42"/>
      <c r="B38" s="78"/>
      <c r="C38" s="78"/>
      <c r="D38" s="42"/>
      <c r="E38" s="208"/>
      <c r="F38" s="208"/>
      <c r="G38" s="208"/>
      <c r="H38" s="204" t="str">
        <f>IFERROR(IF($I38&lt;&gt;"",INDEX(Cylinders[MotionGroup Description],MATCH($I38,Cylinders[Unit Name],0)),""),"N/A")</f>
        <v/>
      </c>
      <c r="N38" s="204" t="str">
        <f>IFERROR(IF($O38&lt;&gt;"",INDEX(Cylinders[MotionGroup Description],MATCH($O38,Cylinders[Unit Name],0)),""),"N/A")</f>
        <v/>
      </c>
      <c r="O38" s="201"/>
      <c r="P38" s="140"/>
      <c r="Q38" s="140"/>
      <c r="R38" s="140"/>
    </row>
    <row r="39" spans="1:18" ht="17.100000000000001" customHeight="1">
      <c r="A39" s="42"/>
      <c r="B39" s="78"/>
      <c r="C39" s="78"/>
      <c r="D39" s="42"/>
      <c r="E39" s="208"/>
      <c r="F39" s="208"/>
      <c r="G39" s="208"/>
      <c r="H39" s="204" t="str">
        <f>IFERROR(IF($I39&lt;&gt;"",INDEX(Cylinders[MotionGroup Description],MATCH($I39,Cylinders[Unit Name],0)),""),"N/A")</f>
        <v/>
      </c>
      <c r="N39" s="204" t="str">
        <f>IFERROR(IF($O39&lt;&gt;"",INDEX(Cylinders[MotionGroup Description],MATCH($O39,Cylinders[Unit Name],0)),""),"N/A")</f>
        <v/>
      </c>
      <c r="O39" s="201"/>
      <c r="P39" s="140"/>
      <c r="Q39" s="140"/>
      <c r="R39" s="140"/>
    </row>
    <row r="40" spans="1:18" ht="17.100000000000001" customHeight="1">
      <c r="A40" s="42"/>
      <c r="B40" s="78"/>
      <c r="C40" s="78"/>
      <c r="D40" s="42"/>
      <c r="E40" s="208"/>
      <c r="F40" s="208"/>
      <c r="G40" s="208"/>
      <c r="H40" s="204" t="str">
        <f>IFERROR(IF($I40&lt;&gt;"",INDEX(Cylinders[MotionGroup Description],MATCH($I40,Cylinders[Unit Name],0)),""),"N/A")</f>
        <v/>
      </c>
      <c r="N40" s="204" t="str">
        <f>IFERROR(IF($O40&lt;&gt;"",INDEX(Cylinders[MotionGroup Description],MATCH($O40,Cylinders[Unit Name],0)),""),"N/A")</f>
        <v/>
      </c>
      <c r="O40" s="201"/>
      <c r="P40" s="140"/>
      <c r="Q40" s="140"/>
      <c r="R40" s="140"/>
    </row>
    <row r="41" spans="1:18" ht="17.100000000000001" customHeight="1">
      <c r="A41" s="42"/>
      <c r="B41" s="78"/>
      <c r="C41" s="78"/>
      <c r="D41" s="42"/>
      <c r="E41" s="208"/>
      <c r="F41" s="208"/>
      <c r="G41" s="208"/>
      <c r="H41" s="204" t="str">
        <f>IFERROR(IF($I41&lt;&gt;"",INDEX(Cylinders[MotionGroup Description],MATCH($I41,Cylinders[Unit Name],0)),""),"N/A")</f>
        <v/>
      </c>
      <c r="N41" s="204" t="str">
        <f>IFERROR(IF($O41&lt;&gt;"",INDEX(Cylinders[MotionGroup Description],MATCH($O41,Cylinders[Unit Name],0)),""),"N/A")</f>
        <v/>
      </c>
      <c r="O41" s="201"/>
      <c r="P41" s="140"/>
      <c r="Q41" s="140"/>
      <c r="R41" s="140"/>
    </row>
    <row r="42" spans="1:18" ht="17.100000000000001" customHeight="1">
      <c r="A42" s="42"/>
      <c r="B42" s="78"/>
      <c r="C42" s="78"/>
      <c r="D42" s="42"/>
      <c r="E42" s="208"/>
      <c r="F42" s="208"/>
      <c r="G42" s="208"/>
      <c r="H42" s="204" t="str">
        <f>IFERROR(IF($I42&lt;&gt;"",INDEX(Cylinders[MotionGroup Description],MATCH($I42,Cylinders[Unit Name],0)),""),"N/A")</f>
        <v/>
      </c>
      <c r="N42" s="204" t="str">
        <f>IFERROR(IF($O42&lt;&gt;"",INDEX(Cylinders[MotionGroup Description],MATCH($O42,Cylinders[Unit Name],0)),""),"N/A")</f>
        <v/>
      </c>
      <c r="O42" s="201"/>
      <c r="P42" s="140"/>
      <c r="Q42" s="140"/>
      <c r="R42" s="140"/>
    </row>
    <row r="43" spans="1:18" ht="17.100000000000001" customHeight="1">
      <c r="A43" s="42"/>
      <c r="B43" s="78"/>
      <c r="C43" s="78"/>
      <c r="D43" s="42"/>
      <c r="E43" s="208"/>
      <c r="F43" s="208"/>
      <c r="G43" s="208"/>
      <c r="H43" s="204" t="str">
        <f>IFERROR(IF($I43&lt;&gt;"",INDEX(Cylinders[MotionGroup Description],MATCH($I43,Cylinders[Unit Name],0)),""),"N/A")</f>
        <v/>
      </c>
      <c r="N43" s="204" t="str">
        <f>IFERROR(IF($O43&lt;&gt;"",INDEX(Cylinders[MotionGroup Description],MATCH($O43,Cylinders[Unit Name],0)),""),"N/A")</f>
        <v/>
      </c>
      <c r="O43" s="201"/>
      <c r="P43" s="140"/>
      <c r="Q43" s="140"/>
      <c r="R43" s="140"/>
    </row>
    <row r="44" spans="1:18" ht="17.100000000000001" customHeight="1">
      <c r="A44" s="42"/>
      <c r="B44" s="78"/>
      <c r="C44" s="78"/>
      <c r="D44" s="42"/>
      <c r="E44" s="208"/>
      <c r="F44" s="208"/>
      <c r="G44" s="208"/>
      <c r="H44" s="204" t="str">
        <f>IFERROR(IF($I44&lt;&gt;"",INDEX(Cylinders[MotionGroup Description],MATCH($I44,Cylinders[Unit Name],0)),""),"N/A")</f>
        <v/>
      </c>
      <c r="N44" s="204" t="str">
        <f>IFERROR(IF($O44&lt;&gt;"",INDEX(Cylinders[MotionGroup Description],MATCH($O44,Cylinders[Unit Name],0)),""),"N/A")</f>
        <v/>
      </c>
      <c r="O44" s="201"/>
      <c r="P44" s="140"/>
      <c r="Q44" s="140"/>
      <c r="R44" s="140"/>
    </row>
    <row r="45" spans="1:18" ht="17.100000000000001" customHeight="1">
      <c r="A45" s="42"/>
      <c r="B45" s="78"/>
      <c r="C45" s="78"/>
      <c r="D45" s="42"/>
      <c r="E45" s="208"/>
      <c r="F45" s="208"/>
      <c r="G45" s="208"/>
      <c r="H45" s="204" t="str">
        <f>IFERROR(IF($I45&lt;&gt;"",INDEX(Cylinders[MotionGroup Description],MATCH($I45,Cylinders[Unit Name],0)),""),"N/A")</f>
        <v/>
      </c>
      <c r="N45" s="204" t="str">
        <f>IFERROR(IF($O45&lt;&gt;"",INDEX(Cylinders[MotionGroup Description],MATCH($O45,Cylinders[Unit Name],0)),""),"N/A")</f>
        <v/>
      </c>
      <c r="O45" s="201"/>
      <c r="P45" s="140"/>
      <c r="Q45" s="140"/>
      <c r="R45" s="140"/>
    </row>
    <row r="46" spans="1:18" ht="17.100000000000001" customHeight="1">
      <c r="A46" s="42"/>
      <c r="B46" s="78"/>
      <c r="C46" s="78"/>
      <c r="D46" s="42"/>
      <c r="E46" s="208"/>
      <c r="F46" s="208"/>
      <c r="G46" s="208"/>
      <c r="H46" s="204" t="str">
        <f>IFERROR(IF($I46&lt;&gt;"",INDEX(Cylinders[MotionGroup Description],MATCH($I46,Cylinders[Unit Name],0)),""),"N/A")</f>
        <v/>
      </c>
      <c r="N46" s="204" t="str">
        <f>IFERROR(IF($O46&lt;&gt;"",INDEX(Cylinders[MotionGroup Description],MATCH($O46,Cylinders[Unit Name],0)),""),"N/A")</f>
        <v/>
      </c>
      <c r="O46" s="201"/>
      <c r="P46" s="140"/>
      <c r="Q46" s="140"/>
      <c r="R46" s="140"/>
    </row>
    <row r="47" spans="1:18" ht="17.100000000000001" customHeight="1">
      <c r="A47" s="42"/>
      <c r="B47" s="78"/>
      <c r="C47" s="78"/>
      <c r="D47" s="42"/>
      <c r="E47" s="208"/>
      <c r="F47" s="208"/>
      <c r="G47" s="208"/>
      <c r="H47" s="204" t="str">
        <f>IFERROR(IF($I47&lt;&gt;"",INDEX(Cylinders[MotionGroup Description],MATCH($I47,Cylinders[Unit Name],0)),""),"N/A")</f>
        <v/>
      </c>
      <c r="N47" s="204" t="str">
        <f>IFERROR(IF($O47&lt;&gt;"",INDEX(Cylinders[MotionGroup Description],MATCH($O47,Cylinders[Unit Name],0)),""),"N/A")</f>
        <v/>
      </c>
      <c r="O47" s="201"/>
      <c r="P47" s="140"/>
      <c r="Q47" s="140"/>
      <c r="R47" s="140"/>
    </row>
    <row r="48" spans="1:18" ht="17.100000000000001" customHeight="1">
      <c r="A48" s="42"/>
      <c r="B48" s="78"/>
      <c r="C48" s="78"/>
      <c r="D48" s="42"/>
      <c r="E48" s="208"/>
      <c r="F48" s="208"/>
      <c r="G48" s="208"/>
      <c r="H48" s="204" t="str">
        <f>IFERROR(IF($I48&lt;&gt;"",INDEX(Cylinders[MotionGroup Description],MATCH($I48,Cylinders[Unit Name],0)),""),"N/A")</f>
        <v/>
      </c>
      <c r="N48" s="204" t="str">
        <f>IFERROR(IF($O48&lt;&gt;"",INDEX(Cylinders[MotionGroup Description],MATCH($O48,Cylinders[Unit Name],0)),""),"N/A")</f>
        <v/>
      </c>
      <c r="O48" s="201"/>
      <c r="P48" s="140"/>
      <c r="Q48" s="140"/>
      <c r="R48" s="140"/>
    </row>
    <row r="49" spans="1:18" ht="17.100000000000001" customHeight="1">
      <c r="A49" s="42"/>
      <c r="B49" s="78"/>
      <c r="C49" s="78"/>
      <c r="D49" s="42"/>
      <c r="E49" s="208"/>
      <c r="F49" s="208"/>
      <c r="G49" s="208"/>
      <c r="H49" s="204" t="str">
        <f>IFERROR(IF($I49&lt;&gt;"",INDEX(Cylinders[MotionGroup Description],MATCH($I49,Cylinders[Unit Name],0)),""),"N/A")</f>
        <v/>
      </c>
      <c r="N49" s="204" t="str">
        <f>IFERROR(IF($O49&lt;&gt;"",INDEX(Cylinders[MotionGroup Description],MATCH($O49,Cylinders[Unit Name],0)),""),"N/A")</f>
        <v/>
      </c>
      <c r="O49" s="201"/>
      <c r="P49" s="140"/>
      <c r="Q49" s="140"/>
      <c r="R49" s="140"/>
    </row>
    <row r="50" spans="1:18" ht="17.100000000000001" customHeight="1">
      <c r="A50" s="42"/>
      <c r="B50" s="78"/>
      <c r="C50" s="42"/>
      <c r="D50" s="42"/>
      <c r="E50" s="208"/>
      <c r="F50" s="208"/>
      <c r="G50" s="208"/>
      <c r="H50" s="204" t="str">
        <f>IFERROR(IF($I50&lt;&gt;"",INDEX(Cylinders[MotionGroup Description],MATCH($I50,Cylinders[Unit Name],0)),""),"N/A")</f>
        <v/>
      </c>
      <c r="N50" s="204" t="str">
        <f>IFERROR(IF($O50&lt;&gt;"",INDEX(Cylinders[MotionGroup Description],MATCH($O50,Cylinders[Unit Name],0)),""),"N/A")</f>
        <v/>
      </c>
      <c r="O50" s="201"/>
      <c r="P50" s="140"/>
      <c r="Q50" s="140"/>
      <c r="R50" s="140"/>
    </row>
    <row r="51" spans="1:18" ht="17.100000000000001" customHeight="1">
      <c r="A51" s="42"/>
      <c r="B51" s="78"/>
      <c r="C51" s="42"/>
      <c r="D51" s="42"/>
      <c r="E51" s="208"/>
      <c r="F51" s="208"/>
      <c r="G51" s="208"/>
      <c r="H51" s="204" t="str">
        <f>IFERROR(IF($I51&lt;&gt;"",INDEX(Cylinders[MotionGroup Description],MATCH($I51,Cylinders[Unit Name],0)),""),"N/A")</f>
        <v/>
      </c>
      <c r="N51" s="204" t="str">
        <f>IFERROR(IF($O51&lt;&gt;"",INDEX(Cylinders[MotionGroup Description],MATCH($O51,Cylinders[Unit Name],0)),""),"N/A")</f>
        <v/>
      </c>
      <c r="O51" s="201"/>
      <c r="P51" s="140"/>
      <c r="Q51" s="140"/>
      <c r="R51" s="140"/>
    </row>
    <row r="52" spans="1:18" ht="17.100000000000001" customHeight="1">
      <c r="A52" s="42"/>
      <c r="B52" s="78"/>
      <c r="C52" s="42"/>
      <c r="D52" s="42"/>
      <c r="E52" s="208"/>
      <c r="F52" s="208"/>
      <c r="G52" s="208"/>
      <c r="H52" s="203" t="str">
        <f>IFERROR(IF($I52&lt;&gt;"",INDEX(Cylinders[MotionGroup Description],MATCH($I52,Cylinders[Unit Name],0)),""),"N/A")</f>
        <v/>
      </c>
      <c r="I52" s="203"/>
      <c r="J52" s="214"/>
      <c r="K52" s="214"/>
      <c r="L52" s="205"/>
      <c r="M52" s="205"/>
      <c r="N52" s="203" t="str">
        <f>IFERROR(IF($O52&lt;&gt;"",INDEX(Cylinders[MotionGroup Description],MATCH($O52,Cylinders[Unit Name],0)),""),"N/A")</f>
        <v/>
      </c>
      <c r="O52" s="201"/>
      <c r="P52" s="140"/>
      <c r="Q52" s="140"/>
      <c r="R52" s="140"/>
    </row>
    <row r="53" spans="1:18" ht="17.100000000000001" customHeight="1">
      <c r="A53" s="42"/>
      <c r="B53" s="78"/>
      <c r="C53" s="42"/>
      <c r="D53" s="42"/>
      <c r="E53" s="208"/>
      <c r="F53" s="208"/>
      <c r="G53" s="208"/>
      <c r="H53" s="204" t="str">
        <f>IFERROR(IF($I53&lt;&gt;"",INDEX(Cylinders[MotionGroup Description],MATCH($I53,Cylinders[Unit Name],0)),""),"N/A")</f>
        <v/>
      </c>
      <c r="N53" s="204" t="str">
        <f>IFERROR(IF($O53&lt;&gt;"",INDEX(Cylinders[MotionGroup Description],MATCH($O53,Cylinders[Unit Name],0)),""),"N/A")</f>
        <v/>
      </c>
      <c r="O53" s="201"/>
      <c r="P53" s="140"/>
      <c r="Q53" s="140"/>
      <c r="R53" s="140"/>
    </row>
    <row r="54" spans="1:18" ht="17.100000000000001" customHeight="1">
      <c r="A54" s="42"/>
      <c r="B54" s="78"/>
      <c r="C54" s="42"/>
      <c r="D54" s="42"/>
      <c r="E54" s="208"/>
      <c r="F54" s="208"/>
      <c r="G54" s="208"/>
      <c r="H54" s="204" t="str">
        <f>IFERROR(IF($I54&lt;&gt;"",INDEX(Cylinders[MotionGroup Description],MATCH($I54,Cylinders[Unit Name],0)),""),"N/A")</f>
        <v/>
      </c>
      <c r="N54" s="204" t="str">
        <f>IFERROR(IF($O54&lt;&gt;"",INDEX(Cylinders[MotionGroup Description],MATCH($O54,Cylinders[Unit Name],0)),""),"N/A")</f>
        <v/>
      </c>
      <c r="O54" s="201"/>
      <c r="P54" s="140"/>
      <c r="Q54" s="140"/>
      <c r="R54" s="140"/>
    </row>
    <row r="55" spans="1:18" ht="17.100000000000001" customHeight="1">
      <c r="A55" s="42"/>
      <c r="B55" s="78"/>
      <c r="C55" s="42"/>
      <c r="D55" s="42"/>
      <c r="E55" s="208"/>
      <c r="F55" s="208"/>
      <c r="G55" s="208"/>
      <c r="H55" s="204" t="str">
        <f>IFERROR(IF($I55&lt;&gt;"",INDEX(Cylinders[MotionGroup Description],MATCH($I55,Cylinders[Unit Name],0)),""),"N/A")</f>
        <v/>
      </c>
      <c r="N55" s="204" t="str">
        <f>IFERROR(IF($O55&lt;&gt;"",INDEX(Cylinders[MotionGroup Description],MATCH($O55,Cylinders[Unit Name],0)),""),"N/A")</f>
        <v/>
      </c>
      <c r="O55" s="201"/>
      <c r="P55" s="140"/>
      <c r="Q55" s="140"/>
      <c r="R55" s="140"/>
    </row>
    <row r="56" spans="1:18" ht="17.100000000000001" customHeight="1">
      <c r="A56" s="42"/>
      <c r="B56" s="78"/>
      <c r="C56" s="42"/>
      <c r="D56" s="42"/>
      <c r="E56" s="208"/>
      <c r="F56" s="208"/>
      <c r="G56" s="208"/>
      <c r="H56" s="204" t="str">
        <f>IFERROR(IF($I56&lt;&gt;"",INDEX(Cylinders[MotionGroup Description],MATCH($I56,Cylinders[Unit Name],0)),""),"N/A")</f>
        <v/>
      </c>
      <c r="N56" s="204" t="str">
        <f>IFERROR(IF($O56&lt;&gt;"",INDEX(Cylinders[MotionGroup Description],MATCH($O56,Cylinders[Unit Name],0)),""),"N/A")</f>
        <v/>
      </c>
      <c r="O56" s="201"/>
      <c r="P56" s="140"/>
      <c r="Q56" s="140"/>
      <c r="R56" s="140"/>
    </row>
    <row r="57" spans="1:18" ht="17.100000000000001" customHeight="1">
      <c r="A57" s="42"/>
      <c r="B57" s="78"/>
      <c r="C57" s="42"/>
      <c r="D57" s="42"/>
      <c r="E57" s="208"/>
      <c r="F57" s="208"/>
      <c r="G57" s="208"/>
      <c r="H57" s="204" t="str">
        <f>IFERROR(IF($I57&lt;&gt;"",INDEX(Cylinders[MotionGroup Description],MATCH($I57,Cylinders[Unit Name],0)),""),"N/A")</f>
        <v/>
      </c>
      <c r="N57" s="204" t="str">
        <f>IFERROR(IF($O57&lt;&gt;"",INDEX(Cylinders[MotionGroup Description],MATCH($O57,Cylinders[Unit Name],0)),""),"N/A")</f>
        <v/>
      </c>
      <c r="O57" s="201"/>
      <c r="P57" s="140"/>
      <c r="Q57" s="140"/>
      <c r="R57" s="140"/>
    </row>
    <row r="58" spans="1:18" ht="17.100000000000001" customHeight="1">
      <c r="A58" s="42"/>
      <c r="B58" s="78"/>
      <c r="C58" s="42"/>
      <c r="D58" s="42"/>
      <c r="E58" s="208"/>
      <c r="F58" s="208"/>
      <c r="G58" s="208"/>
      <c r="H58" s="204" t="str">
        <f>IFERROR(IF($I58&lt;&gt;"",INDEX(Cylinders[MotionGroup Description],MATCH($I58,Cylinders[Unit Name],0)),""),"N/A")</f>
        <v/>
      </c>
      <c r="N58" s="204" t="str">
        <f>IFERROR(IF($O58&lt;&gt;"",INDEX(Cylinders[MotionGroup Description],MATCH($O58,Cylinders[Unit Name],0)),""),"N/A")</f>
        <v/>
      </c>
      <c r="O58" s="201"/>
      <c r="P58" s="140"/>
      <c r="Q58" s="140"/>
      <c r="R58" s="140"/>
    </row>
    <row r="59" spans="1:18" ht="17.100000000000001" customHeight="1">
      <c r="A59" s="42"/>
      <c r="B59" s="78"/>
      <c r="C59" s="42"/>
      <c r="D59" s="42"/>
      <c r="E59" s="208"/>
      <c r="F59" s="208"/>
      <c r="G59" s="208"/>
      <c r="H59" s="204" t="str">
        <f>IFERROR(IF($I59&lt;&gt;"",INDEX(Cylinders[MotionGroup Description],MATCH($I59,Cylinders[Unit Name],0)),""),"N/A")</f>
        <v/>
      </c>
      <c r="N59" s="204" t="str">
        <f>IFERROR(IF($O59&lt;&gt;"",INDEX(Cylinders[MotionGroup Description],MATCH($O59,Cylinders[Unit Name],0)),""),"N/A")</f>
        <v/>
      </c>
      <c r="O59" s="201"/>
      <c r="P59" s="140"/>
      <c r="Q59" s="140"/>
      <c r="R59" s="140"/>
    </row>
    <row r="60" spans="1:18" ht="17.100000000000001" customHeight="1">
      <c r="A60" s="42"/>
      <c r="B60" s="78"/>
      <c r="C60" s="42"/>
      <c r="D60" s="42"/>
      <c r="E60" s="207"/>
      <c r="F60" s="207"/>
      <c r="G60" s="208"/>
      <c r="H60" s="204" t="str">
        <f>IFERROR(IF($I60&lt;&gt;"",INDEX(Cylinders[MotionGroup Description],MATCH($I60,Cylinders[Unit Name],0)),""),"N/A")</f>
        <v/>
      </c>
      <c r="N60" s="204" t="str">
        <f>IFERROR(IF($O60&lt;&gt;"",INDEX(Cylinders[MotionGroup Description],MATCH($O60,Cylinders[Unit Name],0)),""),"N/A")</f>
        <v/>
      </c>
      <c r="O60" s="201"/>
      <c r="P60" s="140"/>
      <c r="Q60" s="140"/>
      <c r="R60" s="140"/>
    </row>
    <row r="61" spans="1:18" ht="17.100000000000001" customHeight="1">
      <c r="A61" s="42"/>
      <c r="B61" s="78"/>
      <c r="C61" s="42"/>
      <c r="D61" s="42"/>
      <c r="E61" s="207"/>
      <c r="F61" s="207"/>
      <c r="G61" s="208"/>
      <c r="H61" s="204" t="str">
        <f>IFERROR(IF($I61&lt;&gt;"",INDEX(Cylinders[MotionGroup Description],MATCH($I61,Cylinders[Unit Name],0)),""),"N/A")</f>
        <v/>
      </c>
      <c r="N61" s="204" t="str">
        <f>IFERROR(IF($O61&lt;&gt;"",INDEX(Cylinders[MotionGroup Description],MATCH($O61,Cylinders[Unit Name],0)),""),"N/A")</f>
        <v/>
      </c>
      <c r="O61" s="201"/>
      <c r="P61" s="140"/>
      <c r="Q61" s="140"/>
      <c r="R61" s="140"/>
    </row>
    <row r="62" spans="1:18" ht="17.100000000000001" customHeight="1">
      <c r="A62" s="42"/>
      <c r="B62" s="78"/>
      <c r="C62" s="42"/>
      <c r="D62" s="42"/>
      <c r="E62" s="207"/>
      <c r="F62" s="207"/>
      <c r="G62" s="208"/>
      <c r="H62" s="204" t="str">
        <f>IFERROR(IF($I62&lt;&gt;"",INDEX(Cylinders[MotionGroup Description],MATCH($I62,Cylinders[Unit Name],0)),""),"N/A")</f>
        <v/>
      </c>
      <c r="N62" s="204" t="str">
        <f>IFERROR(IF($O62&lt;&gt;"",INDEX(Cylinders[MotionGroup Description],MATCH($O62,Cylinders[Unit Name],0)),""),"N/A")</f>
        <v/>
      </c>
      <c r="O62" s="201"/>
      <c r="P62" s="140"/>
      <c r="Q62" s="140"/>
      <c r="R62" s="140"/>
    </row>
    <row r="63" spans="1:18" ht="17.100000000000001" customHeight="1">
      <c r="A63" s="42"/>
      <c r="B63" s="78"/>
      <c r="C63" s="42"/>
      <c r="D63" s="99"/>
      <c r="E63" s="207"/>
      <c r="F63" s="207"/>
      <c r="G63" s="207"/>
      <c r="H63" s="204" t="str">
        <f>IFERROR(IF($I63&lt;&gt;"",INDEX(Cylinders[MotionGroup Description],MATCH($I63,Cylinders[Unit Name],0)),""),"N/A")</f>
        <v/>
      </c>
      <c r="N63" s="204" t="str">
        <f>IFERROR(IF($O63&lt;&gt;"",INDEX(Cylinders[MotionGroup Description],MATCH($O63,Cylinders[Unit Name],0)),""),"N/A")</f>
        <v/>
      </c>
      <c r="O63" s="201"/>
      <c r="P63" s="140"/>
      <c r="Q63" s="140"/>
      <c r="R63" s="140"/>
    </row>
    <row r="64" spans="1:18" ht="17.100000000000001" customHeight="1">
      <c r="A64" s="42"/>
      <c r="B64" s="78"/>
      <c r="C64" s="42"/>
      <c r="D64" s="42"/>
      <c r="E64" s="210"/>
      <c r="F64" s="207"/>
      <c r="G64" s="208"/>
      <c r="H64" s="204" t="str">
        <f>IFERROR(IF($I64&lt;&gt;"",INDEX(Cylinders[MotionGroup Description],MATCH($I64,Cylinders[Unit Name],0)),""),"N/A")</f>
        <v/>
      </c>
      <c r="N64" s="204" t="str">
        <f>IFERROR(IF($O64&lt;&gt;"",INDEX(Cylinders[MotionGroup Description],MATCH($O64,Cylinders[Unit Name],0)),""),"N/A")</f>
        <v/>
      </c>
      <c r="O64" s="201"/>
      <c r="P64" s="140"/>
      <c r="Q64" s="140"/>
      <c r="R64" s="140"/>
    </row>
    <row r="65" spans="8:14" ht="17.100000000000001" customHeight="1">
      <c r="H65" s="204" t="str">
        <f>IFERROR(IF($I65&lt;&gt;"",INDEX(Cylinders[MotionGroup Description],MATCH($I65,Cylinders[Unit Name],0)),""),"N/A")</f>
        <v/>
      </c>
      <c r="N65" s="204" t="str">
        <f>IFERROR(IF($O65&lt;&gt;"",INDEX(Cylinders[MotionGroup Description],MATCH($O65,Cylinders[Unit Name],0)),""),"N/A")</f>
        <v/>
      </c>
    </row>
    <row r="66" spans="8:14" ht="17.100000000000001" customHeight="1">
      <c r="H66" s="204" t="str">
        <f>IFERROR(IF($I66&lt;&gt;"",INDEX(Cylinders[MotionGroup Description],MATCH($I66,Cylinders[Unit Name],0)),""),"N/A")</f>
        <v/>
      </c>
      <c r="N66" s="204" t="str">
        <f>IFERROR(IF($O66&lt;&gt;"",INDEX(Cylinders[MotionGroup Description],MATCH($O66,Cylinders[Unit Name],0)),""),"N/A")</f>
        <v/>
      </c>
    </row>
    <row r="67" spans="8:14" ht="17.100000000000001" customHeight="1">
      <c r="H67" s="204" t="str">
        <f>IFERROR(IF($I67&lt;&gt;"",INDEX(Cylinders[MotionGroup Description],MATCH($I67,Cylinders[Unit Name],0)),""),"N/A")</f>
        <v/>
      </c>
      <c r="N67" s="204" t="str">
        <f>IFERROR(IF($O67&lt;&gt;"",INDEX(Cylinders[MotionGroup Description],MATCH($O67,Cylinders[Unit Name],0)),""),"N/A")</f>
        <v/>
      </c>
    </row>
    <row r="68" spans="8:14" ht="17.100000000000001" customHeight="1">
      <c r="H68" s="204" t="str">
        <f>IFERROR(IF($I68&lt;&gt;"",INDEX(Cylinders[MotionGroup Description],MATCH($I68,Cylinders[Unit Name],0)),""),"N/A")</f>
        <v/>
      </c>
      <c r="N68" s="204" t="str">
        <f>IFERROR(IF($O68&lt;&gt;"",INDEX(Cylinders[MotionGroup Description],MATCH($O68,Cylinders[Unit Name],0)),""),"N/A")</f>
        <v/>
      </c>
    </row>
    <row r="69" spans="8:14" ht="17.100000000000001" customHeight="1">
      <c r="H69" s="204" t="str">
        <f>IFERROR(IF($I69&lt;&gt;"",INDEX(Cylinders[MotionGroup Description],MATCH($I69,Cylinders[Unit Name],0)),""),"N/A")</f>
        <v/>
      </c>
      <c r="N69" s="204" t="str">
        <f>IFERROR(IF($O69&lt;&gt;"",INDEX(Cylinders[MotionGroup Description],MATCH($O69,Cylinders[Unit Name],0)),""),"N/A")</f>
        <v/>
      </c>
    </row>
    <row r="70" spans="8:14" ht="17.100000000000001" customHeight="1">
      <c r="H70" s="204" t="str">
        <f>IFERROR(IF($I70&lt;&gt;"",INDEX(Cylinders[MotionGroup Description],MATCH($I70,Cylinders[Unit Name],0)),""),"N/A")</f>
        <v/>
      </c>
      <c r="N70" s="204" t="str">
        <f>IFERROR(IF($O70&lt;&gt;"",INDEX(Cylinders[MotionGroup Description],MATCH($O70,Cylinders[Unit Name],0)),""),"N/A")</f>
        <v/>
      </c>
    </row>
    <row r="71" spans="8:14" ht="17.100000000000001" customHeight="1">
      <c r="H71" s="204" t="str">
        <f>IFERROR(IF($I71&lt;&gt;"",INDEX(Cylinders[MotionGroup Description],MATCH($I71,Cylinders[Unit Name],0)),""),"N/A")</f>
        <v/>
      </c>
      <c r="N71" s="204" t="str">
        <f>IFERROR(IF($O71&lt;&gt;"",INDEX(Cylinders[MotionGroup Description],MATCH($O71,Cylinders[Unit Name],0)),""),"N/A")</f>
        <v/>
      </c>
    </row>
    <row r="72" spans="8:14" ht="17.100000000000001" customHeight="1">
      <c r="H72" s="204" t="str">
        <f>IFERROR(IF($I72&lt;&gt;"",INDEX(Cylinders[MotionGroup Description],MATCH($I72,Cylinders[Unit Name],0)),""),"N/A")</f>
        <v/>
      </c>
      <c r="N72" s="204" t="str">
        <f>IFERROR(IF($O72&lt;&gt;"",INDEX(Cylinders[MotionGroup Description],MATCH($O72,Cylinders[Unit Name],0)),""),"N/A")</f>
        <v/>
      </c>
    </row>
    <row r="73" spans="8:14" ht="17.100000000000001" customHeight="1">
      <c r="H73" s="204" t="str">
        <f>IFERROR(IF($I73&lt;&gt;"",INDEX(Cylinders[MotionGroup Description],MATCH($I73,Cylinders[Unit Name],0)),""),"N/A")</f>
        <v/>
      </c>
      <c r="N73" s="204" t="str">
        <f>IFERROR(IF($O73&lt;&gt;"",INDEX(Cylinders[MotionGroup Description],MATCH($O73,Cylinders[Unit Name],0)),""),"N/A")</f>
        <v/>
      </c>
    </row>
    <row r="74" spans="8:14" ht="17.100000000000001" customHeight="1">
      <c r="H74" s="204" t="str">
        <f>IFERROR(IF($I74&lt;&gt;"",INDEX(Cylinders[MotionGroup Description],MATCH($I74,Cylinders[Unit Name],0)),""),"N/A")</f>
        <v/>
      </c>
      <c r="N74" s="204" t="str">
        <f>IFERROR(IF($O74&lt;&gt;"",INDEX(Cylinders[MotionGroup Description],MATCH($O74,Cylinders[Unit Name],0)),""),"N/A")</f>
        <v/>
      </c>
    </row>
    <row r="75" spans="8:14" ht="17.100000000000001" customHeight="1">
      <c r="H75" s="204" t="str">
        <f>IFERROR(IF($I75&lt;&gt;"",INDEX(Cylinders[MotionGroup Description],MATCH($I75,Cylinders[Unit Name],0)),""),"N/A")</f>
        <v/>
      </c>
      <c r="N75" s="204" t="str">
        <f>IFERROR(IF($O75&lt;&gt;"",INDEX(Cylinders[MotionGroup Description],MATCH($O75,Cylinders[Unit Name],0)),""),"N/A")</f>
        <v/>
      </c>
    </row>
    <row r="76" spans="8:14" ht="17.100000000000001" customHeight="1">
      <c r="H76" s="204" t="str">
        <f>IFERROR(IF($I76&lt;&gt;"",INDEX(Cylinders[MotionGroup Description],MATCH($I76,Cylinders[Unit Name],0)),""),"N/A")</f>
        <v/>
      </c>
      <c r="N76" s="204" t="str">
        <f>IFERROR(IF($O76&lt;&gt;"",INDEX(Cylinders[MotionGroup Description],MATCH($O76,Cylinders[Unit Name],0)),""),"N/A")</f>
        <v/>
      </c>
    </row>
    <row r="77" spans="8:14" ht="17.100000000000001" customHeight="1">
      <c r="H77" s="204" t="str">
        <f>IFERROR(IF($I77&lt;&gt;"",INDEX(Cylinders[MotionGroup Description],MATCH($I77,Cylinders[Unit Name],0)),""),"N/A")</f>
        <v/>
      </c>
      <c r="N77" s="204" t="str">
        <f>IFERROR(IF($O77&lt;&gt;"",INDEX(Cylinders[MotionGroup Description],MATCH($O77,Cylinders[Unit Name],0)),""),"N/A")</f>
        <v/>
      </c>
    </row>
    <row r="78" spans="8:14" ht="17.100000000000001" customHeight="1">
      <c r="H78" s="204" t="str">
        <f>IFERROR(IF($I78&lt;&gt;"",INDEX(Cylinders[MotionGroup Description],MATCH($I78,Cylinders[Unit Name],0)),""),"N/A")</f>
        <v/>
      </c>
      <c r="N78" s="204" t="str">
        <f>IFERROR(IF($O78&lt;&gt;"",INDEX(Cylinders[MotionGroup Description],MATCH($O78,Cylinders[Unit Name],0)),""),"N/A")</f>
        <v/>
      </c>
    </row>
    <row r="79" spans="8:14" ht="17.100000000000001" customHeight="1">
      <c r="H79" s="204" t="str">
        <f>IFERROR(IF($I79&lt;&gt;"",INDEX(Cylinders[MotionGroup Description],MATCH($I79,Cylinders[Unit Name],0)),""),"N/A")</f>
        <v/>
      </c>
      <c r="N79" s="204" t="str">
        <f>IFERROR(IF($O79&lt;&gt;"",INDEX(Cylinders[MotionGroup Description],MATCH($O79,Cylinders[Unit Name],0)),""),"N/A")</f>
        <v/>
      </c>
    </row>
    <row r="80" spans="8:14" ht="17.100000000000001" customHeight="1">
      <c r="H80" s="204" t="str">
        <f>IFERROR(IF($I80&lt;&gt;"",INDEX(Cylinders[MotionGroup Description],MATCH($I80,Cylinders[Unit Name],0)),""),"N/A")</f>
        <v/>
      </c>
      <c r="N80" s="204" t="str">
        <f>IFERROR(IF($O80&lt;&gt;"",INDEX(Cylinders[MotionGroup Description],MATCH($O80,Cylinders[Unit Name],0)),""),"N/A")</f>
        <v/>
      </c>
    </row>
    <row r="81" spans="8:14" ht="17.100000000000001" customHeight="1">
      <c r="H81" s="204" t="str">
        <f>IFERROR(IF($I81&lt;&gt;"",INDEX(Cylinders[MotionGroup Description],MATCH($I81,Cylinders[Unit Name],0)),""),"N/A")</f>
        <v/>
      </c>
      <c r="N81" s="204" t="str">
        <f>IFERROR(IF($O81&lt;&gt;"",INDEX(Cylinders[MotionGroup Description],MATCH($O81,Cylinders[Unit Name],0)),""),"N/A")</f>
        <v/>
      </c>
    </row>
    <row r="82" spans="8:14" ht="17.100000000000001" customHeight="1">
      <c r="H82" s="204" t="str">
        <f>IFERROR(IF($I82&lt;&gt;"",INDEX(Cylinders[MotionGroup Description],MATCH($I82,Cylinders[Unit Name],0)),""),"N/A")</f>
        <v/>
      </c>
      <c r="N82" s="204" t="str">
        <f>IFERROR(IF($O82&lt;&gt;"",INDEX(Cylinders[MotionGroup Description],MATCH($O82,Cylinders[Unit Name],0)),""),"N/A")</f>
        <v/>
      </c>
    </row>
    <row r="83" spans="8:14" ht="17.100000000000001" customHeight="1">
      <c r="H83" s="204" t="str">
        <f>IFERROR(IF($I83&lt;&gt;"",INDEX(Cylinders[MotionGroup Description],MATCH($I83,Cylinders[Unit Name],0)),""),"N/A")</f>
        <v/>
      </c>
      <c r="N83" s="204" t="str">
        <f>IFERROR(IF($O83&lt;&gt;"",INDEX(Cylinders[MotionGroup Description],MATCH($O83,Cylinders[Unit Name],0)),""),"N/A")</f>
        <v/>
      </c>
    </row>
    <row r="84" spans="8:14" ht="17.100000000000001" customHeight="1">
      <c r="H84" s="204" t="str">
        <f>IFERROR(IF($I84&lt;&gt;"",INDEX(Cylinders[MotionGroup Description],MATCH($I84,Cylinders[Unit Name],0)),""),"N/A")</f>
        <v/>
      </c>
      <c r="N84" s="204" t="str">
        <f>IFERROR(IF($O84&lt;&gt;"",INDEX(Cylinders[MotionGroup Description],MATCH($O84,Cylinders[Unit Name],0)),""),"N/A")</f>
        <v/>
      </c>
    </row>
    <row r="85" spans="8:14" ht="17.100000000000001" customHeight="1">
      <c r="H85" s="204" t="str">
        <f>IFERROR(IF($I85&lt;&gt;"",INDEX(Cylinders[MotionGroup Description],MATCH($I85,Cylinders[Unit Name],0)),""),"N/A")</f>
        <v/>
      </c>
      <c r="N85" s="204" t="str">
        <f>IFERROR(IF($O85&lt;&gt;"",INDEX(Cylinders[MotionGroup Description],MATCH($O85,Cylinders[Unit Name],0)),""),"N/A")</f>
        <v/>
      </c>
    </row>
    <row r="86" spans="8:14" ht="17.100000000000001" customHeight="1">
      <c r="H86" s="204" t="str">
        <f>IFERROR(IF($I86&lt;&gt;"",INDEX(Cylinders[MotionGroup Description],MATCH($I86,Cylinders[Unit Name],0)),""),"N/A")</f>
        <v/>
      </c>
      <c r="N86" s="204" t="str">
        <f>IFERROR(IF($O86&lt;&gt;"",INDEX(Cylinders[MotionGroup Description],MATCH($O86,Cylinders[Unit Name],0)),""),"N/A")</f>
        <v/>
      </c>
    </row>
    <row r="87" spans="8:14" ht="17.100000000000001" customHeight="1">
      <c r="H87" s="204" t="str">
        <f>IFERROR(IF($I87&lt;&gt;"",INDEX(Cylinders[MotionGroup Description],MATCH($I87,Cylinders[Unit Name],0)),""),"N/A")</f>
        <v/>
      </c>
      <c r="N87" s="204" t="str">
        <f>IFERROR(IF($O87&lt;&gt;"",INDEX(Cylinders[MotionGroup Description],MATCH($O87,Cylinders[Unit Name],0)),""),"N/A")</f>
        <v/>
      </c>
    </row>
    <row r="88" spans="8:14" ht="17.100000000000001" customHeight="1">
      <c r="H88" s="204" t="str">
        <f>IFERROR(IF($I88&lt;&gt;"",INDEX(Cylinders[MotionGroup Description],MATCH($I88,Cylinders[Unit Name],0)),""),"N/A")</f>
        <v/>
      </c>
      <c r="N88" s="204" t="str">
        <f>IFERROR(IF($O88&lt;&gt;"",INDEX(Cylinders[MotionGroup Description],MATCH($O88,Cylinders[Unit Name],0)),""),"N/A")</f>
        <v/>
      </c>
    </row>
    <row r="89" spans="8:14" ht="17.100000000000001" customHeight="1">
      <c r="H89" s="204" t="str">
        <f>IFERROR(IF($I89&lt;&gt;"",INDEX(Cylinders[MotionGroup Description],MATCH($I89,Cylinders[Unit Name],0)),""),"N/A")</f>
        <v/>
      </c>
      <c r="N89" s="204" t="str">
        <f>IFERROR(IF($O89&lt;&gt;"",INDEX(Cylinders[MotionGroup Description],MATCH($O89,Cylinders[Unit Name],0)),""),"N/A")</f>
        <v/>
      </c>
    </row>
    <row r="90" spans="8:14" ht="17.100000000000001" customHeight="1">
      <c r="H90" s="204" t="str">
        <f>IFERROR(IF($I90&lt;&gt;"",INDEX(Cylinders[MotionGroup Description],MATCH($I90,Cylinders[Unit Name],0)),""),"N/A")</f>
        <v/>
      </c>
      <c r="N90" s="204" t="str">
        <f>IFERROR(IF($O90&lt;&gt;"",INDEX(Cylinders[MotionGroup Description],MATCH($O90,Cylinders[Unit Name],0)),""),"N/A")</f>
        <v/>
      </c>
    </row>
    <row r="91" spans="8:14" ht="17.100000000000001" customHeight="1">
      <c r="H91" s="204" t="str">
        <f>IFERROR(IF($I91&lt;&gt;"",INDEX(Cylinders[MotionGroup Description],MATCH($I91,Cylinders[Unit Name],0)),""),"N/A")</f>
        <v/>
      </c>
      <c r="N91" s="204" t="str">
        <f>IFERROR(IF($O91&lt;&gt;"",INDEX(Cylinders[MotionGroup Description],MATCH($O91,Cylinders[Unit Name],0)),""),"N/A")</f>
        <v/>
      </c>
    </row>
    <row r="92" spans="8:14" ht="17.100000000000001" customHeight="1">
      <c r="H92" s="204" t="str">
        <f>IFERROR(IF($I92&lt;&gt;"",INDEX(Cylinders[MotionGroup Description],MATCH($I92,Cylinders[Unit Name],0)),""),"N/A")</f>
        <v/>
      </c>
      <c r="N92" s="204" t="str">
        <f>IFERROR(IF($O92&lt;&gt;"",INDEX(Cylinders[MotionGroup Description],MATCH($O92,Cylinders[Unit Name],0)),""),"N/A")</f>
        <v/>
      </c>
    </row>
    <row r="93" spans="8:14" ht="17.100000000000001" customHeight="1">
      <c r="H93" s="204" t="str">
        <f>IFERROR(IF($I93&lt;&gt;"",INDEX(Cylinders[MotionGroup Description],MATCH($I93,Cylinders[Unit Name],0)),""),"N/A")</f>
        <v/>
      </c>
      <c r="N93" s="204" t="str">
        <f>IFERROR(IF($O93&lt;&gt;"",INDEX(Cylinders[MotionGroup Description],MATCH($O93,Cylinders[Unit Name],0)),""),"N/A")</f>
        <v/>
      </c>
    </row>
    <row r="94" spans="8:14" ht="17.100000000000001" customHeight="1">
      <c r="H94" s="204" t="str">
        <f>IFERROR(IF($I94&lt;&gt;"",INDEX(Cylinders[MotionGroup Description],MATCH($I94,Cylinders[Unit Name],0)),""),"N/A")</f>
        <v/>
      </c>
      <c r="N94" s="204" t="str">
        <f>IFERROR(IF($O94&lt;&gt;"",INDEX(Cylinders[MotionGroup Description],MATCH($O94,Cylinders[Unit Name],0)),""),"N/A")</f>
        <v/>
      </c>
    </row>
    <row r="95" spans="8:14" ht="17.100000000000001" customHeight="1">
      <c r="H95" s="204" t="str">
        <f>IFERROR(IF($I95&lt;&gt;"",INDEX(Cylinders[MotionGroup Description],MATCH($I95,Cylinders[Unit Name],0)),""),"N/A")</f>
        <v/>
      </c>
      <c r="N95" s="204" t="str">
        <f>IFERROR(IF($O95&lt;&gt;"",INDEX(Cylinders[MotionGroup Description],MATCH($O95,Cylinders[Unit Name],0)),""),"N/A")</f>
        <v/>
      </c>
    </row>
    <row r="96" spans="8:14" ht="17.100000000000001" customHeight="1">
      <c r="H96" s="204" t="str">
        <f>IFERROR(IF($I96&lt;&gt;"",INDEX(Cylinders[MotionGroup Description],MATCH($I96,Cylinders[Unit Name],0)),""),"N/A")</f>
        <v/>
      </c>
      <c r="N96" s="204" t="str">
        <f>IFERROR(IF($O96&lt;&gt;"",INDEX(Cylinders[MotionGroup Description],MATCH($O96,Cylinders[Unit Name],0)),""),"N/A")</f>
        <v/>
      </c>
    </row>
    <row r="97" spans="8:14" ht="17.100000000000001" customHeight="1">
      <c r="H97" s="204" t="str">
        <f>IFERROR(IF($I97&lt;&gt;"",INDEX(Cylinders[MotionGroup Description],MATCH($I97,Cylinders[Unit Name],0)),""),"N/A")</f>
        <v/>
      </c>
      <c r="N97" s="204" t="str">
        <f>IFERROR(IF($O97&lt;&gt;"",INDEX(Cylinders[MotionGroup Description],MATCH($O97,Cylinders[Unit Name],0)),""),"N/A")</f>
        <v/>
      </c>
    </row>
    <row r="98" spans="8:14" ht="17.100000000000001" customHeight="1">
      <c r="H98" s="204" t="str">
        <f>IFERROR(IF($I98&lt;&gt;"",INDEX(Cylinders[MotionGroup Description],MATCH($I98,Cylinders[Unit Name],0)),""),"N/A")</f>
        <v/>
      </c>
      <c r="N98" s="204" t="str">
        <f>IFERROR(IF($O98&lt;&gt;"",INDEX(Cylinders[MotionGroup Description],MATCH($O98,Cylinders[Unit Name],0)),""),"N/A")</f>
        <v/>
      </c>
    </row>
    <row r="99" spans="8:14" ht="17.100000000000001" customHeight="1">
      <c r="H99" s="204" t="str">
        <f>IFERROR(IF($I99&lt;&gt;"",INDEX(Cylinders[MotionGroup Description],MATCH($I99,Cylinders[Unit Name],0)),""),"N/A")</f>
        <v/>
      </c>
      <c r="N99" s="204" t="str">
        <f>IFERROR(IF($O99&lt;&gt;"",INDEX(Cylinders[MotionGroup Description],MATCH($O99,Cylinders[Unit Name],0)),""),"N/A")</f>
        <v/>
      </c>
    </row>
    <row r="100" spans="8:14" ht="17.100000000000001" customHeight="1">
      <c r="H100" s="204" t="str">
        <f>IFERROR(IF($I100&lt;&gt;"",INDEX(Cylinders[MotionGroup Description],MATCH($I100,Cylinders[Unit Name],0)),""),"N/A")</f>
        <v/>
      </c>
      <c r="N100" s="204" t="str">
        <f>IFERROR(IF($O100&lt;&gt;"",INDEX(Cylinders[MotionGroup Description],MATCH($O100,Cylinders[Unit Name],0)),""),"N/A")</f>
        <v/>
      </c>
    </row>
    <row r="101" spans="8:14" ht="17.100000000000001" customHeight="1"/>
    <row r="102" spans="8:14" ht="17.100000000000001" customHeight="1"/>
    <row r="103" spans="8:14" ht="17.100000000000001" customHeight="1"/>
    <row r="104" spans="8:14" ht="17.100000000000001" customHeight="1"/>
    <row r="105" spans="8:14" ht="17.100000000000001" customHeight="1"/>
    <row r="106" spans="8:14" ht="17.100000000000001" customHeight="1"/>
    <row r="107" spans="8:14" ht="17.100000000000001" customHeight="1"/>
    <row r="108" spans="8:14" ht="17.100000000000001" customHeight="1"/>
    <row r="109" spans="8:14" ht="17.100000000000001" customHeight="1"/>
    <row r="110" spans="8:14" ht="17.100000000000001" customHeight="1"/>
    <row r="111" spans="8:14" ht="17.100000000000001" customHeight="1"/>
    <row r="112" spans="8:14" ht="17.100000000000001" customHeight="1"/>
    <row r="113" ht="17.100000000000001" customHeight="1"/>
    <row r="114" ht="17.100000000000001" customHeight="1"/>
    <row r="115" ht="17.100000000000001" customHeight="1"/>
    <row r="116" ht="17.100000000000001" customHeight="1"/>
    <row r="117" ht="17.100000000000001" customHeight="1"/>
    <row r="118" ht="17.100000000000001" customHeight="1"/>
    <row r="119" ht="17.100000000000001" customHeight="1"/>
    <row r="120" ht="17.100000000000001" customHeight="1"/>
    <row r="121" ht="17.100000000000001" customHeight="1"/>
    <row r="122" ht="17.100000000000001" customHeight="1"/>
    <row r="123" ht="17.100000000000001" customHeight="1"/>
    <row r="124" ht="17.100000000000001" customHeight="1"/>
    <row r="125" ht="17.100000000000001" customHeight="1"/>
    <row r="126" ht="17.100000000000001" customHeight="1"/>
    <row r="127" ht="17.100000000000001" customHeight="1"/>
    <row r="128" ht="17.100000000000001" customHeight="1"/>
    <row r="129" ht="17.100000000000001" customHeight="1"/>
    <row r="130" ht="17.100000000000001" customHeight="1"/>
    <row r="131" ht="17.100000000000001" customHeight="1"/>
    <row r="132" ht="17.100000000000001" customHeight="1"/>
    <row r="133" ht="17.100000000000001" customHeight="1"/>
    <row r="134" ht="17.100000000000001" customHeight="1"/>
    <row r="135" ht="17.100000000000001" customHeight="1"/>
    <row r="136" ht="17.100000000000001" customHeight="1"/>
    <row r="137" ht="17.100000000000001" customHeight="1"/>
    <row r="138" ht="17.100000000000001" customHeight="1"/>
    <row r="139" ht="17.100000000000001" customHeight="1"/>
    <row r="140" ht="17.100000000000001" customHeight="1"/>
    <row r="141" ht="17.100000000000001" customHeight="1"/>
    <row r="142" ht="17.100000000000001" customHeight="1"/>
    <row r="143" ht="17.100000000000001" customHeight="1"/>
    <row r="144" ht="17.100000000000001" customHeight="1"/>
    <row r="145" ht="17.100000000000001" customHeight="1"/>
    <row r="146" ht="17.100000000000001" customHeight="1"/>
    <row r="147" ht="17.100000000000001" customHeight="1"/>
    <row r="148" ht="17.100000000000001" customHeight="1"/>
    <row r="149" ht="17.100000000000001" customHeight="1"/>
    <row r="150" ht="17.100000000000001" customHeight="1"/>
    <row r="151" ht="17.100000000000001" customHeight="1"/>
    <row r="152" ht="17.100000000000001" customHeight="1"/>
    <row r="153" ht="17.100000000000001" customHeight="1"/>
    <row r="154" ht="17.100000000000001" customHeight="1"/>
    <row r="155" ht="17.100000000000001" customHeight="1"/>
    <row r="156" ht="17.100000000000001" customHeight="1"/>
    <row r="157" ht="17.100000000000001" customHeight="1"/>
    <row r="158" ht="17.100000000000001" customHeight="1"/>
    <row r="159" ht="17.100000000000001" customHeight="1"/>
    <row r="160" ht="17.100000000000001" customHeight="1"/>
    <row r="161" ht="17.100000000000001" customHeight="1"/>
    <row r="162" ht="17.100000000000001" customHeight="1"/>
    <row r="163" ht="17.100000000000001" customHeight="1"/>
    <row r="164" ht="17.100000000000001" customHeight="1"/>
    <row r="165" ht="17.100000000000001" customHeight="1"/>
    <row r="166" ht="17.100000000000001" customHeight="1"/>
    <row r="167" ht="17.100000000000001" customHeight="1"/>
    <row r="168" ht="17.100000000000001" customHeight="1"/>
    <row r="169" ht="17.100000000000001" customHeight="1"/>
    <row r="170" ht="17.100000000000001" customHeight="1"/>
    <row r="171" ht="17.100000000000001" customHeight="1"/>
    <row r="172" ht="17.100000000000001" customHeight="1"/>
    <row r="173" ht="17.100000000000001" customHeight="1"/>
    <row r="174" ht="17.100000000000001" customHeight="1"/>
    <row r="175" ht="17.100000000000001" customHeight="1"/>
    <row r="176" ht="17.100000000000001" customHeight="1"/>
    <row r="177" ht="17.100000000000001" customHeight="1"/>
    <row r="178" ht="17.100000000000001" customHeight="1"/>
    <row r="179" ht="17.100000000000001" customHeight="1"/>
    <row r="180" ht="17.100000000000001" customHeight="1"/>
    <row r="181" ht="17.100000000000001" customHeight="1"/>
    <row r="182" ht="17.100000000000001" customHeight="1"/>
    <row r="183" ht="17.100000000000001" customHeight="1"/>
    <row r="184" ht="17.100000000000001" customHeight="1"/>
    <row r="185" ht="17.100000000000001" customHeight="1"/>
    <row r="186" ht="17.100000000000001" customHeight="1"/>
    <row r="187" ht="17.100000000000001" customHeight="1"/>
    <row r="188" ht="17.100000000000001" customHeight="1"/>
    <row r="189" ht="17.100000000000001" customHeight="1"/>
    <row r="190" ht="17.100000000000001" customHeight="1"/>
    <row r="191" ht="17.100000000000001" customHeight="1"/>
    <row r="192" ht="17.100000000000001" customHeight="1"/>
    <row r="193" ht="17.100000000000001" customHeight="1"/>
    <row r="194" ht="17.100000000000001" customHeight="1"/>
    <row r="195" ht="17.100000000000001" customHeight="1"/>
    <row r="196" ht="17.100000000000001" customHeight="1"/>
    <row r="197" ht="17.100000000000001" customHeight="1"/>
    <row r="198" ht="17.100000000000001" customHeight="1"/>
    <row r="199" ht="17.100000000000001" customHeight="1"/>
  </sheetData>
  <mergeCells count="3">
    <mergeCell ref="B3:C3"/>
    <mergeCell ref="H2:L2"/>
    <mergeCell ref="N2:R2"/>
  </mergeCells>
  <phoneticPr fontId="24" type="noConversion"/>
  <conditionalFormatting sqref="C4:C8 C11:C19">
    <cfRule type="expression" dxfId="5" priority="4">
      <formula>OR(C4="", C4=0)</formula>
    </cfRule>
  </conditionalFormatting>
  <conditionalFormatting sqref="L4:L100 R4:R100">
    <cfRule type="containsText" dxfId="4" priority="1" operator="containsText" text="OK">
      <formula>NOT(ISERROR(SEARCH("OK",L4)))</formula>
    </cfRule>
    <cfRule type="containsText" dxfId="3" priority="2" operator="containsText" text="Missing">
      <formula>NOT(ISERROR(SEARCH("Missing",L4)))</formula>
    </cfRule>
  </conditionalFormatting>
  <dataValidations count="1">
    <dataValidation type="list" allowBlank="1" showInputMessage="1" showErrorMessage="1" sqref="H2:M2 S2" xr:uid="{C72877CB-2F0C-4E3D-8BD1-E55A7B862D9D}">
      <formula1>"Common, Model 1"</formula1>
    </dataValidation>
  </dataValidations>
  <printOptions horizontalCentered="1"/>
  <pageMargins left="0.25" right="0.25" top="0.4" bottom="0.4" header="0.5" footer="0.25"/>
  <pageSetup scale="60" fitToHeight="5" orientation="portrait" r:id="rId1"/>
  <headerFooter>
    <oddFooter>&amp;L&amp;D&amp;CPage &amp;P of &amp;N&amp;REquipment Vendor Safety Buyoff - Rev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Verification PB">
              <controlPr defaultSize="0" print="0" autoFill="0" autoPict="0" macro="[0]!Verification" altText="Create Sensors">
                <anchor moveWithCells="1">
                  <from>
                    <xdr:col>5</xdr:col>
                    <xdr:colOff>161925</xdr:colOff>
                    <xdr:row>0</xdr:row>
                    <xdr:rowOff>47625</xdr:rowOff>
                  </from>
                  <to>
                    <xdr:col>5</xdr:col>
                    <xdr:colOff>1390650</xdr:colOff>
                    <xdr:row>1</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00A9D0A-F2AD-4BD5-9BA8-3C81F37B4C7B}">
            <x14:iconSet showValue="0" custom="1">
              <x14:cfvo type="percent">
                <xm:f>0</xm:f>
              </x14:cfvo>
              <x14:cfvo type="num" gte="0">
                <xm:f>0</xm:f>
              </x14:cfvo>
              <x14:cfvo type="num">
                <xm:f>1</xm:f>
              </x14:cfvo>
              <x14:cfIcon iconSet="3TrafficLights1" iconId="0"/>
              <x14:cfIcon iconSet="NoIcons" iconId="0"/>
              <x14:cfIcon iconSet="3TrafficLights1" iconId="2"/>
            </x14:iconSet>
          </x14:cfRule>
          <xm:sqref>J4:K100 P4:Q100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99A2E-5A8F-4A16-B2B6-61548DE85350}">
  <sheetPr codeName="Sheet7">
    <pageSetUpPr fitToPage="1"/>
  </sheetPr>
  <dimension ref="A1:E100"/>
  <sheetViews>
    <sheetView showGridLines="0" topLeftCell="A5" zoomScale="85" zoomScaleNormal="85" workbookViewId="0">
      <selection activeCell="B9" sqref="B9"/>
    </sheetView>
  </sheetViews>
  <sheetFormatPr defaultColWidth="8.875" defaultRowHeight="15.75"/>
  <cols>
    <col min="1" max="1" width="18.875" style="97" customWidth="1"/>
    <col min="2" max="2" width="46.625" style="97" customWidth="1"/>
    <col min="3" max="3" width="29.125" style="97" customWidth="1"/>
    <col min="4" max="4" width="15.5" style="126" customWidth="1"/>
    <col min="5" max="5" width="8.875" style="97" customWidth="1"/>
    <col min="6" max="16384" width="8.875" style="97"/>
  </cols>
  <sheetData>
    <row r="1" spans="1:5" ht="46.35" customHeight="1">
      <c r="A1" s="355" t="s">
        <v>35</v>
      </c>
      <c r="B1" s="355"/>
      <c r="C1" s="355"/>
      <c r="D1" s="355"/>
      <c r="E1" s="108"/>
    </row>
    <row r="2" spans="1:5" ht="30" customHeight="1"/>
    <row r="3" spans="1:5" s="110" customFormat="1" ht="30" customHeight="1">
      <c r="A3" s="109" t="s">
        <v>36</v>
      </c>
      <c r="B3" s="109" t="s">
        <v>37</v>
      </c>
      <c r="C3" s="109" t="s">
        <v>38</v>
      </c>
      <c r="D3" s="127" t="s">
        <v>39</v>
      </c>
    </row>
    <row r="4" spans="1:5" s="113" customFormat="1" ht="30" customHeight="1">
      <c r="A4" s="111">
        <v>1</v>
      </c>
      <c r="B4" s="112" t="s">
        <v>40</v>
      </c>
      <c r="C4" s="112" t="s">
        <v>41</v>
      </c>
      <c r="D4" s="128">
        <v>45441</v>
      </c>
    </row>
    <row r="5" spans="1:5" s="113" customFormat="1" ht="45">
      <c r="A5" s="111">
        <v>2</v>
      </c>
      <c r="B5" s="114" t="s">
        <v>42</v>
      </c>
      <c r="C5" s="114" t="s">
        <v>43</v>
      </c>
      <c r="D5" s="128">
        <v>45485</v>
      </c>
    </row>
    <row r="6" spans="1:5" s="115" customFormat="1" ht="90">
      <c r="A6" s="111">
        <v>3</v>
      </c>
      <c r="B6" s="114" t="s">
        <v>426</v>
      </c>
      <c r="C6" s="114" t="s">
        <v>187</v>
      </c>
      <c r="D6" s="128">
        <v>45530</v>
      </c>
    </row>
    <row r="7" spans="1:5" s="115" customFormat="1" ht="210">
      <c r="A7" s="111">
        <v>4</v>
      </c>
      <c r="B7" s="114" t="s">
        <v>513</v>
      </c>
      <c r="C7" s="114" t="s">
        <v>432</v>
      </c>
      <c r="D7" s="128">
        <v>45644</v>
      </c>
    </row>
    <row r="8" spans="1:5" s="115" customFormat="1" ht="45">
      <c r="A8" s="111">
        <v>4.0999999999999996</v>
      </c>
      <c r="B8" s="114" t="s">
        <v>514</v>
      </c>
      <c r="C8" s="114" t="s">
        <v>432</v>
      </c>
      <c r="D8" s="128">
        <v>45663</v>
      </c>
    </row>
    <row r="9" spans="1:5" s="115" customFormat="1" ht="45">
      <c r="A9" s="111">
        <v>4.2</v>
      </c>
      <c r="B9" s="114" t="s">
        <v>515</v>
      </c>
      <c r="C9" s="114" t="s">
        <v>432</v>
      </c>
      <c r="D9" s="128">
        <v>45667</v>
      </c>
    </row>
    <row r="10" spans="1:5" s="115" customFormat="1" ht="30" customHeight="1">
      <c r="A10" s="111"/>
      <c r="B10" s="114"/>
      <c r="C10" s="114"/>
      <c r="D10" s="128"/>
    </row>
    <row r="11" spans="1:5" s="115" customFormat="1" ht="30" customHeight="1">
      <c r="A11" s="111"/>
      <c r="B11" s="114"/>
      <c r="C11" s="114"/>
      <c r="D11" s="128"/>
    </row>
    <row r="12" spans="1:5" s="115" customFormat="1" ht="30" customHeight="1">
      <c r="A12" s="111"/>
      <c r="B12" s="114"/>
      <c r="C12" s="114"/>
      <c r="D12" s="128"/>
    </row>
    <row r="13" spans="1:5" s="115" customFormat="1" ht="30" customHeight="1">
      <c r="A13" s="111"/>
      <c r="B13" s="114"/>
      <c r="C13" s="114"/>
      <c r="D13" s="128"/>
    </row>
    <row r="14" spans="1:5" s="115" customFormat="1" ht="30" customHeight="1">
      <c r="A14" s="111"/>
      <c r="B14" s="114"/>
      <c r="C14" s="114"/>
      <c r="D14" s="128"/>
    </row>
    <row r="15" spans="1:5" s="115" customFormat="1" ht="30" customHeight="1">
      <c r="A15" s="111"/>
      <c r="B15" s="114"/>
      <c r="C15" s="114"/>
      <c r="D15" s="128"/>
    </row>
    <row r="16" spans="1:5" s="115" customFormat="1" ht="30" customHeight="1">
      <c r="A16" s="111"/>
      <c r="B16" s="114"/>
      <c r="C16" s="114"/>
      <c r="D16" s="128"/>
    </row>
    <row r="17" spans="1:4" s="115" customFormat="1" ht="30" customHeight="1">
      <c r="A17" s="111"/>
      <c r="B17" s="114"/>
      <c r="C17" s="114"/>
      <c r="D17" s="128"/>
    </row>
    <row r="18" spans="1:4" s="115" customFormat="1" ht="30" customHeight="1">
      <c r="A18" s="111"/>
      <c r="B18" s="114"/>
      <c r="C18" s="114"/>
      <c r="D18" s="128"/>
    </row>
    <row r="19" spans="1:4" s="115" customFormat="1" ht="30" customHeight="1">
      <c r="A19" s="111"/>
      <c r="B19" s="114"/>
      <c r="C19" s="114"/>
      <c r="D19" s="128"/>
    </row>
    <row r="20" spans="1:4" s="115" customFormat="1" ht="30" customHeight="1">
      <c r="A20" s="111"/>
      <c r="B20" s="114"/>
      <c r="C20" s="114"/>
      <c r="D20" s="128"/>
    </row>
    <row r="21" spans="1:4" s="115" customFormat="1" ht="30" customHeight="1">
      <c r="A21" s="111"/>
      <c r="B21" s="114"/>
      <c r="C21" s="114"/>
      <c r="D21" s="128"/>
    </row>
    <row r="22" spans="1:4" s="115" customFormat="1" ht="30" customHeight="1">
      <c r="A22" s="111"/>
      <c r="B22" s="114"/>
      <c r="C22" s="114"/>
      <c r="D22" s="128"/>
    </row>
    <row r="23" spans="1:4" s="115" customFormat="1" ht="30" customHeight="1">
      <c r="A23" s="111"/>
      <c r="B23" s="114"/>
      <c r="C23" s="114"/>
      <c r="D23" s="128"/>
    </row>
    <row r="24" spans="1:4" s="115" customFormat="1" ht="30" customHeight="1">
      <c r="A24" s="111"/>
      <c r="B24" s="114"/>
      <c r="C24" s="114"/>
      <c r="D24" s="128"/>
    </row>
    <row r="25" spans="1:4" s="115" customFormat="1" ht="30" customHeight="1">
      <c r="A25" s="111"/>
      <c r="B25" s="114"/>
      <c r="C25" s="114"/>
      <c r="D25" s="128"/>
    </row>
    <row r="26" spans="1:4" s="115" customFormat="1" ht="30" customHeight="1">
      <c r="A26" s="111"/>
      <c r="B26" s="114"/>
      <c r="C26" s="114"/>
      <c r="D26" s="128"/>
    </row>
    <row r="27" spans="1:4" s="115" customFormat="1" ht="30" customHeight="1">
      <c r="A27" s="111"/>
      <c r="B27" s="114"/>
      <c r="C27" s="114"/>
      <c r="D27" s="128"/>
    </row>
    <row r="28" spans="1:4" s="115" customFormat="1" ht="30" customHeight="1">
      <c r="A28" s="111"/>
      <c r="B28" s="114"/>
      <c r="C28" s="114"/>
      <c r="D28" s="128"/>
    </row>
    <row r="29" spans="1:4" s="115" customFormat="1" ht="30" customHeight="1">
      <c r="A29" s="111"/>
      <c r="B29" s="114"/>
      <c r="C29" s="114"/>
      <c r="D29" s="128"/>
    </row>
    <row r="30" spans="1:4" s="115" customFormat="1" ht="30" customHeight="1">
      <c r="A30" s="111"/>
      <c r="B30" s="114"/>
      <c r="C30" s="114"/>
      <c r="D30" s="128"/>
    </row>
    <row r="31" spans="1:4" s="115" customFormat="1" ht="30" customHeight="1">
      <c r="A31" s="111"/>
      <c r="B31" s="114"/>
      <c r="C31" s="114"/>
      <c r="D31" s="128"/>
    </row>
    <row r="32" spans="1:4" s="115" customFormat="1" ht="30" customHeight="1">
      <c r="A32" s="111"/>
      <c r="B32" s="114"/>
      <c r="C32" s="114"/>
      <c r="D32" s="128"/>
    </row>
    <row r="33" spans="1:4" s="115" customFormat="1" ht="30" customHeight="1">
      <c r="A33" s="111"/>
      <c r="B33" s="114"/>
      <c r="C33" s="114"/>
      <c r="D33" s="128"/>
    </row>
    <row r="34" spans="1:4" s="115" customFormat="1" ht="30" customHeight="1">
      <c r="A34" s="111"/>
      <c r="B34" s="114"/>
      <c r="C34" s="114"/>
      <c r="D34" s="128"/>
    </row>
    <row r="35" spans="1:4" s="115" customFormat="1" ht="30" customHeight="1">
      <c r="A35" s="111"/>
      <c r="B35" s="114"/>
      <c r="C35" s="114"/>
      <c r="D35" s="128"/>
    </row>
    <row r="36" spans="1:4" s="115" customFormat="1" ht="30" customHeight="1">
      <c r="A36" s="111"/>
      <c r="B36" s="114"/>
      <c r="C36" s="114"/>
      <c r="D36" s="128"/>
    </row>
    <row r="37" spans="1:4" s="115" customFormat="1" ht="30" customHeight="1">
      <c r="A37" s="111"/>
      <c r="B37" s="114"/>
      <c r="C37" s="114"/>
      <c r="D37" s="128"/>
    </row>
    <row r="38" spans="1:4" s="115" customFormat="1" ht="30" customHeight="1">
      <c r="A38" s="111"/>
      <c r="B38" s="114"/>
      <c r="C38" s="114"/>
      <c r="D38" s="128"/>
    </row>
    <row r="39" spans="1:4" s="115" customFormat="1" ht="30" customHeight="1">
      <c r="A39" s="111"/>
      <c r="B39" s="114"/>
      <c r="C39" s="114"/>
      <c r="D39" s="128"/>
    </row>
    <row r="40" spans="1:4" s="115" customFormat="1" ht="30" customHeight="1">
      <c r="A40" s="111"/>
      <c r="B40" s="114"/>
      <c r="C40" s="114"/>
      <c r="D40" s="128"/>
    </row>
    <row r="41" spans="1:4" s="115" customFormat="1" ht="30" customHeight="1">
      <c r="A41" s="111"/>
      <c r="B41" s="114"/>
      <c r="C41" s="114"/>
      <c r="D41" s="128"/>
    </row>
    <row r="42" spans="1:4" s="115" customFormat="1" ht="30" customHeight="1">
      <c r="A42" s="111"/>
      <c r="B42" s="114"/>
      <c r="C42" s="114"/>
      <c r="D42" s="128"/>
    </row>
    <row r="43" spans="1:4" s="115" customFormat="1" ht="30" customHeight="1">
      <c r="A43" s="111"/>
      <c r="B43" s="114"/>
      <c r="C43" s="114"/>
      <c r="D43" s="128"/>
    </row>
    <row r="44" spans="1:4" s="115" customFormat="1" ht="30" customHeight="1">
      <c r="A44" s="111"/>
      <c r="B44" s="114"/>
      <c r="C44" s="114"/>
      <c r="D44" s="128"/>
    </row>
    <row r="45" spans="1:4" s="115" customFormat="1" ht="30" customHeight="1">
      <c r="A45" s="111"/>
      <c r="B45" s="114"/>
      <c r="C45" s="114"/>
      <c r="D45" s="128"/>
    </row>
    <row r="46" spans="1:4" s="115" customFormat="1" ht="30" customHeight="1">
      <c r="A46" s="111"/>
      <c r="B46" s="114"/>
      <c r="C46" s="114"/>
      <c r="D46" s="128"/>
    </row>
    <row r="47" spans="1:4" s="115" customFormat="1" ht="30" customHeight="1">
      <c r="A47" s="111"/>
      <c r="B47" s="114"/>
      <c r="C47" s="114"/>
      <c r="D47" s="128"/>
    </row>
    <row r="48" spans="1:4" s="115" customFormat="1" ht="30" customHeight="1">
      <c r="A48" s="111"/>
      <c r="B48" s="114"/>
      <c r="C48" s="114"/>
      <c r="D48" s="128"/>
    </row>
    <row r="49" spans="1:4" s="115" customFormat="1" ht="30" customHeight="1">
      <c r="A49" s="111"/>
      <c r="B49" s="114"/>
      <c r="C49" s="114"/>
      <c r="D49" s="128"/>
    </row>
    <row r="50" spans="1:4" s="115" customFormat="1" ht="30" customHeight="1">
      <c r="A50" s="111"/>
      <c r="B50" s="114"/>
      <c r="C50" s="114"/>
      <c r="D50" s="128"/>
    </row>
    <row r="51" spans="1:4" s="115" customFormat="1" ht="30" customHeight="1">
      <c r="A51" s="111"/>
      <c r="B51" s="114"/>
      <c r="C51" s="114"/>
      <c r="D51" s="128"/>
    </row>
    <row r="52" spans="1:4" s="115" customFormat="1" ht="30" customHeight="1">
      <c r="A52" s="111"/>
      <c r="B52" s="114"/>
      <c r="C52" s="114"/>
      <c r="D52" s="128"/>
    </row>
    <row r="53" spans="1:4" s="115" customFormat="1" ht="30" customHeight="1">
      <c r="A53" s="111"/>
      <c r="B53" s="114"/>
      <c r="C53" s="114"/>
      <c r="D53" s="128"/>
    </row>
    <row r="54" spans="1:4" s="115" customFormat="1" ht="30" customHeight="1">
      <c r="A54" s="111"/>
      <c r="B54" s="114"/>
      <c r="C54" s="114"/>
      <c r="D54" s="128"/>
    </row>
    <row r="55" spans="1:4" s="115" customFormat="1" ht="30" customHeight="1">
      <c r="A55" s="111"/>
      <c r="B55" s="114"/>
      <c r="C55" s="114"/>
      <c r="D55" s="128"/>
    </row>
    <row r="56" spans="1:4" s="115" customFormat="1" ht="30" customHeight="1">
      <c r="A56" s="111"/>
      <c r="B56" s="114"/>
      <c r="C56" s="114"/>
      <c r="D56" s="128"/>
    </row>
    <row r="57" spans="1:4" s="115" customFormat="1" ht="30" customHeight="1">
      <c r="A57" s="111"/>
      <c r="B57" s="114"/>
      <c r="C57" s="114"/>
      <c r="D57" s="128"/>
    </row>
    <row r="58" spans="1:4" s="115" customFormat="1" ht="30" customHeight="1">
      <c r="A58" s="111"/>
      <c r="B58" s="114"/>
      <c r="C58" s="114"/>
      <c r="D58" s="128"/>
    </row>
    <row r="59" spans="1:4" s="115" customFormat="1" ht="30" customHeight="1">
      <c r="A59" s="111"/>
      <c r="B59" s="114"/>
      <c r="C59" s="114"/>
      <c r="D59" s="128"/>
    </row>
    <row r="60" spans="1:4" s="115" customFormat="1" ht="30" customHeight="1">
      <c r="A60" s="111"/>
      <c r="B60" s="114"/>
      <c r="C60" s="114"/>
      <c r="D60" s="128"/>
    </row>
    <row r="61" spans="1:4" s="115" customFormat="1" ht="30" customHeight="1">
      <c r="A61" s="111"/>
      <c r="B61" s="114"/>
      <c r="C61" s="114"/>
      <c r="D61" s="128"/>
    </row>
    <row r="62" spans="1:4" s="115" customFormat="1" ht="30" customHeight="1">
      <c r="A62" s="111"/>
      <c r="B62" s="114"/>
      <c r="C62" s="114"/>
      <c r="D62" s="128"/>
    </row>
    <row r="63" spans="1:4" s="115" customFormat="1" ht="30" customHeight="1">
      <c r="A63" s="111"/>
      <c r="B63" s="114"/>
      <c r="C63" s="114"/>
      <c r="D63" s="128"/>
    </row>
    <row r="64" spans="1:4" s="115" customFormat="1" ht="30" customHeight="1">
      <c r="A64" s="111"/>
      <c r="B64" s="114"/>
      <c r="C64" s="114"/>
      <c r="D64" s="128"/>
    </row>
    <row r="65" spans="1:4" s="115" customFormat="1" ht="30" customHeight="1">
      <c r="A65" s="111"/>
      <c r="B65" s="114"/>
      <c r="C65" s="114"/>
      <c r="D65" s="128"/>
    </row>
    <row r="66" spans="1:4" s="115" customFormat="1" ht="30" customHeight="1">
      <c r="A66" s="111"/>
      <c r="B66" s="114"/>
      <c r="C66" s="114"/>
      <c r="D66" s="128"/>
    </row>
    <row r="67" spans="1:4" s="115" customFormat="1" ht="30" customHeight="1">
      <c r="A67" s="111"/>
      <c r="B67" s="114"/>
      <c r="C67" s="114"/>
      <c r="D67" s="128"/>
    </row>
    <row r="68" spans="1:4" s="115" customFormat="1" ht="30" customHeight="1">
      <c r="A68" s="111"/>
      <c r="B68" s="114"/>
      <c r="C68" s="114"/>
      <c r="D68" s="128"/>
    </row>
    <row r="69" spans="1:4" s="115" customFormat="1" ht="30" customHeight="1">
      <c r="A69" s="111"/>
      <c r="B69" s="114"/>
      <c r="C69" s="114"/>
      <c r="D69" s="128"/>
    </row>
    <row r="70" spans="1:4" s="115" customFormat="1" ht="30" customHeight="1">
      <c r="A70" s="111"/>
      <c r="B70" s="114"/>
      <c r="C70" s="114"/>
      <c r="D70" s="128"/>
    </row>
    <row r="71" spans="1:4" s="115" customFormat="1" ht="30" customHeight="1">
      <c r="A71" s="111"/>
      <c r="B71" s="114"/>
      <c r="C71" s="114"/>
      <c r="D71" s="128"/>
    </row>
    <row r="72" spans="1:4" s="115" customFormat="1" ht="30" customHeight="1">
      <c r="A72" s="111"/>
      <c r="B72" s="114"/>
      <c r="C72" s="114"/>
      <c r="D72" s="128"/>
    </row>
    <row r="73" spans="1:4" s="115" customFormat="1" ht="30" customHeight="1">
      <c r="A73" s="111"/>
      <c r="B73" s="114"/>
      <c r="C73" s="114"/>
      <c r="D73" s="128"/>
    </row>
    <row r="74" spans="1:4" s="115" customFormat="1" ht="30" customHeight="1">
      <c r="A74" s="111"/>
      <c r="B74" s="114"/>
      <c r="C74" s="114"/>
      <c r="D74" s="128"/>
    </row>
    <row r="75" spans="1:4" s="115" customFormat="1" ht="30" customHeight="1">
      <c r="A75" s="111"/>
      <c r="B75" s="114"/>
      <c r="C75" s="114"/>
      <c r="D75" s="128"/>
    </row>
    <row r="76" spans="1:4" s="115" customFormat="1" ht="30" customHeight="1">
      <c r="A76" s="111"/>
      <c r="B76" s="114"/>
      <c r="C76" s="114"/>
      <c r="D76" s="128"/>
    </row>
    <row r="77" spans="1:4" s="115" customFormat="1" ht="30" customHeight="1">
      <c r="A77" s="111"/>
      <c r="B77" s="114"/>
      <c r="C77" s="114"/>
      <c r="D77" s="128"/>
    </row>
    <row r="78" spans="1:4" s="115" customFormat="1" ht="30" customHeight="1">
      <c r="A78" s="111"/>
      <c r="B78" s="114"/>
      <c r="C78" s="114"/>
      <c r="D78" s="128"/>
    </row>
    <row r="79" spans="1:4" s="115" customFormat="1" ht="30" customHeight="1">
      <c r="A79" s="111"/>
      <c r="B79" s="114"/>
      <c r="C79" s="114"/>
      <c r="D79" s="128"/>
    </row>
    <row r="80" spans="1:4" s="115" customFormat="1" ht="30" customHeight="1">
      <c r="A80" s="111"/>
      <c r="B80" s="114"/>
      <c r="C80" s="114"/>
      <c r="D80" s="128"/>
    </row>
    <row r="81" spans="1:4" s="115" customFormat="1" ht="30" customHeight="1">
      <c r="A81" s="111"/>
      <c r="B81" s="114"/>
      <c r="C81" s="114"/>
      <c r="D81" s="128"/>
    </row>
    <row r="82" spans="1:4" s="115" customFormat="1" ht="30" customHeight="1">
      <c r="A82" s="111"/>
      <c r="B82" s="114"/>
      <c r="C82" s="114"/>
      <c r="D82" s="128"/>
    </row>
    <row r="83" spans="1:4" s="115" customFormat="1" ht="30" customHeight="1">
      <c r="A83" s="111"/>
      <c r="B83" s="114"/>
      <c r="C83" s="114"/>
      <c r="D83" s="128"/>
    </row>
    <row r="84" spans="1:4" s="115" customFormat="1" ht="30" customHeight="1">
      <c r="A84" s="111"/>
      <c r="B84" s="114"/>
      <c r="C84" s="114"/>
      <c r="D84" s="128"/>
    </row>
    <row r="85" spans="1:4" s="115" customFormat="1" ht="30" customHeight="1">
      <c r="A85" s="111"/>
      <c r="B85" s="114"/>
      <c r="C85" s="114"/>
      <c r="D85" s="128"/>
    </row>
    <row r="86" spans="1:4" s="115" customFormat="1" ht="30" customHeight="1">
      <c r="A86" s="111"/>
      <c r="B86" s="114"/>
      <c r="C86" s="114"/>
      <c r="D86" s="128"/>
    </row>
    <row r="87" spans="1:4" s="115" customFormat="1" ht="30" customHeight="1">
      <c r="A87" s="111"/>
      <c r="B87" s="114"/>
      <c r="C87" s="114"/>
      <c r="D87" s="128"/>
    </row>
    <row r="88" spans="1:4" s="115" customFormat="1" ht="30" customHeight="1">
      <c r="A88" s="111"/>
      <c r="B88" s="114"/>
      <c r="C88" s="114"/>
      <c r="D88" s="128"/>
    </row>
    <row r="89" spans="1:4" s="115" customFormat="1" ht="30" customHeight="1">
      <c r="A89" s="111"/>
      <c r="B89" s="114"/>
      <c r="C89" s="114"/>
      <c r="D89" s="128"/>
    </row>
    <row r="90" spans="1:4" s="115" customFormat="1" ht="30" customHeight="1">
      <c r="A90" s="111"/>
      <c r="B90" s="114"/>
      <c r="C90" s="114"/>
      <c r="D90" s="128"/>
    </row>
    <row r="91" spans="1:4" s="115" customFormat="1" ht="30" customHeight="1">
      <c r="A91" s="111"/>
      <c r="B91" s="114"/>
      <c r="C91" s="114"/>
      <c r="D91" s="128"/>
    </row>
    <row r="92" spans="1:4" s="115" customFormat="1" ht="30" customHeight="1">
      <c r="A92" s="111"/>
      <c r="B92" s="114"/>
      <c r="C92" s="114"/>
      <c r="D92" s="128"/>
    </row>
    <row r="93" spans="1:4" s="115" customFormat="1" ht="30" customHeight="1">
      <c r="A93" s="111"/>
      <c r="B93" s="114"/>
      <c r="C93" s="114"/>
      <c r="D93" s="128"/>
    </row>
    <row r="94" spans="1:4" s="115" customFormat="1" ht="30" customHeight="1">
      <c r="A94" s="111"/>
      <c r="B94" s="114"/>
      <c r="C94" s="114"/>
      <c r="D94" s="128"/>
    </row>
    <row r="95" spans="1:4" s="115" customFormat="1" ht="30" customHeight="1">
      <c r="A95" s="111"/>
      <c r="B95" s="114"/>
      <c r="C95" s="114"/>
      <c r="D95" s="128"/>
    </row>
    <row r="96" spans="1:4" s="115" customFormat="1" ht="30" customHeight="1">
      <c r="A96" s="111"/>
      <c r="B96" s="114"/>
      <c r="C96" s="114"/>
      <c r="D96" s="128"/>
    </row>
    <row r="97" spans="1:4" s="115" customFormat="1" ht="30" customHeight="1">
      <c r="A97" s="111"/>
      <c r="B97" s="114"/>
      <c r="C97" s="114"/>
      <c r="D97" s="128"/>
    </row>
    <row r="98" spans="1:4" s="115" customFormat="1" ht="30" customHeight="1">
      <c r="A98" s="111"/>
      <c r="B98" s="114"/>
      <c r="C98" s="114"/>
      <c r="D98" s="128"/>
    </row>
    <row r="99" spans="1:4" s="115" customFormat="1" ht="30" customHeight="1">
      <c r="A99" s="111"/>
      <c r="B99" s="114"/>
      <c r="C99" s="114"/>
      <c r="D99" s="128"/>
    </row>
    <row r="100" spans="1:4" s="115" customFormat="1" ht="30" customHeight="1">
      <c r="A100" s="111"/>
      <c r="B100" s="114"/>
      <c r="C100" s="114"/>
      <c r="D100" s="128"/>
    </row>
  </sheetData>
  <sheetProtection algorithmName="SHA-512" hashValue="R7kqzyPBVEeNY/kx6Ll7ZpfWHZ7PpOyaDF2wY7ZsIX0LaoAjwsG6U0YnGpBT7a0/1N9G/pkbDP+jKhmNXkNpvA==" saltValue="0StmX7E+nT/wxNLEOfk0Xw==" spinCount="100000" sheet="1" objects="1" scenarios="1"/>
  <mergeCells count="1">
    <mergeCell ref="A1:D1"/>
  </mergeCells>
  <phoneticPr fontId="46" type="noConversion"/>
  <pageMargins left="0.7" right="0.7" top="0.75" bottom="0.75" header="0.3" footer="0.3"/>
  <pageSetup scale="7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35F65-11CE-4C1B-8A60-0507D2F657D2}">
  <sheetPr codeName="Sheet8"/>
  <dimension ref="A1:AQ373"/>
  <sheetViews>
    <sheetView zoomScale="85" zoomScaleNormal="85" workbookViewId="0"/>
  </sheetViews>
  <sheetFormatPr defaultRowHeight="15.75"/>
  <cols>
    <col min="1" max="1" width="23" customWidth="1"/>
    <col min="2" max="2" width="32" customWidth="1"/>
    <col min="3" max="3" width="23.5" customWidth="1"/>
    <col min="4" max="4" width="19.125" customWidth="1"/>
    <col min="5" max="5" width="20.5" customWidth="1"/>
    <col min="6" max="6" width="18.75" customWidth="1"/>
    <col min="7" max="7" width="23.25" customWidth="1"/>
    <col min="8" max="8" width="13" customWidth="1"/>
    <col min="9" max="9" width="22.5" customWidth="1"/>
    <col min="10" max="10" width="19.25" customWidth="1"/>
    <col min="11" max="11" width="8.875" customWidth="1"/>
    <col min="15" max="15" width="27.75" customWidth="1"/>
    <col min="16" max="16" width="16.25" customWidth="1"/>
    <col min="18" max="18" width="20.375" customWidth="1"/>
    <col min="19" max="19" width="13.25" customWidth="1"/>
    <col min="20" max="20" width="28.375" bestFit="1" customWidth="1"/>
    <col min="22" max="22" width="18.625" customWidth="1"/>
    <col min="23" max="23" width="17.5" customWidth="1"/>
    <col min="24" max="24" width="17.125" customWidth="1"/>
    <col min="25" max="25" width="15.625" customWidth="1"/>
    <col min="26" max="26" width="14.25" customWidth="1"/>
    <col min="27" max="29" width="15.625" customWidth="1"/>
    <col min="31" max="31" width="14.125" customWidth="1"/>
    <col min="33" max="33" width="22.5" customWidth="1"/>
    <col min="34" max="34" width="9" customWidth="1"/>
    <col min="36" max="36" width="28.625" bestFit="1" customWidth="1"/>
    <col min="42" max="42" width="16.25" customWidth="1"/>
    <col min="43" max="43" width="23.25" customWidth="1"/>
  </cols>
  <sheetData>
    <row r="1" spans="1:43" s="2" customFormat="1" ht="200.25" customHeight="1">
      <c r="A1" s="12" t="s">
        <v>44</v>
      </c>
      <c r="B1" s="12" t="s">
        <v>45</v>
      </c>
      <c r="C1" s="14" t="s">
        <v>46</v>
      </c>
      <c r="D1" s="14" t="s">
        <v>47</v>
      </c>
      <c r="E1" s="14" t="s">
        <v>48</v>
      </c>
      <c r="F1" s="14" t="s">
        <v>49</v>
      </c>
      <c r="G1" s="14" t="s">
        <v>50</v>
      </c>
      <c r="H1" s="14" t="s">
        <v>51</v>
      </c>
      <c r="I1" s="14" t="s">
        <v>52</v>
      </c>
      <c r="J1" s="14" t="s">
        <v>53</v>
      </c>
      <c r="K1" s="12" t="s">
        <v>54</v>
      </c>
      <c r="L1" s="12" t="s">
        <v>55</v>
      </c>
      <c r="M1" s="12" t="s">
        <v>56</v>
      </c>
      <c r="N1" s="16" t="s">
        <v>57</v>
      </c>
      <c r="O1" s="16" t="s">
        <v>58</v>
      </c>
      <c r="P1" s="16" t="s">
        <v>59</v>
      </c>
      <c r="Q1" s="18" t="s">
        <v>60</v>
      </c>
      <c r="R1" s="18" t="s">
        <v>61</v>
      </c>
      <c r="S1" s="20" t="s">
        <v>62</v>
      </c>
      <c r="T1" s="20" t="s">
        <v>63</v>
      </c>
      <c r="U1" s="20" t="s">
        <v>64</v>
      </c>
      <c r="V1" s="20" t="s">
        <v>65</v>
      </c>
      <c r="W1" s="20" t="s">
        <v>66</v>
      </c>
      <c r="X1" s="20" t="s">
        <v>67</v>
      </c>
      <c r="Y1" s="20" t="s">
        <v>68</v>
      </c>
      <c r="Z1" s="20" t="s">
        <v>69</v>
      </c>
      <c r="AA1" s="20" t="s">
        <v>70</v>
      </c>
      <c r="AB1" s="20" t="s">
        <v>71</v>
      </c>
      <c r="AC1" s="23" t="s">
        <v>72</v>
      </c>
      <c r="AD1" s="24" t="s">
        <v>73</v>
      </c>
      <c r="AE1" s="24" t="s">
        <v>74</v>
      </c>
      <c r="AF1" s="26" t="s">
        <v>75</v>
      </c>
      <c r="AG1" s="26" t="s">
        <v>76</v>
      </c>
      <c r="AH1" s="26" t="s">
        <v>77</v>
      </c>
      <c r="AI1" s="26" t="s">
        <v>78</v>
      </c>
      <c r="AJ1" s="26" t="s">
        <v>79</v>
      </c>
      <c r="AK1" s="26" t="s">
        <v>80</v>
      </c>
      <c r="AL1" s="26" t="s">
        <v>81</v>
      </c>
      <c r="AM1" s="26" t="s">
        <v>82</v>
      </c>
      <c r="AN1" s="26" t="s">
        <v>83</v>
      </c>
      <c r="AO1" s="26" t="s">
        <v>84</v>
      </c>
      <c r="AP1" s="14" t="s">
        <v>85</v>
      </c>
      <c r="AQ1" s="14" t="s">
        <v>86</v>
      </c>
    </row>
    <row r="2" spans="1:43">
      <c r="A2" s="13" t="str">
        <f>IF(K2 = "","",Integrator)</f>
        <v>Mino</v>
      </c>
      <c r="B2" s="13" t="str">
        <f>IF(K2 = "","",IntegratorResponsibleEngineer)</f>
        <v>wei  jiang</v>
      </c>
      <c r="C2" s="15" t="str">
        <f>IF(K2 = "","","++" &amp; Shop)</f>
        <v>++BL03</v>
      </c>
      <c r="D2" s="15" t="str">
        <f>IF(K2 = "","","++" &amp; Line)</f>
        <v>++FFLR</v>
      </c>
      <c r="E2" s="15" t="str">
        <f>IF(K2 = "","",LineDescription)</f>
        <v>Front Floor</v>
      </c>
      <c r="F2" s="15" t="str">
        <f>IF(K2 = "","","+" &amp; Station)</f>
        <v>+010</v>
      </c>
      <c r="G2" s="15" t="str">
        <f>IF(K2 = "","",StationDescription)</f>
        <v>Station 010</v>
      </c>
      <c r="H2" s="15" t="str">
        <f>IF(K2 = "","",IF(System = "", "", "+" &amp; System) &amp; IF(Tool = "", "", "+" &amp; Tool))</f>
        <v>+UA1</v>
      </c>
      <c r="I2" s="15" t="str">
        <f>IF(K2 = "","",ToolDescription)</f>
        <v>Fixture</v>
      </c>
      <c r="J2" s="15" t="str">
        <f>IF(K2 = "","",ToolType)</f>
        <v>Fixture</v>
      </c>
      <c r="K2" s="13" t="str">
        <f>IF('Cylinder Detail'!U4=0,"",'Cylinder Detail'!U4)</f>
        <v>=KJ1</v>
      </c>
      <c r="L2" s="13" t="str">
        <f>IF('Cylinder Detail'!Z4=0,"",_xlfn.TEXTBEFORE('Cylinder Detail'!Z4, ","))</f>
        <v>SY7000</v>
      </c>
      <c r="M2" s="13" t="str">
        <f>IF(K2 = "","",ManifoldConnection)</f>
        <v>M12 5-Pin</v>
      </c>
      <c r="N2" s="17" t="str">
        <f>IF('Cylinder Detail'!V4=0,"",'Cylinder Detail'!V4)</f>
        <v>-QMB1</v>
      </c>
      <c r="O2" s="17" t="str">
        <f>IF('Cylinder Detail'!Z4=0,"",_xlfn.TEXTAFTER('Cylinder Detail'!Z4, ", "))</f>
        <v>2 position, double</v>
      </c>
      <c r="P2" s="17" t="str">
        <f>IF('Cylinder Detail'!AA4=0,"",'Cylinder Detail'!AA4)</f>
        <v>SY7200-5U1-NA</v>
      </c>
      <c r="Q2" s="19" t="str">
        <f>IF('Cylinder Detail'!W4=0,"",'Cylinder Detail'!W4)</f>
        <v>=MM1</v>
      </c>
      <c r="R2" s="19" t="str">
        <f>IF('Cylinder Detail'!Y4=0,"",'Cylinder Detail'!Y4)</f>
        <v>Group 1 Clamps</v>
      </c>
      <c r="S2" s="21" t="str">
        <f>IF('Cylinder Detail'!X4=0,"",'Cylinder Detail'!X4)</f>
        <v>-MMB1</v>
      </c>
      <c r="T2" s="21" t="str">
        <f>IF('Cylinder Detail'!F4=0,"",'Cylinder Detail'!F4)</f>
        <v>Clamp with two internal sensors</v>
      </c>
      <c r="U2" s="21" t="str">
        <f>IF('Cylinder Detail'!R4=0,"",'Cylinder Detail'!R4)</f>
        <v>Retracted</v>
      </c>
      <c r="V2" s="21" t="str">
        <f>IF('Cylinder Detail'!Q4=0,"",'Cylinder Detail'!Q4)</f>
        <v>CKZ5N63TF-105DTF</v>
      </c>
      <c r="W2" s="21" t="str">
        <f>IF('Cylinder Detail'!E4=0,"","+" &amp; 'Cylinder Detail'!E4)</f>
        <v>+U2.1L</v>
      </c>
      <c r="X2" s="21" t="str">
        <f>IF(W2 = "", "","Unit ") &amp;W2</f>
        <v>Unit +U2.1L</v>
      </c>
      <c r="Y2" s="21" t="str">
        <f>IF('Cylinder Detail'!S4=0,"",'Cylinder Detail'!S4)</f>
        <v/>
      </c>
      <c r="Z2" s="21" t="str">
        <f>IF('Cylinder Detail'!T4=0,"",'Cylinder Detail'!T4)</f>
        <v/>
      </c>
      <c r="AA2" s="21">
        <f>IF('Cylinder Detail'!H4=0,"",'Cylinder Detail'!H4)</f>
        <v>63</v>
      </c>
      <c r="AB2" s="21">
        <f>IF('Cylinder Detail'!I4=0,"",'Cylinder Detail'!I4)</f>
        <v>72.400000000000006</v>
      </c>
      <c r="AC2" s="22">
        <f>IF('Cylinder Detail'!AB4=0,"",'Cylinder Detail'!AB4)</f>
        <v>10</v>
      </c>
      <c r="AD2" s="25" t="str">
        <f>IF('Sensor Detail'!F4=0,"","=" &amp; 'Sensor Detail'!F4)</f>
        <v>=BG1</v>
      </c>
      <c r="AE2" s="25" t="str">
        <f>IF('Sensor Detail'!H4=0,"",'Sensor Detail'!H4)</f>
        <v>PANEL - ROCKER LOWER INNER ASSY; LH</v>
      </c>
      <c r="AF2" s="27" t="str">
        <f>IF('Sensor Detail'!G4=0,"","-" &amp; 'Sensor Detail'!G4)</f>
        <v>-BGB1</v>
      </c>
      <c r="AG2" s="27" t="str">
        <f>IF('Sensor Detail'!I4=0,"",'Sensor Detail'!I4)</f>
        <v>PANEL - ROCKER LOWER INNER ASSY; LH</v>
      </c>
      <c r="AH2" s="27" t="str">
        <f>IF('Sensor Detail'!E4=0,"","+" &amp; 'Sensor Detail'!E4)</f>
        <v>+U12.2L</v>
      </c>
      <c r="AI2" s="27" t="str">
        <f>IF(AH2 = "", "","Unit ") &amp;AH2</f>
        <v>Unit +U12.2L</v>
      </c>
      <c r="AJ2" s="27">
        <f>IF('Sensor Detail'!J4=0,"",'Sensor Detail'!J4)</f>
        <v>264611</v>
      </c>
      <c r="AK2" s="27" t="str">
        <f>IF('Sensor Detail'!K4=0,"",'Sensor Detail'!K4)</f>
        <v>Inductive Proximity</v>
      </c>
      <c r="AL2" s="27" t="str">
        <f>IF('Sensor Detail'!L4=0,"",'Sensor Detail'!L4)</f>
        <v>Normally Open (N.O.)</v>
      </c>
      <c r="AM2" s="27" t="str">
        <f>IF('Sensor Detail'!M4=0,"",'Sensor Detail'!M4)</f>
        <v/>
      </c>
      <c r="AN2" s="27">
        <f>IF('Sensor Detail'!N4=0,"",'Sensor Detail'!N4)</f>
        <v>8</v>
      </c>
      <c r="AO2" s="27" t="str">
        <f>IF('Sensor Detail'!O4=0,"",'Sensor Detail'!O4)</f>
        <v>Tubular</v>
      </c>
      <c r="AP2" s="15">
        <f>IF(K2 = "","",System)</f>
        <v>0</v>
      </c>
      <c r="AQ2" s="15">
        <f>IF(K2 = "","",SystemDescription)</f>
        <v>0</v>
      </c>
    </row>
    <row r="3" spans="1:43">
      <c r="A3" s="13" t="str">
        <f t="shared" ref="A3:A66" si="0">IF(K3 = "","",Integrator)</f>
        <v>Mino</v>
      </c>
      <c r="B3" s="13" t="str">
        <f t="shared" ref="B3:B66" si="1">IF(K3 = "","",IntegratorResponsibleEngineer)</f>
        <v>wei  jiang</v>
      </c>
      <c r="C3" s="15" t="str">
        <f t="shared" ref="C3:C66" si="2">IF(K3 = "","","++" &amp; Shop)</f>
        <v>++BL03</v>
      </c>
      <c r="D3" s="15" t="str">
        <f t="shared" ref="D3:D66" si="3">IF(K3 = "","","++" &amp; Line)</f>
        <v>++FFLR</v>
      </c>
      <c r="E3" s="15" t="str">
        <f t="shared" ref="E3:E66" si="4">IF(K3 = "","",LineDescription)</f>
        <v>Front Floor</v>
      </c>
      <c r="F3" s="15" t="str">
        <f t="shared" ref="F3:F66" si="5">IF(K3 = "","","+" &amp; Station)</f>
        <v>+010</v>
      </c>
      <c r="G3" s="15" t="str">
        <f t="shared" ref="G3:G66" si="6">IF(K3 = "","",StationDescription)</f>
        <v>Station 010</v>
      </c>
      <c r="H3" s="15" t="str">
        <f t="shared" ref="H3:H66" si="7">IF(K3 = "","",IF(System = "", "", "+" &amp; System) &amp; IF(Tool = "", "", "+" &amp; Tool))</f>
        <v>+UA1</v>
      </c>
      <c r="I3" s="15" t="str">
        <f t="shared" ref="I3:I66" si="8">IF(K3 = "","",ToolDescription)</f>
        <v>Fixture</v>
      </c>
      <c r="J3" s="15" t="str">
        <f t="shared" ref="J3:J66" si="9">IF(K3 = "","",ToolType)</f>
        <v>Fixture</v>
      </c>
      <c r="K3" s="13" t="str">
        <f>IF('Cylinder Detail'!U5=0,"",'Cylinder Detail'!U5)</f>
        <v>=KJ1</v>
      </c>
      <c r="L3" s="13" t="str">
        <f>IF('Cylinder Detail'!Z5=0,"",_xlfn.TEXTBEFORE('Cylinder Detail'!Z5, ","))</f>
        <v>SY7000</v>
      </c>
      <c r="M3" s="13" t="str">
        <f t="shared" ref="M3:M66" si="10">IF(K3 = "","",ManifoldConnection)</f>
        <v>M12 5-Pin</v>
      </c>
      <c r="N3" s="17" t="str">
        <f>IF('Cylinder Detail'!V5=0,"",'Cylinder Detail'!V5)</f>
        <v>-QMB1</v>
      </c>
      <c r="O3" s="17" t="str">
        <f>IF('Cylinder Detail'!Z5=0,"",_xlfn.TEXTAFTER('Cylinder Detail'!Z5, ", "))</f>
        <v>2 position, double</v>
      </c>
      <c r="P3" s="17" t="str">
        <f>IF('Cylinder Detail'!AA5=0,"",'Cylinder Detail'!AA5)</f>
        <v>SY7200-5U1-NA</v>
      </c>
      <c r="Q3" s="19" t="str">
        <f>IF('Cylinder Detail'!W5=0,"",'Cylinder Detail'!W5)</f>
        <v>=MM1</v>
      </c>
      <c r="R3" s="19" t="str">
        <f>IF('Cylinder Detail'!Y5=0,"",'Cylinder Detail'!Y5)</f>
        <v>Group 1 Clamps</v>
      </c>
      <c r="S3" s="21" t="str">
        <f>IF('Cylinder Detail'!X5=0,"",'Cylinder Detail'!X5)</f>
        <v>-MMB2</v>
      </c>
      <c r="T3" s="21" t="str">
        <f>IF('Cylinder Detail'!F5=0,"",'Cylinder Detail'!F5)</f>
        <v>Clamp with two internal sensors</v>
      </c>
      <c r="U3" s="21" t="str">
        <f>IF('Cylinder Detail'!R5=0,"",'Cylinder Detail'!R5)</f>
        <v>Retracted</v>
      </c>
      <c r="V3" s="21" t="str">
        <f>IF('Cylinder Detail'!Q5=0,"",'Cylinder Detail'!Q5)</f>
        <v>CKZ5N63TF-105DTF</v>
      </c>
      <c r="W3" s="21" t="str">
        <f>IF('Cylinder Detail'!E5=0,"","+" &amp; 'Cylinder Detail'!E5)</f>
        <v>+U3.1L</v>
      </c>
      <c r="X3" s="21" t="str">
        <f t="shared" ref="X3:X66" si="11">IF(W3 = "", "","Unit ") &amp;W3</f>
        <v>Unit +U3.1L</v>
      </c>
      <c r="Y3" s="21" t="str">
        <f>IF('Cylinder Detail'!S5=0,"",'Cylinder Detail'!S5)</f>
        <v/>
      </c>
      <c r="Z3" s="21" t="str">
        <f>IF('Cylinder Detail'!T5=0,"",'Cylinder Detail'!T5)</f>
        <v/>
      </c>
      <c r="AA3" s="21">
        <f>IF('Cylinder Detail'!H5=0,"",'Cylinder Detail'!H5)</f>
        <v>63</v>
      </c>
      <c r="AB3" s="21">
        <f>IF('Cylinder Detail'!I5=0,"",'Cylinder Detail'!I5)</f>
        <v>72.400000000000006</v>
      </c>
      <c r="AC3" s="22">
        <f>IF('Cylinder Detail'!AB5=0,"",'Cylinder Detail'!AB5)</f>
        <v>10</v>
      </c>
      <c r="AD3" s="25" t="str">
        <f>IF('Sensor Detail'!F5=0,"","=" &amp; 'Sensor Detail'!F5)</f>
        <v>=BG1</v>
      </c>
      <c r="AE3" s="25" t="str">
        <f>IF('Sensor Detail'!H5=0,"",'Sensor Detail'!H5)</f>
        <v>PANEL - ROCKER LOWER INNER ASSY; LH</v>
      </c>
      <c r="AF3" s="27" t="str">
        <f>IF('Sensor Detail'!G5=0,"","-" &amp; 'Sensor Detail'!G5)</f>
        <v>-BGB2</v>
      </c>
      <c r="AG3" s="27" t="str">
        <f>IF('Sensor Detail'!I5=0,"",'Sensor Detail'!I5)</f>
        <v>PANEL - ROCKER LOWER INNER ASSY; LH</v>
      </c>
      <c r="AH3" s="27" t="str">
        <f>IF('Sensor Detail'!E5=0,"","+" &amp; 'Sensor Detail'!E5)</f>
        <v>+U6.3L</v>
      </c>
      <c r="AI3" s="27" t="str">
        <f t="shared" ref="AI3:AI66" si="12">IF(AH3 = "", "","Unit ") &amp;AH3</f>
        <v>Unit +U6.3L</v>
      </c>
      <c r="AJ3" s="27">
        <f>IF('Sensor Detail'!J5=0,"",'Sensor Detail'!J5)</f>
        <v>264611</v>
      </c>
      <c r="AK3" s="27" t="str">
        <f>IF('Sensor Detail'!K5=0,"",'Sensor Detail'!K5)</f>
        <v>Inductive Proximity</v>
      </c>
      <c r="AL3" s="27" t="str">
        <f>IF('Sensor Detail'!L5=0,"",'Sensor Detail'!L5)</f>
        <v>Normally Open (N.O.)</v>
      </c>
      <c r="AM3" s="27" t="str">
        <f>IF('Sensor Detail'!M5=0,"",'Sensor Detail'!M5)</f>
        <v/>
      </c>
      <c r="AN3" s="27">
        <f>IF('Sensor Detail'!N5=0,"",'Sensor Detail'!N5)</f>
        <v>8</v>
      </c>
      <c r="AO3" s="27" t="str">
        <f>IF('Sensor Detail'!O5=0,"",'Sensor Detail'!O5)</f>
        <v>Tubular</v>
      </c>
      <c r="AP3" s="15">
        <f t="shared" ref="AP3:AP66" si="13">IF(K3 = "","",System)</f>
        <v>0</v>
      </c>
      <c r="AQ3" s="15">
        <f t="shared" ref="AQ3:AQ66" si="14">IF(K3 = "","",SystemDescription)</f>
        <v>0</v>
      </c>
    </row>
    <row r="4" spans="1:43">
      <c r="A4" s="13" t="str">
        <f t="shared" si="0"/>
        <v>Mino</v>
      </c>
      <c r="B4" s="13" t="str">
        <f t="shared" si="1"/>
        <v>wei  jiang</v>
      </c>
      <c r="C4" s="15" t="str">
        <f t="shared" si="2"/>
        <v>++BL03</v>
      </c>
      <c r="D4" s="15" t="str">
        <f t="shared" si="3"/>
        <v>++FFLR</v>
      </c>
      <c r="E4" s="15" t="str">
        <f t="shared" si="4"/>
        <v>Front Floor</v>
      </c>
      <c r="F4" s="15" t="str">
        <f t="shared" si="5"/>
        <v>+010</v>
      </c>
      <c r="G4" s="15" t="str">
        <f t="shared" si="6"/>
        <v>Station 010</v>
      </c>
      <c r="H4" s="15" t="str">
        <f t="shared" si="7"/>
        <v>+UA1</v>
      </c>
      <c r="I4" s="15" t="str">
        <f t="shared" si="8"/>
        <v>Fixture</v>
      </c>
      <c r="J4" s="15" t="str">
        <f t="shared" si="9"/>
        <v>Fixture</v>
      </c>
      <c r="K4" s="13" t="str">
        <f>IF('Cylinder Detail'!U6=0,"",'Cylinder Detail'!U6)</f>
        <v>=KJ1</v>
      </c>
      <c r="L4" s="13" t="str">
        <f>IF('Cylinder Detail'!Z6=0,"",_xlfn.TEXTBEFORE('Cylinder Detail'!Z6, ","))</f>
        <v>SY7000</v>
      </c>
      <c r="M4" s="13" t="str">
        <f t="shared" si="10"/>
        <v>M12 5-Pin</v>
      </c>
      <c r="N4" s="17" t="str">
        <f>IF('Cylinder Detail'!V6=0,"",'Cylinder Detail'!V6)</f>
        <v>-QMB1</v>
      </c>
      <c r="O4" s="17" t="str">
        <f>IF('Cylinder Detail'!Z6=0,"",_xlfn.TEXTAFTER('Cylinder Detail'!Z6, ", "))</f>
        <v>2 position, double</v>
      </c>
      <c r="P4" s="17" t="str">
        <f>IF('Cylinder Detail'!AA6=0,"",'Cylinder Detail'!AA6)</f>
        <v>SY7200-5U1-NA</v>
      </c>
      <c r="Q4" s="19" t="str">
        <f>IF('Cylinder Detail'!W6=0,"",'Cylinder Detail'!W6)</f>
        <v>=MM1</v>
      </c>
      <c r="R4" s="19" t="str">
        <f>IF('Cylinder Detail'!Y6=0,"",'Cylinder Detail'!Y6)</f>
        <v>Group 1 Clamps</v>
      </c>
      <c r="S4" s="21" t="str">
        <f>IF('Cylinder Detail'!X6=0,"",'Cylinder Detail'!X6)</f>
        <v>-MMB3</v>
      </c>
      <c r="T4" s="21" t="str">
        <f>IF('Cylinder Detail'!F6=0,"",'Cylinder Detail'!F6)</f>
        <v>Clamp with two internal sensors</v>
      </c>
      <c r="U4" s="21" t="str">
        <f>IF('Cylinder Detail'!R6=0,"",'Cylinder Detail'!R6)</f>
        <v>Retracted</v>
      </c>
      <c r="V4" s="21" t="str">
        <f>IF('Cylinder Detail'!Q6=0,"",'Cylinder Detail'!Q6)</f>
        <v>CKZ5N63TF-120DTF</v>
      </c>
      <c r="W4" s="21" t="str">
        <f>IF('Cylinder Detail'!E6=0,"","+" &amp; 'Cylinder Detail'!E6)</f>
        <v>+U4.1L</v>
      </c>
      <c r="X4" s="21" t="str">
        <f t="shared" si="11"/>
        <v>Unit +U4.1L</v>
      </c>
      <c r="Y4" s="21" t="str">
        <f>IF('Cylinder Detail'!S6=0,"",'Cylinder Detail'!S6)</f>
        <v/>
      </c>
      <c r="Z4" s="21" t="str">
        <f>IF('Cylinder Detail'!T6=0,"",'Cylinder Detail'!T6)</f>
        <v/>
      </c>
      <c r="AA4" s="21">
        <f>IF('Cylinder Detail'!H6=0,"",'Cylinder Detail'!H6)</f>
        <v>63</v>
      </c>
      <c r="AB4" s="21">
        <f>IF('Cylinder Detail'!I6=0,"",'Cylinder Detail'!I6)</f>
        <v>79.400000000000006</v>
      </c>
      <c r="AC4" s="22">
        <f>IF('Cylinder Detail'!AB6=0,"",'Cylinder Detail'!AB6)</f>
        <v>10</v>
      </c>
      <c r="AD4" s="25" t="str">
        <f>IF('Sensor Detail'!F6=0,"","=" &amp; 'Sensor Detail'!F6)</f>
        <v>=BG2</v>
      </c>
      <c r="AE4" s="25" t="str">
        <f>IF('Sensor Detail'!H6=0,"",'Sensor Detail'!H6)</f>
        <v>PANEL - FFLR</v>
      </c>
      <c r="AF4" s="27" t="str">
        <f>IF('Sensor Detail'!G6=0,"","-" &amp; 'Sensor Detail'!G6)</f>
        <v>-BGB1</v>
      </c>
      <c r="AG4" s="27" t="str">
        <f>IF('Sensor Detail'!I6=0,"",'Sensor Detail'!I6)</f>
        <v>PANEL - FFLR</v>
      </c>
      <c r="AH4" s="27" t="str">
        <f>IF('Sensor Detail'!E6=0,"","+" &amp; 'Sensor Detail'!E6)</f>
        <v>+U10.3</v>
      </c>
      <c r="AI4" s="27" t="str">
        <f t="shared" si="12"/>
        <v>Unit +U10.3</v>
      </c>
      <c r="AJ4" s="27">
        <f>IF('Sensor Detail'!J6=0,"",'Sensor Detail'!J6)</f>
        <v>264611</v>
      </c>
      <c r="AK4" s="27" t="str">
        <f>IF('Sensor Detail'!K6=0,"",'Sensor Detail'!K6)</f>
        <v>Inductive Proximity</v>
      </c>
      <c r="AL4" s="27" t="str">
        <f>IF('Sensor Detail'!L6=0,"",'Sensor Detail'!L6)</f>
        <v>Normally Open (N.O.)</v>
      </c>
      <c r="AM4" s="27" t="str">
        <f>IF('Sensor Detail'!M6=0,"",'Sensor Detail'!M6)</f>
        <v/>
      </c>
      <c r="AN4" s="27">
        <f>IF('Sensor Detail'!N6=0,"",'Sensor Detail'!N6)</f>
        <v>8</v>
      </c>
      <c r="AO4" s="27" t="str">
        <f>IF('Sensor Detail'!O6=0,"",'Sensor Detail'!O6)</f>
        <v>Tubular</v>
      </c>
      <c r="AP4" s="15">
        <f t="shared" si="13"/>
        <v>0</v>
      </c>
      <c r="AQ4" s="15">
        <f t="shared" si="14"/>
        <v>0</v>
      </c>
    </row>
    <row r="5" spans="1:43">
      <c r="A5" s="13" t="str">
        <f t="shared" si="0"/>
        <v>Mino</v>
      </c>
      <c r="B5" s="13" t="str">
        <f t="shared" si="1"/>
        <v>wei  jiang</v>
      </c>
      <c r="C5" s="15" t="str">
        <f t="shared" si="2"/>
        <v>++BL03</v>
      </c>
      <c r="D5" s="15" t="str">
        <f t="shared" si="3"/>
        <v>++FFLR</v>
      </c>
      <c r="E5" s="15" t="str">
        <f t="shared" si="4"/>
        <v>Front Floor</v>
      </c>
      <c r="F5" s="15" t="str">
        <f t="shared" si="5"/>
        <v>+010</v>
      </c>
      <c r="G5" s="15" t="str">
        <f t="shared" si="6"/>
        <v>Station 010</v>
      </c>
      <c r="H5" s="15" t="str">
        <f t="shared" si="7"/>
        <v>+UA1</v>
      </c>
      <c r="I5" s="15" t="str">
        <f t="shared" si="8"/>
        <v>Fixture</v>
      </c>
      <c r="J5" s="15" t="str">
        <f t="shared" si="9"/>
        <v>Fixture</v>
      </c>
      <c r="K5" s="13" t="str">
        <f>IF('Cylinder Detail'!U7=0,"",'Cylinder Detail'!U7)</f>
        <v>=KJ1</v>
      </c>
      <c r="L5" s="13" t="str">
        <f>IF('Cylinder Detail'!Z7=0,"",_xlfn.TEXTBEFORE('Cylinder Detail'!Z7, ","))</f>
        <v>SY7000</v>
      </c>
      <c r="M5" s="13" t="str">
        <f t="shared" si="10"/>
        <v>M12 5-Pin</v>
      </c>
      <c r="N5" s="17" t="str">
        <f>IF('Cylinder Detail'!V7=0,"",'Cylinder Detail'!V7)</f>
        <v>-QMB1</v>
      </c>
      <c r="O5" s="17" t="str">
        <f>IF('Cylinder Detail'!Z7=0,"",_xlfn.TEXTAFTER('Cylinder Detail'!Z7, ", "))</f>
        <v>2 position, double</v>
      </c>
      <c r="P5" s="17" t="str">
        <f>IF('Cylinder Detail'!AA7=0,"",'Cylinder Detail'!AA7)</f>
        <v>SY7200-5U1-NA</v>
      </c>
      <c r="Q5" s="19" t="str">
        <f>IF('Cylinder Detail'!W7=0,"",'Cylinder Detail'!W7)</f>
        <v>=MM1</v>
      </c>
      <c r="R5" s="19" t="str">
        <f>IF('Cylinder Detail'!Y7=0,"",'Cylinder Detail'!Y7)</f>
        <v>Group 1 Clamps</v>
      </c>
      <c r="S5" s="21" t="str">
        <f>IF('Cylinder Detail'!X7=0,"",'Cylinder Detail'!X7)</f>
        <v>-MMB4</v>
      </c>
      <c r="T5" s="21" t="str">
        <f>IF('Cylinder Detail'!F7=0,"",'Cylinder Detail'!F7)</f>
        <v>Clamp with two internal sensors</v>
      </c>
      <c r="U5" s="21" t="str">
        <f>IF('Cylinder Detail'!R7=0,"",'Cylinder Detail'!R7)</f>
        <v>Retracted</v>
      </c>
      <c r="V5" s="21" t="str">
        <f>IF('Cylinder Detail'!Q7=0,"",'Cylinder Detail'!Q7)</f>
        <v>CKZ5N63TF-120DTF</v>
      </c>
      <c r="W5" s="21" t="str">
        <f>IF('Cylinder Detail'!E7=0,"","+" &amp; 'Cylinder Detail'!E7)</f>
        <v>+U5.1L</v>
      </c>
      <c r="X5" s="21" t="str">
        <f t="shared" si="11"/>
        <v>Unit +U5.1L</v>
      </c>
      <c r="Y5" s="21" t="str">
        <f>IF('Cylinder Detail'!S7=0,"",'Cylinder Detail'!S7)</f>
        <v/>
      </c>
      <c r="Z5" s="21" t="str">
        <f>IF('Cylinder Detail'!T7=0,"",'Cylinder Detail'!T7)</f>
        <v/>
      </c>
      <c r="AA5" s="21">
        <f>IF('Cylinder Detail'!H7=0,"",'Cylinder Detail'!H7)</f>
        <v>63</v>
      </c>
      <c r="AB5" s="21">
        <f>IF('Cylinder Detail'!I7=0,"",'Cylinder Detail'!I7)</f>
        <v>79.400000000000006</v>
      </c>
      <c r="AC5" s="22">
        <f>IF('Cylinder Detail'!AB7=0,"",'Cylinder Detail'!AB7)</f>
        <v>10</v>
      </c>
      <c r="AD5" s="25" t="str">
        <f>IF('Sensor Detail'!F7=0,"","=" &amp; 'Sensor Detail'!F7)</f>
        <v>=BG2</v>
      </c>
      <c r="AE5" s="25" t="str">
        <f>IF('Sensor Detail'!H7=0,"",'Sensor Detail'!H7)</f>
        <v>PANEL - FFLR</v>
      </c>
      <c r="AF5" s="27" t="str">
        <f>IF('Sensor Detail'!G7=0,"","-" &amp; 'Sensor Detail'!G7)</f>
        <v>-BGB2</v>
      </c>
      <c r="AG5" s="27" t="str">
        <f>IF('Sensor Detail'!I7=0,"",'Sensor Detail'!I7)</f>
        <v>PANEL - FFLR</v>
      </c>
      <c r="AH5" s="27" t="str">
        <f>IF('Sensor Detail'!E7=0,"","+" &amp; 'Sensor Detail'!E7)</f>
        <v>+U11.3</v>
      </c>
      <c r="AI5" s="27" t="str">
        <f t="shared" si="12"/>
        <v>Unit +U11.3</v>
      </c>
      <c r="AJ5" s="27">
        <f>IF('Sensor Detail'!J7=0,"",'Sensor Detail'!J7)</f>
        <v>264611</v>
      </c>
      <c r="AK5" s="27" t="str">
        <f>IF('Sensor Detail'!K7=0,"",'Sensor Detail'!K7)</f>
        <v>Inductive Proximity</v>
      </c>
      <c r="AL5" s="27" t="str">
        <f>IF('Sensor Detail'!L7=0,"",'Sensor Detail'!L7)</f>
        <v>Normally Open (N.O.)</v>
      </c>
      <c r="AM5" s="27" t="str">
        <f>IF('Sensor Detail'!M7=0,"",'Sensor Detail'!M7)</f>
        <v/>
      </c>
      <c r="AN5" s="27">
        <f>IF('Sensor Detail'!N7=0,"",'Sensor Detail'!N7)</f>
        <v>8</v>
      </c>
      <c r="AO5" s="27" t="str">
        <f>IF('Sensor Detail'!O7=0,"",'Sensor Detail'!O7)</f>
        <v>Tubular</v>
      </c>
      <c r="AP5" s="15">
        <f t="shared" si="13"/>
        <v>0</v>
      </c>
      <c r="AQ5" s="15">
        <f t="shared" si="14"/>
        <v>0</v>
      </c>
    </row>
    <row r="6" spans="1:43">
      <c r="A6" s="13" t="str">
        <f t="shared" si="0"/>
        <v>Mino</v>
      </c>
      <c r="B6" s="13" t="str">
        <f t="shared" si="1"/>
        <v>wei  jiang</v>
      </c>
      <c r="C6" s="15" t="str">
        <f t="shared" si="2"/>
        <v>++BL03</v>
      </c>
      <c r="D6" s="15" t="str">
        <f t="shared" si="3"/>
        <v>++FFLR</v>
      </c>
      <c r="E6" s="15" t="str">
        <f t="shared" si="4"/>
        <v>Front Floor</v>
      </c>
      <c r="F6" s="15" t="str">
        <f t="shared" si="5"/>
        <v>+010</v>
      </c>
      <c r="G6" s="15" t="str">
        <f t="shared" si="6"/>
        <v>Station 010</v>
      </c>
      <c r="H6" s="15" t="str">
        <f t="shared" si="7"/>
        <v>+UA1</v>
      </c>
      <c r="I6" s="15" t="str">
        <f t="shared" si="8"/>
        <v>Fixture</v>
      </c>
      <c r="J6" s="15" t="str">
        <f t="shared" si="9"/>
        <v>Fixture</v>
      </c>
      <c r="K6" s="13" t="str">
        <f>IF('Cylinder Detail'!U8=0,"",'Cylinder Detail'!U8)</f>
        <v>=KJ1</v>
      </c>
      <c r="L6" s="13" t="str">
        <f>IF('Cylinder Detail'!Z8=0,"",_xlfn.TEXTBEFORE('Cylinder Detail'!Z8, ","))</f>
        <v>SY7000</v>
      </c>
      <c r="M6" s="13" t="str">
        <f t="shared" si="10"/>
        <v>M12 5-Pin</v>
      </c>
      <c r="N6" s="17" t="str">
        <f>IF('Cylinder Detail'!V8=0,"",'Cylinder Detail'!V8)</f>
        <v>-QMB1</v>
      </c>
      <c r="O6" s="17" t="str">
        <f>IF('Cylinder Detail'!Z8=0,"",_xlfn.TEXTAFTER('Cylinder Detail'!Z8, ", "))</f>
        <v>2 position, double</v>
      </c>
      <c r="P6" s="17" t="str">
        <f>IF('Cylinder Detail'!AA8=0,"",'Cylinder Detail'!AA8)</f>
        <v>SY7200-5U1-NA</v>
      </c>
      <c r="Q6" s="19" t="str">
        <f>IF('Cylinder Detail'!W8=0,"",'Cylinder Detail'!W8)</f>
        <v>=MM1</v>
      </c>
      <c r="R6" s="19" t="str">
        <f>IF('Cylinder Detail'!Y8=0,"",'Cylinder Detail'!Y8)</f>
        <v>Group 1 Clamps</v>
      </c>
      <c r="S6" s="21" t="str">
        <f>IF('Cylinder Detail'!X8=0,"",'Cylinder Detail'!X8)</f>
        <v>-MMB5</v>
      </c>
      <c r="T6" s="21" t="str">
        <f>IF('Cylinder Detail'!F8=0,"",'Cylinder Detail'!F8)</f>
        <v>Clamp with two internal sensors</v>
      </c>
      <c r="U6" s="21" t="str">
        <f>IF('Cylinder Detail'!R8=0,"",'Cylinder Detail'!R8)</f>
        <v>Retracted</v>
      </c>
      <c r="V6" s="21" t="str">
        <f>IF('Cylinder Detail'!Q8=0,"",'Cylinder Detail'!Q8)</f>
        <v>CKZ5N63TF-105DTF</v>
      </c>
      <c r="W6" s="21" t="str">
        <f>IF('Cylinder Detail'!E8=0,"","+" &amp; 'Cylinder Detail'!E8)</f>
        <v>+U6.1L</v>
      </c>
      <c r="X6" s="21" t="str">
        <f t="shared" si="11"/>
        <v>Unit +U6.1L</v>
      </c>
      <c r="Y6" s="21" t="str">
        <f>IF('Cylinder Detail'!S8=0,"",'Cylinder Detail'!S8)</f>
        <v/>
      </c>
      <c r="Z6" s="21" t="str">
        <f>IF('Cylinder Detail'!T8=0,"",'Cylinder Detail'!T8)</f>
        <v/>
      </c>
      <c r="AA6" s="21">
        <f>IF('Cylinder Detail'!H8=0,"",'Cylinder Detail'!H8)</f>
        <v>63</v>
      </c>
      <c r="AB6" s="21">
        <f>IF('Cylinder Detail'!I8=0,"",'Cylinder Detail'!I8)</f>
        <v>72.400000000000006</v>
      </c>
      <c r="AC6" s="22">
        <f>IF('Cylinder Detail'!AB8=0,"",'Cylinder Detail'!AB8)</f>
        <v>10</v>
      </c>
      <c r="AD6" s="25" t="str">
        <f>IF('Sensor Detail'!F8=0,"","=" &amp; 'Sensor Detail'!F8)</f>
        <v>=BG3</v>
      </c>
      <c r="AE6" s="25" t="str">
        <f>IF('Sensor Detail'!H8=0,"",'Sensor Detail'!H8)</f>
        <v>PANEL - ROCKER LOWER INNER ASSY; RH</v>
      </c>
      <c r="AF6" s="27" t="str">
        <f>IF('Sensor Detail'!G8=0,"","-" &amp; 'Sensor Detail'!G8)</f>
        <v>-BGB1</v>
      </c>
      <c r="AG6" s="27" t="str">
        <f>IF('Sensor Detail'!I8=0,"",'Sensor Detail'!I8)</f>
        <v>PANEL - ROCKER LOWER INNER ASSY; RH</v>
      </c>
      <c r="AH6" s="27" t="str">
        <f>IF('Sensor Detail'!E8=0,"","+" &amp; 'Sensor Detail'!E8)</f>
        <v>+U12.2R</v>
      </c>
      <c r="AI6" s="27" t="str">
        <f t="shared" si="12"/>
        <v>Unit +U12.2R</v>
      </c>
      <c r="AJ6" s="27">
        <f>IF('Sensor Detail'!J8=0,"",'Sensor Detail'!J8)</f>
        <v>264611</v>
      </c>
      <c r="AK6" s="27" t="str">
        <f>IF('Sensor Detail'!K8=0,"",'Sensor Detail'!K8)</f>
        <v>Inductive Proximity</v>
      </c>
      <c r="AL6" s="27" t="str">
        <f>IF('Sensor Detail'!L8=0,"",'Sensor Detail'!L8)</f>
        <v>Normally Open (N.O.)</v>
      </c>
      <c r="AM6" s="27" t="str">
        <f>IF('Sensor Detail'!M8=0,"",'Sensor Detail'!M8)</f>
        <v/>
      </c>
      <c r="AN6" s="27">
        <f>IF('Sensor Detail'!N8=0,"",'Sensor Detail'!N8)</f>
        <v>8</v>
      </c>
      <c r="AO6" s="27" t="str">
        <f>IF('Sensor Detail'!O8=0,"",'Sensor Detail'!O8)</f>
        <v>Tubular</v>
      </c>
      <c r="AP6" s="15">
        <f t="shared" si="13"/>
        <v>0</v>
      </c>
      <c r="AQ6" s="15">
        <f t="shared" si="14"/>
        <v>0</v>
      </c>
    </row>
    <row r="7" spans="1:43">
      <c r="A7" s="13" t="str">
        <f t="shared" si="0"/>
        <v>Mino</v>
      </c>
      <c r="B7" s="13" t="str">
        <f t="shared" si="1"/>
        <v>wei  jiang</v>
      </c>
      <c r="C7" s="15" t="str">
        <f t="shared" si="2"/>
        <v>++BL03</v>
      </c>
      <c r="D7" s="15" t="str">
        <f t="shared" si="3"/>
        <v>++FFLR</v>
      </c>
      <c r="E7" s="15" t="str">
        <f t="shared" si="4"/>
        <v>Front Floor</v>
      </c>
      <c r="F7" s="15" t="str">
        <f t="shared" si="5"/>
        <v>+010</v>
      </c>
      <c r="G7" s="15" t="str">
        <f t="shared" si="6"/>
        <v>Station 010</v>
      </c>
      <c r="H7" s="15" t="str">
        <f t="shared" si="7"/>
        <v>+UA1</v>
      </c>
      <c r="I7" s="15" t="str">
        <f t="shared" si="8"/>
        <v>Fixture</v>
      </c>
      <c r="J7" s="15" t="str">
        <f t="shared" si="9"/>
        <v>Fixture</v>
      </c>
      <c r="K7" s="13" t="str">
        <f>IF('Cylinder Detail'!U9=0,"",'Cylinder Detail'!U9)</f>
        <v>=KJ1</v>
      </c>
      <c r="L7" s="13" t="str">
        <f>IF('Cylinder Detail'!Z9=0,"",_xlfn.TEXTBEFORE('Cylinder Detail'!Z9, ","))</f>
        <v>SY7000</v>
      </c>
      <c r="M7" s="13" t="str">
        <f t="shared" si="10"/>
        <v>M12 5-Pin</v>
      </c>
      <c r="N7" s="17" t="str">
        <f>IF('Cylinder Detail'!V9=0,"",'Cylinder Detail'!V9)</f>
        <v>-QMB4</v>
      </c>
      <c r="O7" s="17" t="str">
        <f>IF('Cylinder Detail'!Z9=0,"",_xlfn.TEXTAFTER('Cylinder Detail'!Z9, ", "))</f>
        <v>2 position, double</v>
      </c>
      <c r="P7" s="17" t="str">
        <f>IF('Cylinder Detail'!AA9=0,"",'Cylinder Detail'!AA9)</f>
        <v>SY7200-5U1-NA</v>
      </c>
      <c r="Q7" s="19" t="str">
        <f>IF('Cylinder Detail'!W9=0,"",'Cylinder Detail'!W9)</f>
        <v>=MM4</v>
      </c>
      <c r="R7" s="19" t="str">
        <f>IF('Cylinder Detail'!Y9=0,"",'Cylinder Detail'!Y9)</f>
        <v>Group 4 Pins</v>
      </c>
      <c r="S7" s="21" t="str">
        <f>IF('Cylinder Detail'!X9=0,"",'Cylinder Detail'!X9)</f>
        <v>-MMB1</v>
      </c>
      <c r="T7" s="21" t="str">
        <f>IF('Cylinder Detail'!F9=0,"",'Cylinder Detail'!F9)</f>
        <v>Pin with two internal sensors</v>
      </c>
      <c r="U7" s="21" t="str">
        <f>IF('Cylinder Detail'!R9=0,"",'Cylinder Detail'!R9)</f>
        <v>Retracted</v>
      </c>
      <c r="V7" s="21" t="str">
        <f>IF('Cylinder Detail'!Q9=0,"",'Cylinder Detail'!Q9)</f>
        <v>CKZP57LTF-50P</v>
      </c>
      <c r="W7" s="21" t="str">
        <f>IF('Cylinder Detail'!E9=0,"","+" &amp; 'Cylinder Detail'!E9)</f>
        <v>+U6.2L</v>
      </c>
      <c r="X7" s="21" t="str">
        <f t="shared" si="11"/>
        <v>Unit +U6.2L</v>
      </c>
      <c r="Y7" s="21" t="str">
        <f>IF('Cylinder Detail'!S9=0,"",'Cylinder Detail'!S9)</f>
        <v/>
      </c>
      <c r="Z7" s="21" t="str">
        <f>IF('Cylinder Detail'!T9=0,"",'Cylinder Detail'!T9)</f>
        <v/>
      </c>
      <c r="AA7" s="21">
        <f>IF('Cylinder Detail'!H9=0,"",'Cylinder Detail'!H9)</f>
        <v>57</v>
      </c>
      <c r="AB7" s="21">
        <f>IF('Cylinder Detail'!I9=0,"",'Cylinder Detail'!I9)</f>
        <v>50</v>
      </c>
      <c r="AC7" s="22">
        <f>IF('Cylinder Detail'!AB9=0,"",'Cylinder Detail'!AB9)</f>
        <v>10</v>
      </c>
      <c r="AD7" s="25" t="str">
        <f>IF('Sensor Detail'!F9=0,"","=" &amp; 'Sensor Detail'!F9)</f>
        <v>=BG3</v>
      </c>
      <c r="AE7" s="25" t="str">
        <f>IF('Sensor Detail'!H9=0,"",'Sensor Detail'!H9)</f>
        <v>PANEL - ROCKER LOWER INNER ASSY; RH</v>
      </c>
      <c r="AF7" s="27" t="str">
        <f>IF('Sensor Detail'!G9=0,"","-" &amp; 'Sensor Detail'!G9)</f>
        <v>-BGB2</v>
      </c>
      <c r="AG7" s="27" t="str">
        <f>IF('Sensor Detail'!I9=0,"",'Sensor Detail'!I9)</f>
        <v>PANEL - ROCKER LOWER INNER ASSY; RH</v>
      </c>
      <c r="AH7" s="27" t="str">
        <f>IF('Sensor Detail'!E9=0,"","+" &amp; 'Sensor Detail'!E9)</f>
        <v>+U6.3R</v>
      </c>
      <c r="AI7" s="27" t="str">
        <f t="shared" si="12"/>
        <v>Unit +U6.3R</v>
      </c>
      <c r="AJ7" s="27">
        <f>IF('Sensor Detail'!J9=0,"",'Sensor Detail'!J9)</f>
        <v>264611</v>
      </c>
      <c r="AK7" s="27" t="str">
        <f>IF('Sensor Detail'!K9=0,"",'Sensor Detail'!K9)</f>
        <v>Inductive Proximity</v>
      </c>
      <c r="AL7" s="27" t="str">
        <f>IF('Sensor Detail'!L9=0,"",'Sensor Detail'!L9)</f>
        <v>Normally Open (N.O.)</v>
      </c>
      <c r="AM7" s="27" t="str">
        <f>IF('Sensor Detail'!M9=0,"",'Sensor Detail'!M9)</f>
        <v/>
      </c>
      <c r="AN7" s="27">
        <f>IF('Sensor Detail'!N9=0,"",'Sensor Detail'!N9)</f>
        <v>8</v>
      </c>
      <c r="AO7" s="27" t="str">
        <f>IF('Sensor Detail'!O9=0,"",'Sensor Detail'!O9)</f>
        <v>Tubular</v>
      </c>
      <c r="AP7" s="15">
        <f t="shared" si="13"/>
        <v>0</v>
      </c>
      <c r="AQ7" s="15">
        <f t="shared" si="14"/>
        <v>0</v>
      </c>
    </row>
    <row r="8" spans="1:43">
      <c r="A8" s="13" t="str">
        <f t="shared" si="0"/>
        <v>Mino</v>
      </c>
      <c r="B8" s="13" t="str">
        <f t="shared" si="1"/>
        <v>wei  jiang</v>
      </c>
      <c r="C8" s="15" t="str">
        <f t="shared" si="2"/>
        <v>++BL03</v>
      </c>
      <c r="D8" s="15" t="str">
        <f t="shared" si="3"/>
        <v>++FFLR</v>
      </c>
      <c r="E8" s="15" t="str">
        <f t="shared" si="4"/>
        <v>Front Floor</v>
      </c>
      <c r="F8" s="15" t="str">
        <f t="shared" si="5"/>
        <v>+010</v>
      </c>
      <c r="G8" s="15" t="str">
        <f t="shared" si="6"/>
        <v>Station 010</v>
      </c>
      <c r="H8" s="15" t="str">
        <f t="shared" si="7"/>
        <v>+UA1</v>
      </c>
      <c r="I8" s="15" t="str">
        <f t="shared" si="8"/>
        <v>Fixture</v>
      </c>
      <c r="J8" s="15" t="str">
        <f t="shared" si="9"/>
        <v>Fixture</v>
      </c>
      <c r="K8" s="13" t="str">
        <f>IF('Cylinder Detail'!U10=0,"",'Cylinder Detail'!U10)</f>
        <v>=KJ1</v>
      </c>
      <c r="L8" s="13" t="str">
        <f>IF('Cylinder Detail'!Z10=0,"",_xlfn.TEXTBEFORE('Cylinder Detail'!Z10, ","))</f>
        <v>SY7000</v>
      </c>
      <c r="M8" s="13" t="str">
        <f t="shared" si="10"/>
        <v>M12 5-Pin</v>
      </c>
      <c r="N8" s="17" t="str">
        <f>IF('Cylinder Detail'!V10=0,"",'Cylinder Detail'!V10)</f>
        <v>-QMB1</v>
      </c>
      <c r="O8" s="17" t="str">
        <f>IF('Cylinder Detail'!Z10=0,"",_xlfn.TEXTAFTER('Cylinder Detail'!Z10, ", "))</f>
        <v>2 position, double</v>
      </c>
      <c r="P8" s="17" t="str">
        <f>IF('Cylinder Detail'!AA10=0,"",'Cylinder Detail'!AA10)</f>
        <v>SY7200-5U1-NA</v>
      </c>
      <c r="Q8" s="19" t="str">
        <f>IF('Cylinder Detail'!W10=0,"",'Cylinder Detail'!W10)</f>
        <v>=MM1</v>
      </c>
      <c r="R8" s="19" t="str">
        <f>IF('Cylinder Detail'!Y10=0,"",'Cylinder Detail'!Y10)</f>
        <v>Group 1 Clamps</v>
      </c>
      <c r="S8" s="21" t="str">
        <f>IF('Cylinder Detail'!X10=0,"",'Cylinder Detail'!X10)</f>
        <v>-MMB6</v>
      </c>
      <c r="T8" s="21" t="str">
        <f>IF('Cylinder Detail'!F10=0,"",'Cylinder Detail'!F10)</f>
        <v>Clamp with two internal sensors</v>
      </c>
      <c r="U8" s="21" t="str">
        <f>IF('Cylinder Detail'!R10=0,"",'Cylinder Detail'!R10)</f>
        <v>Retracted</v>
      </c>
      <c r="V8" s="21" t="str">
        <f>IF('Cylinder Detail'!Q10=0,"",'Cylinder Detail'!Q10)</f>
        <v>CKZ5N63TF-90DTF</v>
      </c>
      <c r="W8" s="21" t="str">
        <f>IF('Cylinder Detail'!E10=0,"","+" &amp; 'Cylinder Detail'!E10)</f>
        <v>+U7.1L</v>
      </c>
      <c r="X8" s="21" t="str">
        <f t="shared" si="11"/>
        <v>Unit +U7.1L</v>
      </c>
      <c r="Y8" s="21" t="str">
        <f>IF('Cylinder Detail'!S10=0,"",'Cylinder Detail'!S10)</f>
        <v/>
      </c>
      <c r="Z8" s="21" t="str">
        <f>IF('Cylinder Detail'!T10=0,"",'Cylinder Detail'!T10)</f>
        <v/>
      </c>
      <c r="AA8" s="21">
        <f>IF('Cylinder Detail'!H10=0,"",'Cylinder Detail'!H10)</f>
        <v>63</v>
      </c>
      <c r="AB8" s="21">
        <f>IF('Cylinder Detail'!I10=0,"",'Cylinder Detail'!I10)</f>
        <v>64.5</v>
      </c>
      <c r="AC8" s="22">
        <f>IF('Cylinder Detail'!AB10=0,"",'Cylinder Detail'!AB10)</f>
        <v>10</v>
      </c>
      <c r="AD8" s="25" t="str">
        <f>IF('Sensor Detail'!F10=0,"","=" &amp; 'Sensor Detail'!F10)</f>
        <v/>
      </c>
      <c r="AE8" s="25" t="str">
        <f>IF('Sensor Detail'!H10=0,"",'Sensor Detail'!H10)</f>
        <v/>
      </c>
      <c r="AF8" s="27" t="str">
        <f>IF('Sensor Detail'!G10=0,"","-" &amp; 'Sensor Detail'!G10)</f>
        <v/>
      </c>
      <c r="AG8" s="27" t="str">
        <f>IF('Sensor Detail'!I10=0,"",'Sensor Detail'!I10)</f>
        <v/>
      </c>
      <c r="AH8" s="27" t="str">
        <f>IF('Sensor Detail'!E10=0,"","+" &amp; 'Sensor Detail'!E10)</f>
        <v/>
      </c>
      <c r="AI8" s="27" t="str">
        <f t="shared" si="12"/>
        <v/>
      </c>
      <c r="AJ8" s="27" t="str">
        <f>IF('Sensor Detail'!J10=0,"",'Sensor Detail'!J10)</f>
        <v/>
      </c>
      <c r="AK8" s="27" t="str">
        <f>IF('Sensor Detail'!K10=0,"",'Sensor Detail'!K10)</f>
        <v/>
      </c>
      <c r="AL8" s="27" t="str">
        <f>IF('Sensor Detail'!L10=0,"",'Sensor Detail'!L10)</f>
        <v/>
      </c>
      <c r="AM8" s="27" t="str">
        <f>IF('Sensor Detail'!M10=0,"",'Sensor Detail'!M10)</f>
        <v/>
      </c>
      <c r="AN8" s="27" t="str">
        <f>IF('Sensor Detail'!N10=0,"",'Sensor Detail'!N10)</f>
        <v/>
      </c>
      <c r="AO8" s="27" t="str">
        <f>IF('Sensor Detail'!O10=0,"",'Sensor Detail'!O10)</f>
        <v/>
      </c>
      <c r="AP8" s="15">
        <f t="shared" si="13"/>
        <v>0</v>
      </c>
      <c r="AQ8" s="15">
        <f t="shared" si="14"/>
        <v>0</v>
      </c>
    </row>
    <row r="9" spans="1:43">
      <c r="A9" s="13" t="str">
        <f t="shared" si="0"/>
        <v>Mino</v>
      </c>
      <c r="B9" s="13" t="str">
        <f t="shared" si="1"/>
        <v>wei  jiang</v>
      </c>
      <c r="C9" s="15" t="str">
        <f t="shared" si="2"/>
        <v>++BL03</v>
      </c>
      <c r="D9" s="15" t="str">
        <f t="shared" si="3"/>
        <v>++FFLR</v>
      </c>
      <c r="E9" s="15" t="str">
        <f t="shared" si="4"/>
        <v>Front Floor</v>
      </c>
      <c r="F9" s="15" t="str">
        <f t="shared" si="5"/>
        <v>+010</v>
      </c>
      <c r="G9" s="15" t="str">
        <f t="shared" si="6"/>
        <v>Station 010</v>
      </c>
      <c r="H9" s="15" t="str">
        <f t="shared" si="7"/>
        <v>+UA1</v>
      </c>
      <c r="I9" s="15" t="str">
        <f t="shared" si="8"/>
        <v>Fixture</v>
      </c>
      <c r="J9" s="15" t="str">
        <f t="shared" si="9"/>
        <v>Fixture</v>
      </c>
      <c r="K9" s="13" t="str">
        <f>IF('Cylinder Detail'!U11=0,"",'Cylinder Detail'!U11)</f>
        <v>=KJ1</v>
      </c>
      <c r="L9" s="13" t="str">
        <f>IF('Cylinder Detail'!Z11=0,"",_xlfn.TEXTBEFORE('Cylinder Detail'!Z11, ","))</f>
        <v>SY7000</v>
      </c>
      <c r="M9" s="13" t="str">
        <f t="shared" si="10"/>
        <v>M12 5-Pin</v>
      </c>
      <c r="N9" s="17" t="str">
        <f>IF('Cylinder Detail'!V11=0,"",'Cylinder Detail'!V11)</f>
        <v>-QMB1</v>
      </c>
      <c r="O9" s="17" t="str">
        <f>IF('Cylinder Detail'!Z11=0,"",_xlfn.TEXTAFTER('Cylinder Detail'!Z11, ", "))</f>
        <v>2 position, double</v>
      </c>
      <c r="P9" s="17" t="str">
        <f>IF('Cylinder Detail'!AA11=0,"",'Cylinder Detail'!AA11)</f>
        <v>SY7200-5U1-NA</v>
      </c>
      <c r="Q9" s="19" t="str">
        <f>IF('Cylinder Detail'!W11=0,"",'Cylinder Detail'!W11)</f>
        <v>=MM1</v>
      </c>
      <c r="R9" s="19" t="str">
        <f>IF('Cylinder Detail'!Y11=0,"",'Cylinder Detail'!Y11)</f>
        <v>Group 1 Clamps</v>
      </c>
      <c r="S9" s="21" t="str">
        <f>IF('Cylinder Detail'!X11=0,"",'Cylinder Detail'!X11)</f>
        <v>-MMB7</v>
      </c>
      <c r="T9" s="21" t="str">
        <f>IF('Cylinder Detail'!F11=0,"",'Cylinder Detail'!F11)</f>
        <v>Clamp with two internal sensors</v>
      </c>
      <c r="U9" s="21" t="str">
        <f>IF('Cylinder Detail'!R11=0,"",'Cylinder Detail'!R11)</f>
        <v>Retracted</v>
      </c>
      <c r="V9" s="21" t="str">
        <f>IF('Cylinder Detail'!Q11=0,"",'Cylinder Detail'!Q11)</f>
        <v>CKZ5N63TF-90DTF</v>
      </c>
      <c r="W9" s="21" t="str">
        <f>IF('Cylinder Detail'!E11=0,"","+" &amp; 'Cylinder Detail'!E11)</f>
        <v>+U8.1L</v>
      </c>
      <c r="X9" s="21" t="str">
        <f t="shared" si="11"/>
        <v>Unit +U8.1L</v>
      </c>
      <c r="Y9" s="21" t="str">
        <f>IF('Cylinder Detail'!S11=0,"",'Cylinder Detail'!S11)</f>
        <v/>
      </c>
      <c r="Z9" s="21" t="str">
        <f>IF('Cylinder Detail'!T11=0,"",'Cylinder Detail'!T11)</f>
        <v/>
      </c>
      <c r="AA9" s="21">
        <f>IF('Cylinder Detail'!H11=0,"",'Cylinder Detail'!H11)</f>
        <v>63</v>
      </c>
      <c r="AB9" s="21">
        <f>IF('Cylinder Detail'!I11=0,"",'Cylinder Detail'!I11)</f>
        <v>64.5</v>
      </c>
      <c r="AC9" s="22">
        <f>IF('Cylinder Detail'!AB11=0,"",'Cylinder Detail'!AB11)</f>
        <v>10</v>
      </c>
      <c r="AD9" s="25" t="str">
        <f>IF('Sensor Detail'!F11=0,"","=" &amp; 'Sensor Detail'!F11)</f>
        <v/>
      </c>
      <c r="AE9" s="25" t="str">
        <f>IF('Sensor Detail'!H11=0,"",'Sensor Detail'!H11)</f>
        <v/>
      </c>
      <c r="AF9" s="27" t="str">
        <f>IF('Sensor Detail'!G11=0,"","-" &amp; 'Sensor Detail'!G11)</f>
        <v/>
      </c>
      <c r="AG9" s="27" t="str">
        <f>IF('Sensor Detail'!I11=0,"",'Sensor Detail'!I11)</f>
        <v/>
      </c>
      <c r="AH9" s="27" t="str">
        <f>IF('Sensor Detail'!E11=0,"","+" &amp; 'Sensor Detail'!E11)</f>
        <v/>
      </c>
      <c r="AI9" s="27" t="str">
        <f t="shared" si="12"/>
        <v/>
      </c>
      <c r="AJ9" s="27" t="str">
        <f>IF('Sensor Detail'!J11=0,"",'Sensor Detail'!J11)</f>
        <v/>
      </c>
      <c r="AK9" s="27" t="str">
        <f>IF('Sensor Detail'!K11=0,"",'Sensor Detail'!K11)</f>
        <v/>
      </c>
      <c r="AL9" s="27" t="str">
        <f>IF('Sensor Detail'!L11=0,"",'Sensor Detail'!L11)</f>
        <v/>
      </c>
      <c r="AM9" s="27" t="str">
        <f>IF('Sensor Detail'!M11=0,"",'Sensor Detail'!M11)</f>
        <v/>
      </c>
      <c r="AN9" s="27" t="str">
        <f>IF('Sensor Detail'!N11=0,"",'Sensor Detail'!N11)</f>
        <v/>
      </c>
      <c r="AO9" s="27" t="str">
        <f>IF('Sensor Detail'!O11=0,"",'Sensor Detail'!O11)</f>
        <v/>
      </c>
      <c r="AP9" s="15">
        <f t="shared" si="13"/>
        <v>0</v>
      </c>
      <c r="AQ9" s="15">
        <f t="shared" si="14"/>
        <v>0</v>
      </c>
    </row>
    <row r="10" spans="1:43">
      <c r="A10" s="13" t="str">
        <f t="shared" si="0"/>
        <v>Mino</v>
      </c>
      <c r="B10" s="13" t="str">
        <f t="shared" si="1"/>
        <v>wei  jiang</v>
      </c>
      <c r="C10" s="15" t="str">
        <f t="shared" si="2"/>
        <v>++BL03</v>
      </c>
      <c r="D10" s="15" t="str">
        <f t="shared" si="3"/>
        <v>++FFLR</v>
      </c>
      <c r="E10" s="15" t="str">
        <f t="shared" si="4"/>
        <v>Front Floor</v>
      </c>
      <c r="F10" s="15" t="str">
        <f t="shared" si="5"/>
        <v>+010</v>
      </c>
      <c r="G10" s="15" t="str">
        <f t="shared" si="6"/>
        <v>Station 010</v>
      </c>
      <c r="H10" s="15" t="str">
        <f t="shared" si="7"/>
        <v>+UA1</v>
      </c>
      <c r="I10" s="15" t="str">
        <f t="shared" si="8"/>
        <v>Fixture</v>
      </c>
      <c r="J10" s="15" t="str">
        <f t="shared" si="9"/>
        <v>Fixture</v>
      </c>
      <c r="K10" s="13" t="str">
        <f>IF('Cylinder Detail'!U12=0,"",'Cylinder Detail'!U12)</f>
        <v>=KJ1</v>
      </c>
      <c r="L10" s="13" t="str">
        <f>IF('Cylinder Detail'!Z12=0,"",_xlfn.TEXTBEFORE('Cylinder Detail'!Z12, ","))</f>
        <v>SY7000</v>
      </c>
      <c r="M10" s="13" t="str">
        <f t="shared" si="10"/>
        <v>M12 5-Pin</v>
      </c>
      <c r="N10" s="17" t="str">
        <f>IF('Cylinder Detail'!V12=0,"",'Cylinder Detail'!V12)</f>
        <v>-QMB1</v>
      </c>
      <c r="O10" s="17" t="str">
        <f>IF('Cylinder Detail'!Z12=0,"",_xlfn.TEXTAFTER('Cylinder Detail'!Z12, ", "))</f>
        <v>2 position, double</v>
      </c>
      <c r="P10" s="17" t="str">
        <f>IF('Cylinder Detail'!AA12=0,"",'Cylinder Detail'!AA12)</f>
        <v>SY7200-5U1-NA</v>
      </c>
      <c r="Q10" s="19" t="str">
        <f>IF('Cylinder Detail'!W12=0,"",'Cylinder Detail'!W12)</f>
        <v>=MM1</v>
      </c>
      <c r="R10" s="19" t="str">
        <f>IF('Cylinder Detail'!Y12=0,"",'Cylinder Detail'!Y12)</f>
        <v>Group 1 Clamps</v>
      </c>
      <c r="S10" s="21" t="str">
        <f>IF('Cylinder Detail'!X12=0,"",'Cylinder Detail'!X12)</f>
        <v>-MMB8</v>
      </c>
      <c r="T10" s="21" t="str">
        <f>IF('Cylinder Detail'!F12=0,"",'Cylinder Detail'!F12)</f>
        <v>Clamp with two internal sensors</v>
      </c>
      <c r="U10" s="21" t="str">
        <f>IF('Cylinder Detail'!R12=0,"",'Cylinder Detail'!R12)</f>
        <v>Retracted</v>
      </c>
      <c r="V10" s="21" t="str">
        <f>IF('Cylinder Detail'!Q12=0,"",'Cylinder Detail'!Q12)</f>
        <v>CKZ5N63TF-90DTF</v>
      </c>
      <c r="W10" s="21" t="str">
        <f>IF('Cylinder Detail'!E12=0,"","+" &amp; 'Cylinder Detail'!E12)</f>
        <v>+U9.1L</v>
      </c>
      <c r="X10" s="21" t="str">
        <f t="shared" si="11"/>
        <v>Unit +U9.1L</v>
      </c>
      <c r="Y10" s="21" t="str">
        <f>IF('Cylinder Detail'!S12=0,"",'Cylinder Detail'!S12)</f>
        <v/>
      </c>
      <c r="Z10" s="21" t="str">
        <f>IF('Cylinder Detail'!T12=0,"",'Cylinder Detail'!T12)</f>
        <v/>
      </c>
      <c r="AA10" s="21">
        <f>IF('Cylinder Detail'!H12=0,"",'Cylinder Detail'!H12)</f>
        <v>63</v>
      </c>
      <c r="AB10" s="21">
        <f>IF('Cylinder Detail'!I12=0,"",'Cylinder Detail'!I12)</f>
        <v>64.5</v>
      </c>
      <c r="AC10" s="22">
        <f>IF('Cylinder Detail'!AB12=0,"",'Cylinder Detail'!AB12)</f>
        <v>10</v>
      </c>
      <c r="AD10" s="25" t="str">
        <f>IF('Sensor Detail'!F12=0,"","=" &amp; 'Sensor Detail'!F12)</f>
        <v/>
      </c>
      <c r="AE10" s="25" t="str">
        <f>IF('Sensor Detail'!H12=0,"",'Sensor Detail'!H12)</f>
        <v/>
      </c>
      <c r="AF10" s="27" t="str">
        <f>IF('Sensor Detail'!G12=0,"","-" &amp; 'Sensor Detail'!G12)</f>
        <v/>
      </c>
      <c r="AG10" s="27" t="str">
        <f>IF('Sensor Detail'!I12=0,"",'Sensor Detail'!I12)</f>
        <v/>
      </c>
      <c r="AH10" s="27" t="str">
        <f>IF('Sensor Detail'!E12=0,"","+" &amp; 'Sensor Detail'!E12)</f>
        <v/>
      </c>
      <c r="AI10" s="27" t="str">
        <f t="shared" si="12"/>
        <v/>
      </c>
      <c r="AJ10" s="27" t="str">
        <f>IF('Sensor Detail'!J12=0,"",'Sensor Detail'!J12)</f>
        <v/>
      </c>
      <c r="AK10" s="27" t="str">
        <f>IF('Sensor Detail'!K12=0,"",'Sensor Detail'!K12)</f>
        <v/>
      </c>
      <c r="AL10" s="27" t="str">
        <f>IF('Sensor Detail'!L12=0,"",'Sensor Detail'!L12)</f>
        <v/>
      </c>
      <c r="AM10" s="27" t="str">
        <f>IF('Sensor Detail'!M12=0,"",'Sensor Detail'!M12)</f>
        <v/>
      </c>
      <c r="AN10" s="27" t="str">
        <f>IF('Sensor Detail'!N12=0,"",'Sensor Detail'!N12)</f>
        <v/>
      </c>
      <c r="AO10" s="27" t="str">
        <f>IF('Sensor Detail'!O12=0,"",'Sensor Detail'!O12)</f>
        <v/>
      </c>
      <c r="AP10" s="15">
        <f t="shared" si="13"/>
        <v>0</v>
      </c>
      <c r="AQ10" s="15">
        <f t="shared" si="14"/>
        <v>0</v>
      </c>
    </row>
    <row r="11" spans="1:43">
      <c r="A11" s="13" t="str">
        <f t="shared" si="0"/>
        <v>Mino</v>
      </c>
      <c r="B11" s="13" t="str">
        <f t="shared" si="1"/>
        <v>wei  jiang</v>
      </c>
      <c r="C11" s="15" t="str">
        <f t="shared" si="2"/>
        <v>++BL03</v>
      </c>
      <c r="D11" s="15" t="str">
        <f t="shared" si="3"/>
        <v>++FFLR</v>
      </c>
      <c r="E11" s="15" t="str">
        <f t="shared" si="4"/>
        <v>Front Floor</v>
      </c>
      <c r="F11" s="15" t="str">
        <f t="shared" si="5"/>
        <v>+010</v>
      </c>
      <c r="G11" s="15" t="str">
        <f t="shared" si="6"/>
        <v>Station 010</v>
      </c>
      <c r="H11" s="15" t="str">
        <f t="shared" si="7"/>
        <v>+UA1</v>
      </c>
      <c r="I11" s="15" t="str">
        <f t="shared" si="8"/>
        <v>Fixture</v>
      </c>
      <c r="J11" s="15" t="str">
        <f t="shared" si="9"/>
        <v>Fixture</v>
      </c>
      <c r="K11" s="13" t="str">
        <f>IF('Cylinder Detail'!U13=0,"",'Cylinder Detail'!U13)</f>
        <v>=KJ1</v>
      </c>
      <c r="L11" s="13" t="str">
        <f>IF('Cylinder Detail'!Z13=0,"",_xlfn.TEXTBEFORE('Cylinder Detail'!Z13, ","))</f>
        <v>SY7000</v>
      </c>
      <c r="M11" s="13" t="str">
        <f t="shared" si="10"/>
        <v>M12 5-Pin</v>
      </c>
      <c r="N11" s="17" t="str">
        <f>IF('Cylinder Detail'!V13=0,"",'Cylinder Detail'!V13)</f>
        <v>-QMB2</v>
      </c>
      <c r="O11" s="17" t="str">
        <f>IF('Cylinder Detail'!Z13=0,"",_xlfn.TEXTAFTER('Cylinder Detail'!Z13, ", "))</f>
        <v>2 position, double</v>
      </c>
      <c r="P11" s="17" t="str">
        <f>IF('Cylinder Detail'!AA13=0,"",'Cylinder Detail'!AA13)</f>
        <v>SY7200-5U1-NA</v>
      </c>
      <c r="Q11" s="19" t="str">
        <f>IF('Cylinder Detail'!W13=0,"",'Cylinder Detail'!W13)</f>
        <v>=MM2</v>
      </c>
      <c r="R11" s="19" t="str">
        <f>IF('Cylinder Detail'!Y13=0,"",'Cylinder Detail'!Y13)</f>
        <v>Group 2 Clamps</v>
      </c>
      <c r="S11" s="21" t="str">
        <f>IF('Cylinder Detail'!X13=0,"",'Cylinder Detail'!X13)</f>
        <v>-MMB1</v>
      </c>
      <c r="T11" s="21" t="str">
        <f>IF('Cylinder Detail'!F13=0,"",'Cylinder Detail'!F13)</f>
        <v>Clamp with two internal sensors</v>
      </c>
      <c r="U11" s="21" t="str">
        <f>IF('Cylinder Detail'!R13=0,"",'Cylinder Detail'!R13)</f>
        <v>Retracted</v>
      </c>
      <c r="V11" s="21" t="str">
        <f>IF('Cylinder Detail'!Q13=0,"",'Cylinder Detail'!Q13)</f>
        <v>CKZ5N63TF-90DTF</v>
      </c>
      <c r="W11" s="21" t="str">
        <f>IF('Cylinder Detail'!E13=0,"","+" &amp; 'Cylinder Detail'!E13)</f>
        <v>+U10.1</v>
      </c>
      <c r="X11" s="21" t="str">
        <f t="shared" si="11"/>
        <v>Unit +U10.1</v>
      </c>
      <c r="Y11" s="21" t="str">
        <f>IF('Cylinder Detail'!S13=0,"",'Cylinder Detail'!S13)</f>
        <v/>
      </c>
      <c r="Z11" s="21" t="str">
        <f>IF('Cylinder Detail'!T13=0,"",'Cylinder Detail'!T13)</f>
        <v/>
      </c>
      <c r="AA11" s="21">
        <f>IF('Cylinder Detail'!H13=0,"",'Cylinder Detail'!H13)</f>
        <v>63</v>
      </c>
      <c r="AB11" s="21">
        <f>IF('Cylinder Detail'!I13=0,"",'Cylinder Detail'!I13)</f>
        <v>64.5</v>
      </c>
      <c r="AC11" s="22">
        <f>IF('Cylinder Detail'!AB13=0,"",'Cylinder Detail'!AB13)</f>
        <v>10</v>
      </c>
      <c r="AD11" s="25" t="str">
        <f>IF('Sensor Detail'!F13=0,"","=" &amp; 'Sensor Detail'!F13)</f>
        <v/>
      </c>
      <c r="AE11" s="25" t="str">
        <f>IF('Sensor Detail'!H13=0,"",'Sensor Detail'!H13)</f>
        <v/>
      </c>
      <c r="AF11" s="27" t="str">
        <f>IF('Sensor Detail'!G13=0,"","-" &amp; 'Sensor Detail'!G13)</f>
        <v/>
      </c>
      <c r="AG11" s="27" t="str">
        <f>IF('Sensor Detail'!I13=0,"",'Sensor Detail'!I13)</f>
        <v/>
      </c>
      <c r="AH11" s="27" t="str">
        <f>IF('Sensor Detail'!E13=0,"","+" &amp; 'Sensor Detail'!E13)</f>
        <v/>
      </c>
      <c r="AI11" s="27" t="str">
        <f t="shared" si="12"/>
        <v/>
      </c>
      <c r="AJ11" s="27" t="str">
        <f>IF('Sensor Detail'!J13=0,"",'Sensor Detail'!J13)</f>
        <v/>
      </c>
      <c r="AK11" s="27" t="str">
        <f>IF('Sensor Detail'!K13=0,"",'Sensor Detail'!K13)</f>
        <v/>
      </c>
      <c r="AL11" s="27" t="str">
        <f>IF('Sensor Detail'!L13=0,"",'Sensor Detail'!L13)</f>
        <v/>
      </c>
      <c r="AM11" s="27" t="str">
        <f>IF('Sensor Detail'!M13=0,"",'Sensor Detail'!M13)</f>
        <v/>
      </c>
      <c r="AN11" s="27" t="str">
        <f>IF('Sensor Detail'!N13=0,"",'Sensor Detail'!N13)</f>
        <v/>
      </c>
      <c r="AO11" s="27" t="str">
        <f>IF('Sensor Detail'!O13=0,"",'Sensor Detail'!O13)</f>
        <v/>
      </c>
      <c r="AP11" s="15">
        <f t="shared" si="13"/>
        <v>0</v>
      </c>
      <c r="AQ11" s="15">
        <f t="shared" si="14"/>
        <v>0</v>
      </c>
    </row>
    <row r="12" spans="1:43">
      <c r="A12" s="13" t="str">
        <f t="shared" si="0"/>
        <v>Mino</v>
      </c>
      <c r="B12" s="13" t="str">
        <f t="shared" si="1"/>
        <v>wei  jiang</v>
      </c>
      <c r="C12" s="15" t="str">
        <f t="shared" si="2"/>
        <v>++BL03</v>
      </c>
      <c r="D12" s="15" t="str">
        <f t="shared" si="3"/>
        <v>++FFLR</v>
      </c>
      <c r="E12" s="15" t="str">
        <f t="shared" si="4"/>
        <v>Front Floor</v>
      </c>
      <c r="F12" s="15" t="str">
        <f t="shared" si="5"/>
        <v>+010</v>
      </c>
      <c r="G12" s="15" t="str">
        <f t="shared" si="6"/>
        <v>Station 010</v>
      </c>
      <c r="H12" s="15" t="str">
        <f t="shared" si="7"/>
        <v>+UA1</v>
      </c>
      <c r="I12" s="15" t="str">
        <f t="shared" si="8"/>
        <v>Fixture</v>
      </c>
      <c r="J12" s="15" t="str">
        <f t="shared" si="9"/>
        <v>Fixture</v>
      </c>
      <c r="K12" s="13" t="str">
        <f>IF('Cylinder Detail'!U14=0,"",'Cylinder Detail'!U14)</f>
        <v>=KJ1</v>
      </c>
      <c r="L12" s="13" t="str">
        <f>IF('Cylinder Detail'!Z14=0,"",_xlfn.TEXTBEFORE('Cylinder Detail'!Z14, ","))</f>
        <v>SY7000</v>
      </c>
      <c r="M12" s="13" t="str">
        <f t="shared" si="10"/>
        <v>M12 5-Pin</v>
      </c>
      <c r="N12" s="17" t="str">
        <f>IF('Cylinder Detail'!V14=0,"",'Cylinder Detail'!V14)</f>
        <v>-QMB4</v>
      </c>
      <c r="O12" s="17" t="str">
        <f>IF('Cylinder Detail'!Z14=0,"",_xlfn.TEXTAFTER('Cylinder Detail'!Z14, ", "))</f>
        <v>2 position, double</v>
      </c>
      <c r="P12" s="17" t="str">
        <f>IF('Cylinder Detail'!AA14=0,"",'Cylinder Detail'!AA14)</f>
        <v>SY7200-5U1-NA</v>
      </c>
      <c r="Q12" s="19" t="str">
        <f>IF('Cylinder Detail'!W14=0,"",'Cylinder Detail'!W14)</f>
        <v>=MM4</v>
      </c>
      <c r="R12" s="19" t="str">
        <f>IF('Cylinder Detail'!Y14=0,"",'Cylinder Detail'!Y14)</f>
        <v>Group 4 Pins</v>
      </c>
      <c r="S12" s="21" t="str">
        <f>IF('Cylinder Detail'!X14=0,"",'Cylinder Detail'!X14)</f>
        <v>-MMB2</v>
      </c>
      <c r="T12" s="21" t="str">
        <f>IF('Cylinder Detail'!F14=0,"",'Cylinder Detail'!F14)</f>
        <v>Pin with two external sensors</v>
      </c>
      <c r="U12" s="21" t="str">
        <f>IF('Cylinder Detail'!R14=0,"",'Cylinder Detail'!R14)</f>
        <v>Retracted</v>
      </c>
      <c r="V12" s="21" t="str">
        <f>IF('Cylinder Detail'!Q14=0,"",'Cylinder Detail'!Q14)</f>
        <v>MGPM50TF-50Z</v>
      </c>
      <c r="W12" s="21" t="str">
        <f>IF('Cylinder Detail'!E14=0,"","+" &amp; 'Cylinder Detail'!E14)</f>
        <v>+U10.2</v>
      </c>
      <c r="X12" s="21" t="str">
        <f t="shared" si="11"/>
        <v>Unit +U10.2</v>
      </c>
      <c r="Y12" s="21" t="str">
        <f>IF('Cylinder Detail'!S14=0,"",'Cylinder Detail'!S14)</f>
        <v>D-P3DWASE</v>
      </c>
      <c r="Z12" s="21" t="str">
        <f>IF('Cylinder Detail'!T14=0,"",'Cylinder Detail'!T14)</f>
        <v>D-P3DWASE</v>
      </c>
      <c r="AA12" s="21">
        <f>IF('Cylinder Detail'!H14=0,"",'Cylinder Detail'!H14)</f>
        <v>50</v>
      </c>
      <c r="AB12" s="21">
        <f>IF('Cylinder Detail'!I14=0,"",'Cylinder Detail'!I14)</f>
        <v>50</v>
      </c>
      <c r="AC12" s="22">
        <f>IF('Cylinder Detail'!AB14=0,"",'Cylinder Detail'!AB14)</f>
        <v>10</v>
      </c>
      <c r="AD12" s="25" t="str">
        <f>IF('Sensor Detail'!F14=0,"","=" &amp; 'Sensor Detail'!F14)</f>
        <v/>
      </c>
      <c r="AE12" s="25" t="str">
        <f>IF('Sensor Detail'!H14=0,"",'Sensor Detail'!H14)</f>
        <v/>
      </c>
      <c r="AF12" s="27" t="str">
        <f>IF('Sensor Detail'!G14=0,"","-" &amp; 'Sensor Detail'!G14)</f>
        <v/>
      </c>
      <c r="AG12" s="27" t="str">
        <f>IF('Sensor Detail'!I14=0,"",'Sensor Detail'!I14)</f>
        <v/>
      </c>
      <c r="AH12" s="27" t="str">
        <f>IF('Sensor Detail'!E14=0,"","+" &amp; 'Sensor Detail'!E14)</f>
        <v/>
      </c>
      <c r="AI12" s="27" t="str">
        <f t="shared" si="12"/>
        <v/>
      </c>
      <c r="AJ12" s="27" t="str">
        <f>IF('Sensor Detail'!J14=0,"",'Sensor Detail'!J14)</f>
        <v/>
      </c>
      <c r="AK12" s="27" t="str">
        <f>IF('Sensor Detail'!K14=0,"",'Sensor Detail'!K14)</f>
        <v/>
      </c>
      <c r="AL12" s="27" t="str">
        <f>IF('Sensor Detail'!L14=0,"",'Sensor Detail'!L14)</f>
        <v/>
      </c>
      <c r="AM12" s="27" t="str">
        <f>IF('Sensor Detail'!M14=0,"",'Sensor Detail'!M14)</f>
        <v/>
      </c>
      <c r="AN12" s="27" t="str">
        <f>IF('Sensor Detail'!N14=0,"",'Sensor Detail'!N14)</f>
        <v/>
      </c>
      <c r="AO12" s="27" t="str">
        <f>IF('Sensor Detail'!O14=0,"",'Sensor Detail'!O14)</f>
        <v/>
      </c>
      <c r="AP12" s="15">
        <f t="shared" si="13"/>
        <v>0</v>
      </c>
      <c r="AQ12" s="15">
        <f t="shared" si="14"/>
        <v>0</v>
      </c>
    </row>
    <row r="13" spans="1:43">
      <c r="A13" s="13" t="str">
        <f t="shared" si="0"/>
        <v>Mino</v>
      </c>
      <c r="B13" s="13" t="str">
        <f t="shared" si="1"/>
        <v>wei  jiang</v>
      </c>
      <c r="C13" s="15" t="str">
        <f t="shared" si="2"/>
        <v>++BL03</v>
      </c>
      <c r="D13" s="15" t="str">
        <f t="shared" si="3"/>
        <v>++FFLR</v>
      </c>
      <c r="E13" s="15" t="str">
        <f t="shared" si="4"/>
        <v>Front Floor</v>
      </c>
      <c r="F13" s="15" t="str">
        <f t="shared" si="5"/>
        <v>+010</v>
      </c>
      <c r="G13" s="15" t="str">
        <f t="shared" si="6"/>
        <v>Station 010</v>
      </c>
      <c r="H13" s="15" t="str">
        <f t="shared" si="7"/>
        <v>+UA1</v>
      </c>
      <c r="I13" s="15" t="str">
        <f t="shared" si="8"/>
        <v>Fixture</v>
      </c>
      <c r="J13" s="15" t="str">
        <f t="shared" si="9"/>
        <v>Fixture</v>
      </c>
      <c r="K13" s="13" t="str">
        <f>IF('Cylinder Detail'!U15=0,"",'Cylinder Detail'!U15)</f>
        <v>=KJ1</v>
      </c>
      <c r="L13" s="13" t="str">
        <f>IF('Cylinder Detail'!Z15=0,"",_xlfn.TEXTBEFORE('Cylinder Detail'!Z15, ","))</f>
        <v>SY7000</v>
      </c>
      <c r="M13" s="13" t="str">
        <f t="shared" si="10"/>
        <v>M12 5-Pin</v>
      </c>
      <c r="N13" s="17" t="str">
        <f>IF('Cylinder Detail'!V15=0,"",'Cylinder Detail'!V15)</f>
        <v>-QMB2</v>
      </c>
      <c r="O13" s="17" t="str">
        <f>IF('Cylinder Detail'!Z15=0,"",_xlfn.TEXTAFTER('Cylinder Detail'!Z15, ", "))</f>
        <v>2 position, double</v>
      </c>
      <c r="P13" s="17" t="str">
        <f>IF('Cylinder Detail'!AA15=0,"",'Cylinder Detail'!AA15)</f>
        <v>SY7200-5U1-NA</v>
      </c>
      <c r="Q13" s="19" t="str">
        <f>IF('Cylinder Detail'!W15=0,"",'Cylinder Detail'!W15)</f>
        <v>=MM2</v>
      </c>
      <c r="R13" s="19" t="str">
        <f>IF('Cylinder Detail'!Y15=0,"",'Cylinder Detail'!Y15)</f>
        <v>Group 2 Clamps</v>
      </c>
      <c r="S13" s="21" t="str">
        <f>IF('Cylinder Detail'!X15=0,"",'Cylinder Detail'!X15)</f>
        <v>-MMB2</v>
      </c>
      <c r="T13" s="21" t="str">
        <f>IF('Cylinder Detail'!F15=0,"",'Cylinder Detail'!F15)</f>
        <v>Clamp with two internal sensors</v>
      </c>
      <c r="U13" s="21" t="str">
        <f>IF('Cylinder Detail'!R15=0,"",'Cylinder Detail'!R15)</f>
        <v>Retracted</v>
      </c>
      <c r="V13" s="21" t="str">
        <f>IF('Cylinder Detail'!Q15=0,"",'Cylinder Detail'!Q15)</f>
        <v>CKZ5N63TF-90DTF</v>
      </c>
      <c r="W13" s="21" t="str">
        <f>IF('Cylinder Detail'!E15=0,"","+" &amp; 'Cylinder Detail'!E15)</f>
        <v>+U11.1</v>
      </c>
      <c r="X13" s="21" t="str">
        <f t="shared" si="11"/>
        <v>Unit +U11.1</v>
      </c>
      <c r="Y13" s="21" t="str">
        <f>IF('Cylinder Detail'!S15=0,"",'Cylinder Detail'!S15)</f>
        <v/>
      </c>
      <c r="Z13" s="21" t="str">
        <f>IF('Cylinder Detail'!T15=0,"",'Cylinder Detail'!T15)</f>
        <v/>
      </c>
      <c r="AA13" s="21">
        <f>IF('Cylinder Detail'!H15=0,"",'Cylinder Detail'!H15)</f>
        <v>63</v>
      </c>
      <c r="AB13" s="21">
        <f>IF('Cylinder Detail'!I15=0,"",'Cylinder Detail'!I15)</f>
        <v>64.5</v>
      </c>
      <c r="AC13" s="22">
        <f>IF('Cylinder Detail'!AB15=0,"",'Cylinder Detail'!AB15)</f>
        <v>10</v>
      </c>
      <c r="AD13" s="25" t="str">
        <f>IF('Sensor Detail'!F15=0,"","=" &amp; 'Sensor Detail'!F15)</f>
        <v/>
      </c>
      <c r="AE13" s="25" t="str">
        <f>IF('Sensor Detail'!H15=0,"",'Sensor Detail'!H15)</f>
        <v/>
      </c>
      <c r="AF13" s="27" t="str">
        <f>IF('Sensor Detail'!G15=0,"","-" &amp; 'Sensor Detail'!G15)</f>
        <v/>
      </c>
      <c r="AG13" s="27" t="str">
        <f>IF('Sensor Detail'!I15=0,"",'Sensor Detail'!I15)</f>
        <v/>
      </c>
      <c r="AH13" s="27" t="str">
        <f>IF('Sensor Detail'!E15=0,"","+" &amp; 'Sensor Detail'!E15)</f>
        <v/>
      </c>
      <c r="AI13" s="27" t="str">
        <f t="shared" si="12"/>
        <v/>
      </c>
      <c r="AJ13" s="27" t="str">
        <f>IF('Sensor Detail'!J15=0,"",'Sensor Detail'!J15)</f>
        <v/>
      </c>
      <c r="AK13" s="27" t="str">
        <f>IF('Sensor Detail'!K15=0,"",'Sensor Detail'!K15)</f>
        <v/>
      </c>
      <c r="AL13" s="27" t="str">
        <f>IF('Sensor Detail'!L15=0,"",'Sensor Detail'!L15)</f>
        <v/>
      </c>
      <c r="AM13" s="27" t="str">
        <f>IF('Sensor Detail'!M15=0,"",'Sensor Detail'!M15)</f>
        <v/>
      </c>
      <c r="AN13" s="27" t="str">
        <f>IF('Sensor Detail'!N15=0,"",'Sensor Detail'!N15)</f>
        <v/>
      </c>
      <c r="AO13" s="27" t="str">
        <f>IF('Sensor Detail'!O15=0,"",'Sensor Detail'!O15)</f>
        <v/>
      </c>
      <c r="AP13" s="15">
        <f t="shared" si="13"/>
        <v>0</v>
      </c>
      <c r="AQ13" s="15">
        <f t="shared" si="14"/>
        <v>0</v>
      </c>
    </row>
    <row r="14" spans="1:43">
      <c r="A14" s="13" t="str">
        <f t="shared" si="0"/>
        <v>Mino</v>
      </c>
      <c r="B14" s="13" t="str">
        <f t="shared" si="1"/>
        <v>wei  jiang</v>
      </c>
      <c r="C14" s="15" t="str">
        <f t="shared" si="2"/>
        <v>++BL03</v>
      </c>
      <c r="D14" s="15" t="str">
        <f t="shared" si="3"/>
        <v>++FFLR</v>
      </c>
      <c r="E14" s="15" t="str">
        <f t="shared" si="4"/>
        <v>Front Floor</v>
      </c>
      <c r="F14" s="15" t="str">
        <f t="shared" si="5"/>
        <v>+010</v>
      </c>
      <c r="G14" s="15" t="str">
        <f t="shared" si="6"/>
        <v>Station 010</v>
      </c>
      <c r="H14" s="15" t="str">
        <f t="shared" si="7"/>
        <v>+UA1</v>
      </c>
      <c r="I14" s="15" t="str">
        <f t="shared" si="8"/>
        <v>Fixture</v>
      </c>
      <c r="J14" s="15" t="str">
        <f t="shared" si="9"/>
        <v>Fixture</v>
      </c>
      <c r="K14" s="13" t="str">
        <f>IF('Cylinder Detail'!U16=0,"",'Cylinder Detail'!U16)</f>
        <v>=KJ1</v>
      </c>
      <c r="L14" s="13" t="str">
        <f>IF('Cylinder Detail'!Z16=0,"",_xlfn.TEXTBEFORE('Cylinder Detail'!Z16, ","))</f>
        <v>SY7000</v>
      </c>
      <c r="M14" s="13" t="str">
        <f t="shared" si="10"/>
        <v>M12 5-Pin</v>
      </c>
      <c r="N14" s="17" t="str">
        <f>IF('Cylinder Detail'!V16=0,"",'Cylinder Detail'!V16)</f>
        <v>-QMB4</v>
      </c>
      <c r="O14" s="17" t="str">
        <f>IF('Cylinder Detail'!Z16=0,"",_xlfn.TEXTAFTER('Cylinder Detail'!Z16, ", "))</f>
        <v>2 position, double</v>
      </c>
      <c r="P14" s="17" t="str">
        <f>IF('Cylinder Detail'!AA16=0,"",'Cylinder Detail'!AA16)</f>
        <v>SY7200-5U1-NA</v>
      </c>
      <c r="Q14" s="19" t="str">
        <f>IF('Cylinder Detail'!W16=0,"",'Cylinder Detail'!W16)</f>
        <v>=MM4</v>
      </c>
      <c r="R14" s="19" t="str">
        <f>IF('Cylinder Detail'!Y16=0,"",'Cylinder Detail'!Y16)</f>
        <v>Group 4 Pins</v>
      </c>
      <c r="S14" s="21" t="str">
        <f>IF('Cylinder Detail'!X16=0,"",'Cylinder Detail'!X16)</f>
        <v>-MMB3</v>
      </c>
      <c r="T14" s="21" t="str">
        <f>IF('Cylinder Detail'!F16=0,"",'Cylinder Detail'!F16)</f>
        <v>Pin with two external sensors</v>
      </c>
      <c r="U14" s="21" t="str">
        <f>IF('Cylinder Detail'!R16=0,"",'Cylinder Detail'!R16)</f>
        <v>Retracted</v>
      </c>
      <c r="V14" s="21" t="str">
        <f>IF('Cylinder Detail'!Q16=0,"",'Cylinder Detail'!Q16)</f>
        <v>MGPM50TF-50Z</v>
      </c>
      <c r="W14" s="21" t="str">
        <f>IF('Cylinder Detail'!E16=0,"","+" &amp; 'Cylinder Detail'!E16)</f>
        <v>+U11.2</v>
      </c>
      <c r="X14" s="21" t="str">
        <f t="shared" si="11"/>
        <v>Unit +U11.2</v>
      </c>
      <c r="Y14" s="21" t="str">
        <f>IF('Cylinder Detail'!S16=0,"",'Cylinder Detail'!S16)</f>
        <v>D-P3DWASE</v>
      </c>
      <c r="Z14" s="21" t="str">
        <f>IF('Cylinder Detail'!T16=0,"",'Cylinder Detail'!T16)</f>
        <v>D-P3DWASE</v>
      </c>
      <c r="AA14" s="21">
        <f>IF('Cylinder Detail'!H16=0,"",'Cylinder Detail'!H16)</f>
        <v>50</v>
      </c>
      <c r="AB14" s="21">
        <f>IF('Cylinder Detail'!I16=0,"",'Cylinder Detail'!I16)</f>
        <v>50</v>
      </c>
      <c r="AC14" s="22">
        <f>IF('Cylinder Detail'!AB16=0,"",'Cylinder Detail'!AB16)</f>
        <v>10</v>
      </c>
      <c r="AD14" s="25" t="str">
        <f>IF('Sensor Detail'!F16=0,"","=" &amp; 'Sensor Detail'!F16)</f>
        <v/>
      </c>
      <c r="AE14" s="25" t="str">
        <f>IF('Sensor Detail'!H16=0,"",'Sensor Detail'!H16)</f>
        <v/>
      </c>
      <c r="AF14" s="27" t="str">
        <f>IF('Sensor Detail'!G16=0,"","-" &amp; 'Sensor Detail'!G16)</f>
        <v/>
      </c>
      <c r="AG14" s="27" t="str">
        <f>IF('Sensor Detail'!I16=0,"",'Sensor Detail'!I16)</f>
        <v/>
      </c>
      <c r="AH14" s="27" t="str">
        <f>IF('Sensor Detail'!E16=0,"","+" &amp; 'Sensor Detail'!E16)</f>
        <v/>
      </c>
      <c r="AI14" s="27" t="str">
        <f t="shared" si="12"/>
        <v/>
      </c>
      <c r="AJ14" s="27" t="str">
        <f>IF('Sensor Detail'!J16=0,"",'Sensor Detail'!J16)</f>
        <v/>
      </c>
      <c r="AK14" s="27" t="str">
        <f>IF('Sensor Detail'!K16=0,"",'Sensor Detail'!K16)</f>
        <v/>
      </c>
      <c r="AL14" s="27" t="str">
        <f>IF('Sensor Detail'!L16=0,"",'Sensor Detail'!L16)</f>
        <v/>
      </c>
      <c r="AM14" s="27" t="str">
        <f>IF('Sensor Detail'!M16=0,"",'Sensor Detail'!M16)</f>
        <v/>
      </c>
      <c r="AN14" s="27" t="str">
        <f>IF('Sensor Detail'!N16=0,"",'Sensor Detail'!N16)</f>
        <v/>
      </c>
      <c r="AO14" s="27" t="str">
        <f>IF('Sensor Detail'!O16=0,"",'Sensor Detail'!O16)</f>
        <v/>
      </c>
      <c r="AP14" s="15">
        <f t="shared" si="13"/>
        <v>0</v>
      </c>
      <c r="AQ14" s="15">
        <f t="shared" si="14"/>
        <v>0</v>
      </c>
    </row>
    <row r="15" spans="1:43">
      <c r="A15" s="13" t="str">
        <f t="shared" si="0"/>
        <v>Mino</v>
      </c>
      <c r="B15" s="13" t="str">
        <f t="shared" si="1"/>
        <v>wei  jiang</v>
      </c>
      <c r="C15" s="15" t="str">
        <f t="shared" si="2"/>
        <v>++BL03</v>
      </c>
      <c r="D15" s="15" t="str">
        <f t="shared" si="3"/>
        <v>++FFLR</v>
      </c>
      <c r="E15" s="15" t="str">
        <f t="shared" si="4"/>
        <v>Front Floor</v>
      </c>
      <c r="F15" s="15" t="str">
        <f t="shared" si="5"/>
        <v>+010</v>
      </c>
      <c r="G15" s="15" t="str">
        <f t="shared" si="6"/>
        <v>Station 010</v>
      </c>
      <c r="H15" s="15" t="str">
        <f t="shared" si="7"/>
        <v>+UA1</v>
      </c>
      <c r="I15" s="15" t="str">
        <f t="shared" si="8"/>
        <v>Fixture</v>
      </c>
      <c r="J15" s="15" t="str">
        <f t="shared" si="9"/>
        <v>Fixture</v>
      </c>
      <c r="K15" s="13" t="str">
        <f>IF('Cylinder Detail'!U17=0,"",'Cylinder Detail'!U17)</f>
        <v>=KJ1</v>
      </c>
      <c r="L15" s="13" t="str">
        <f>IF('Cylinder Detail'!Z17=0,"",_xlfn.TEXTBEFORE('Cylinder Detail'!Z17, ","))</f>
        <v>SY7000</v>
      </c>
      <c r="M15" s="13" t="str">
        <f t="shared" si="10"/>
        <v>M12 5-Pin</v>
      </c>
      <c r="N15" s="17" t="str">
        <f>IF('Cylinder Detail'!V17=0,"",'Cylinder Detail'!V17)</f>
        <v>-QMB4</v>
      </c>
      <c r="O15" s="17" t="str">
        <f>IF('Cylinder Detail'!Z17=0,"",_xlfn.TEXTAFTER('Cylinder Detail'!Z17, ", "))</f>
        <v>2 position, double</v>
      </c>
      <c r="P15" s="17" t="str">
        <f>IF('Cylinder Detail'!AA17=0,"",'Cylinder Detail'!AA17)</f>
        <v>SY7200-5U1-NA</v>
      </c>
      <c r="Q15" s="19" t="str">
        <f>IF('Cylinder Detail'!W17=0,"",'Cylinder Detail'!W17)</f>
        <v>=MM4</v>
      </c>
      <c r="R15" s="19" t="str">
        <f>IF('Cylinder Detail'!Y17=0,"",'Cylinder Detail'!Y17)</f>
        <v>Group 4 Pins</v>
      </c>
      <c r="S15" s="21" t="str">
        <f>IF('Cylinder Detail'!X17=0,"",'Cylinder Detail'!X17)</f>
        <v>-MMB4</v>
      </c>
      <c r="T15" s="21" t="str">
        <f>IF('Cylinder Detail'!F17=0,"",'Cylinder Detail'!F17)</f>
        <v>Pin with two internal sensors</v>
      </c>
      <c r="U15" s="21" t="str">
        <f>IF('Cylinder Detail'!R17=0,"",'Cylinder Detail'!R17)</f>
        <v>Retracted</v>
      </c>
      <c r="V15" s="21" t="str">
        <f>IF('Cylinder Detail'!Q17=0,"",'Cylinder Detail'!Q17)</f>
        <v>CKZP57LTF-50P</v>
      </c>
      <c r="W15" s="21" t="str">
        <f>IF('Cylinder Detail'!E17=0,"","+" &amp; 'Cylinder Detail'!E17)</f>
        <v>+U12.1L</v>
      </c>
      <c r="X15" s="21" t="str">
        <f t="shared" si="11"/>
        <v>Unit +U12.1L</v>
      </c>
      <c r="Y15" s="21" t="str">
        <f>IF('Cylinder Detail'!S17=0,"",'Cylinder Detail'!S17)</f>
        <v/>
      </c>
      <c r="Z15" s="21" t="str">
        <f>IF('Cylinder Detail'!T17=0,"",'Cylinder Detail'!T17)</f>
        <v/>
      </c>
      <c r="AA15" s="21">
        <f>IF('Cylinder Detail'!H17=0,"",'Cylinder Detail'!H17)</f>
        <v>57</v>
      </c>
      <c r="AB15" s="21">
        <f>IF('Cylinder Detail'!I17=0,"",'Cylinder Detail'!I17)</f>
        <v>50</v>
      </c>
      <c r="AC15" s="22">
        <f>IF('Cylinder Detail'!AB17=0,"",'Cylinder Detail'!AB17)</f>
        <v>10</v>
      </c>
      <c r="AD15" s="25" t="str">
        <f>IF('Sensor Detail'!F17=0,"","=" &amp; 'Sensor Detail'!F17)</f>
        <v/>
      </c>
      <c r="AE15" s="25" t="str">
        <f>IF('Sensor Detail'!H17=0,"",'Sensor Detail'!H17)</f>
        <v/>
      </c>
      <c r="AF15" s="27" t="str">
        <f>IF('Sensor Detail'!G17=0,"","-" &amp; 'Sensor Detail'!G17)</f>
        <v/>
      </c>
      <c r="AG15" s="27" t="str">
        <f>IF('Sensor Detail'!I17=0,"",'Sensor Detail'!I17)</f>
        <v/>
      </c>
      <c r="AH15" s="27" t="str">
        <f>IF('Sensor Detail'!E17=0,"","+" &amp; 'Sensor Detail'!E17)</f>
        <v/>
      </c>
      <c r="AI15" s="27" t="str">
        <f t="shared" si="12"/>
        <v/>
      </c>
      <c r="AJ15" s="27" t="str">
        <f>IF('Sensor Detail'!J17=0,"",'Sensor Detail'!J17)</f>
        <v/>
      </c>
      <c r="AK15" s="27" t="str">
        <f>IF('Sensor Detail'!K17=0,"",'Sensor Detail'!K17)</f>
        <v/>
      </c>
      <c r="AL15" s="27" t="str">
        <f>IF('Sensor Detail'!L17=0,"",'Sensor Detail'!L17)</f>
        <v/>
      </c>
      <c r="AM15" s="27" t="str">
        <f>IF('Sensor Detail'!M17=0,"",'Sensor Detail'!M17)</f>
        <v/>
      </c>
      <c r="AN15" s="27" t="str">
        <f>IF('Sensor Detail'!N17=0,"",'Sensor Detail'!N17)</f>
        <v/>
      </c>
      <c r="AO15" s="27" t="str">
        <f>IF('Sensor Detail'!O17=0,"",'Sensor Detail'!O17)</f>
        <v/>
      </c>
      <c r="AP15" s="15">
        <f t="shared" si="13"/>
        <v>0</v>
      </c>
      <c r="AQ15" s="15">
        <f t="shared" si="14"/>
        <v>0</v>
      </c>
    </row>
    <row r="16" spans="1:43">
      <c r="A16" s="13" t="str">
        <f t="shared" si="0"/>
        <v>Mino</v>
      </c>
      <c r="B16" s="13" t="str">
        <f t="shared" si="1"/>
        <v>wei  jiang</v>
      </c>
      <c r="C16" s="15" t="str">
        <f t="shared" si="2"/>
        <v>++BL03</v>
      </c>
      <c r="D16" s="15" t="str">
        <f t="shared" si="3"/>
        <v>++FFLR</v>
      </c>
      <c r="E16" s="15" t="str">
        <f t="shared" si="4"/>
        <v>Front Floor</v>
      </c>
      <c r="F16" s="15" t="str">
        <f t="shared" si="5"/>
        <v>+010</v>
      </c>
      <c r="G16" s="15" t="str">
        <f t="shared" si="6"/>
        <v>Station 010</v>
      </c>
      <c r="H16" s="15" t="str">
        <f t="shared" si="7"/>
        <v>+UA1</v>
      </c>
      <c r="I16" s="15" t="str">
        <f t="shared" si="8"/>
        <v>Fixture</v>
      </c>
      <c r="J16" s="15" t="str">
        <f t="shared" si="9"/>
        <v>Fixture</v>
      </c>
      <c r="K16" s="13" t="str">
        <f>IF('Cylinder Detail'!U18=0,"",'Cylinder Detail'!U18)</f>
        <v>=KJ1</v>
      </c>
      <c r="L16" s="13" t="str">
        <f>IF('Cylinder Detail'!Z18=0,"",_xlfn.TEXTBEFORE('Cylinder Detail'!Z18, ","))</f>
        <v>SY7000</v>
      </c>
      <c r="M16" s="13" t="str">
        <f t="shared" si="10"/>
        <v>M12 5-Pin</v>
      </c>
      <c r="N16" s="17" t="str">
        <f>IF('Cylinder Detail'!V18=0,"",'Cylinder Detail'!V18)</f>
        <v>-QMB3</v>
      </c>
      <c r="O16" s="17" t="str">
        <f>IF('Cylinder Detail'!Z18=0,"",_xlfn.TEXTAFTER('Cylinder Detail'!Z18, ", "))</f>
        <v>2 position, double</v>
      </c>
      <c r="P16" s="17" t="str">
        <f>IF('Cylinder Detail'!AA18=0,"",'Cylinder Detail'!AA18)</f>
        <v>SY7200-5U1-NA</v>
      </c>
      <c r="Q16" s="19" t="str">
        <f>IF('Cylinder Detail'!W18=0,"",'Cylinder Detail'!W18)</f>
        <v>=MM3</v>
      </c>
      <c r="R16" s="19" t="str">
        <f>IF('Cylinder Detail'!Y18=0,"",'Cylinder Detail'!Y18)</f>
        <v>Group 3 Clamps</v>
      </c>
      <c r="S16" s="21" t="str">
        <f>IF('Cylinder Detail'!X18=0,"",'Cylinder Detail'!X18)</f>
        <v>-MMB1</v>
      </c>
      <c r="T16" s="21" t="str">
        <f>IF('Cylinder Detail'!F18=0,"",'Cylinder Detail'!F18)</f>
        <v>Clamp with two internal sensors</v>
      </c>
      <c r="U16" s="21" t="str">
        <f>IF('Cylinder Detail'!R18=0,"",'Cylinder Detail'!R18)</f>
        <v>Retracted</v>
      </c>
      <c r="V16" s="21" t="str">
        <f>IF('Cylinder Detail'!Q18=0,"",'Cylinder Detail'!Q18)</f>
        <v>CKZ5N63TF-105DTF</v>
      </c>
      <c r="W16" s="21" t="str">
        <f>IF('Cylinder Detail'!E18=0,"","+" &amp; 'Cylinder Detail'!E18)</f>
        <v>+U2.1R</v>
      </c>
      <c r="X16" s="21" t="str">
        <f t="shared" si="11"/>
        <v>Unit +U2.1R</v>
      </c>
      <c r="Y16" s="21" t="str">
        <f>IF('Cylinder Detail'!S18=0,"",'Cylinder Detail'!S18)</f>
        <v/>
      </c>
      <c r="Z16" s="21" t="str">
        <f>IF('Cylinder Detail'!T18=0,"",'Cylinder Detail'!T18)</f>
        <v/>
      </c>
      <c r="AA16" s="21">
        <f>IF('Cylinder Detail'!H18=0,"",'Cylinder Detail'!H18)</f>
        <v>63</v>
      </c>
      <c r="AB16" s="21">
        <f>IF('Cylinder Detail'!I18=0,"",'Cylinder Detail'!I18)</f>
        <v>72.400000000000006</v>
      </c>
      <c r="AC16" s="22">
        <f>IF('Cylinder Detail'!AB18=0,"",'Cylinder Detail'!AB18)</f>
        <v>10</v>
      </c>
      <c r="AD16" s="25" t="str">
        <f>IF('Sensor Detail'!F18=0,"","=" &amp; 'Sensor Detail'!F18)</f>
        <v/>
      </c>
      <c r="AE16" s="25" t="str">
        <f>IF('Sensor Detail'!H18=0,"",'Sensor Detail'!H18)</f>
        <v/>
      </c>
      <c r="AF16" s="27" t="str">
        <f>IF('Sensor Detail'!G18=0,"","-" &amp; 'Sensor Detail'!G18)</f>
        <v/>
      </c>
      <c r="AG16" s="27" t="str">
        <f>IF('Sensor Detail'!I18=0,"",'Sensor Detail'!I18)</f>
        <v/>
      </c>
      <c r="AH16" s="27" t="str">
        <f>IF('Sensor Detail'!E18=0,"","+" &amp; 'Sensor Detail'!E18)</f>
        <v/>
      </c>
      <c r="AI16" s="27" t="str">
        <f t="shared" si="12"/>
        <v/>
      </c>
      <c r="AJ16" s="27" t="str">
        <f>IF('Sensor Detail'!J18=0,"",'Sensor Detail'!J18)</f>
        <v/>
      </c>
      <c r="AK16" s="27" t="str">
        <f>IF('Sensor Detail'!K18=0,"",'Sensor Detail'!K18)</f>
        <v/>
      </c>
      <c r="AL16" s="27" t="str">
        <f>IF('Sensor Detail'!L18=0,"",'Sensor Detail'!L18)</f>
        <v/>
      </c>
      <c r="AM16" s="27" t="str">
        <f>IF('Sensor Detail'!M18=0,"",'Sensor Detail'!M18)</f>
        <v/>
      </c>
      <c r="AN16" s="27" t="str">
        <f>IF('Sensor Detail'!N18=0,"",'Sensor Detail'!N18)</f>
        <v/>
      </c>
      <c r="AO16" s="27" t="str">
        <f>IF('Sensor Detail'!O18=0,"",'Sensor Detail'!O18)</f>
        <v/>
      </c>
      <c r="AP16" s="15">
        <f t="shared" si="13"/>
        <v>0</v>
      </c>
      <c r="AQ16" s="15">
        <f t="shared" si="14"/>
        <v>0</v>
      </c>
    </row>
    <row r="17" spans="1:43">
      <c r="A17" s="13" t="str">
        <f t="shared" si="0"/>
        <v>Mino</v>
      </c>
      <c r="B17" s="13" t="str">
        <f t="shared" si="1"/>
        <v>wei  jiang</v>
      </c>
      <c r="C17" s="15" t="str">
        <f t="shared" si="2"/>
        <v>++BL03</v>
      </c>
      <c r="D17" s="15" t="str">
        <f t="shared" si="3"/>
        <v>++FFLR</v>
      </c>
      <c r="E17" s="15" t="str">
        <f t="shared" si="4"/>
        <v>Front Floor</v>
      </c>
      <c r="F17" s="15" t="str">
        <f t="shared" si="5"/>
        <v>+010</v>
      </c>
      <c r="G17" s="15" t="str">
        <f t="shared" si="6"/>
        <v>Station 010</v>
      </c>
      <c r="H17" s="15" t="str">
        <f t="shared" si="7"/>
        <v>+UA1</v>
      </c>
      <c r="I17" s="15" t="str">
        <f t="shared" si="8"/>
        <v>Fixture</v>
      </c>
      <c r="J17" s="15" t="str">
        <f t="shared" si="9"/>
        <v>Fixture</v>
      </c>
      <c r="K17" s="13" t="str">
        <f>IF('Cylinder Detail'!U19=0,"",'Cylinder Detail'!U19)</f>
        <v>=KJ1</v>
      </c>
      <c r="L17" s="13" t="str">
        <f>IF('Cylinder Detail'!Z19=0,"",_xlfn.TEXTBEFORE('Cylinder Detail'!Z19, ","))</f>
        <v>SY7000</v>
      </c>
      <c r="M17" s="13" t="str">
        <f t="shared" si="10"/>
        <v>M12 5-Pin</v>
      </c>
      <c r="N17" s="17" t="str">
        <f>IF('Cylinder Detail'!V19=0,"",'Cylinder Detail'!V19)</f>
        <v>-QMB3</v>
      </c>
      <c r="O17" s="17" t="str">
        <f>IF('Cylinder Detail'!Z19=0,"",_xlfn.TEXTAFTER('Cylinder Detail'!Z19, ", "))</f>
        <v>2 position, double</v>
      </c>
      <c r="P17" s="17" t="str">
        <f>IF('Cylinder Detail'!AA19=0,"",'Cylinder Detail'!AA19)</f>
        <v>SY7200-5U1-NA</v>
      </c>
      <c r="Q17" s="19" t="str">
        <f>IF('Cylinder Detail'!W19=0,"",'Cylinder Detail'!W19)</f>
        <v>=MM3</v>
      </c>
      <c r="R17" s="19" t="str">
        <f>IF('Cylinder Detail'!Y19=0,"",'Cylinder Detail'!Y19)</f>
        <v>Group 3 Clamps</v>
      </c>
      <c r="S17" s="21" t="str">
        <f>IF('Cylinder Detail'!X19=0,"",'Cylinder Detail'!X19)</f>
        <v>-MMB2</v>
      </c>
      <c r="T17" s="21" t="str">
        <f>IF('Cylinder Detail'!F19=0,"",'Cylinder Detail'!F19)</f>
        <v>Clamp with two internal sensors</v>
      </c>
      <c r="U17" s="21" t="str">
        <f>IF('Cylinder Detail'!R19=0,"",'Cylinder Detail'!R19)</f>
        <v>Retracted</v>
      </c>
      <c r="V17" s="21" t="str">
        <f>IF('Cylinder Detail'!Q19=0,"",'Cylinder Detail'!Q19)</f>
        <v>CKZ5N63TF-105DTF</v>
      </c>
      <c r="W17" s="21" t="str">
        <f>IF('Cylinder Detail'!E19=0,"","+" &amp; 'Cylinder Detail'!E19)</f>
        <v>+U3.1R</v>
      </c>
      <c r="X17" s="21" t="str">
        <f t="shared" si="11"/>
        <v>Unit +U3.1R</v>
      </c>
      <c r="Y17" s="21" t="str">
        <f>IF('Cylinder Detail'!S19=0,"",'Cylinder Detail'!S19)</f>
        <v/>
      </c>
      <c r="Z17" s="21" t="str">
        <f>IF('Cylinder Detail'!T19=0,"",'Cylinder Detail'!T19)</f>
        <v/>
      </c>
      <c r="AA17" s="21">
        <f>IF('Cylinder Detail'!H19=0,"",'Cylinder Detail'!H19)</f>
        <v>63</v>
      </c>
      <c r="AB17" s="21">
        <f>IF('Cylinder Detail'!I19=0,"",'Cylinder Detail'!I19)</f>
        <v>72.400000000000006</v>
      </c>
      <c r="AC17" s="22">
        <f>IF('Cylinder Detail'!AB19=0,"",'Cylinder Detail'!AB19)</f>
        <v>10</v>
      </c>
      <c r="AD17" s="25" t="str">
        <f>IF('Sensor Detail'!F19=0,"","=" &amp; 'Sensor Detail'!F19)</f>
        <v/>
      </c>
      <c r="AE17" s="25" t="str">
        <f>IF('Sensor Detail'!H19=0,"",'Sensor Detail'!H19)</f>
        <v/>
      </c>
      <c r="AF17" s="27" t="str">
        <f>IF('Sensor Detail'!G19=0,"","-" &amp; 'Sensor Detail'!G19)</f>
        <v/>
      </c>
      <c r="AG17" s="27" t="str">
        <f>IF('Sensor Detail'!I19=0,"",'Sensor Detail'!I19)</f>
        <v/>
      </c>
      <c r="AH17" s="27" t="str">
        <f>IF('Sensor Detail'!E19=0,"","+" &amp; 'Sensor Detail'!E19)</f>
        <v/>
      </c>
      <c r="AI17" s="27" t="str">
        <f t="shared" si="12"/>
        <v/>
      </c>
      <c r="AJ17" s="27" t="str">
        <f>IF('Sensor Detail'!J19=0,"",'Sensor Detail'!J19)</f>
        <v/>
      </c>
      <c r="AK17" s="27" t="str">
        <f>IF('Sensor Detail'!K19=0,"",'Sensor Detail'!K19)</f>
        <v/>
      </c>
      <c r="AL17" s="27" t="str">
        <f>IF('Sensor Detail'!L19=0,"",'Sensor Detail'!L19)</f>
        <v/>
      </c>
      <c r="AM17" s="27" t="str">
        <f>IF('Sensor Detail'!M19=0,"",'Sensor Detail'!M19)</f>
        <v/>
      </c>
      <c r="AN17" s="27" t="str">
        <f>IF('Sensor Detail'!N19=0,"",'Sensor Detail'!N19)</f>
        <v/>
      </c>
      <c r="AO17" s="27" t="str">
        <f>IF('Sensor Detail'!O19=0,"",'Sensor Detail'!O19)</f>
        <v/>
      </c>
      <c r="AP17" s="15">
        <f t="shared" si="13"/>
        <v>0</v>
      </c>
      <c r="AQ17" s="15">
        <f t="shared" si="14"/>
        <v>0</v>
      </c>
    </row>
    <row r="18" spans="1:43">
      <c r="A18" s="13" t="str">
        <f t="shared" si="0"/>
        <v>Mino</v>
      </c>
      <c r="B18" s="13" t="str">
        <f t="shared" si="1"/>
        <v>wei  jiang</v>
      </c>
      <c r="C18" s="15" t="str">
        <f t="shared" si="2"/>
        <v>++BL03</v>
      </c>
      <c r="D18" s="15" t="str">
        <f t="shared" si="3"/>
        <v>++FFLR</v>
      </c>
      <c r="E18" s="15" t="str">
        <f t="shared" si="4"/>
        <v>Front Floor</v>
      </c>
      <c r="F18" s="15" t="str">
        <f t="shared" si="5"/>
        <v>+010</v>
      </c>
      <c r="G18" s="15" t="str">
        <f t="shared" si="6"/>
        <v>Station 010</v>
      </c>
      <c r="H18" s="15" t="str">
        <f t="shared" si="7"/>
        <v>+UA1</v>
      </c>
      <c r="I18" s="15" t="str">
        <f t="shared" si="8"/>
        <v>Fixture</v>
      </c>
      <c r="J18" s="15" t="str">
        <f t="shared" si="9"/>
        <v>Fixture</v>
      </c>
      <c r="K18" s="13" t="str">
        <f>IF('Cylinder Detail'!U20=0,"",'Cylinder Detail'!U20)</f>
        <v>=KJ1</v>
      </c>
      <c r="L18" s="13" t="str">
        <f>IF('Cylinder Detail'!Z20=0,"",_xlfn.TEXTBEFORE('Cylinder Detail'!Z20, ","))</f>
        <v>SY7000</v>
      </c>
      <c r="M18" s="13" t="str">
        <f t="shared" si="10"/>
        <v>M12 5-Pin</v>
      </c>
      <c r="N18" s="17" t="str">
        <f>IF('Cylinder Detail'!V20=0,"",'Cylinder Detail'!V20)</f>
        <v>-QMB3</v>
      </c>
      <c r="O18" s="17" t="str">
        <f>IF('Cylinder Detail'!Z20=0,"",_xlfn.TEXTAFTER('Cylinder Detail'!Z20, ", "))</f>
        <v>2 position, double</v>
      </c>
      <c r="P18" s="17" t="str">
        <f>IF('Cylinder Detail'!AA20=0,"",'Cylinder Detail'!AA20)</f>
        <v>SY7200-5U1-NA</v>
      </c>
      <c r="Q18" s="19" t="str">
        <f>IF('Cylinder Detail'!W20=0,"",'Cylinder Detail'!W20)</f>
        <v>=MM3</v>
      </c>
      <c r="R18" s="19" t="str">
        <f>IF('Cylinder Detail'!Y20=0,"",'Cylinder Detail'!Y20)</f>
        <v>Group 3 Clamps</v>
      </c>
      <c r="S18" s="21" t="str">
        <f>IF('Cylinder Detail'!X20=0,"",'Cylinder Detail'!X20)</f>
        <v>-MMB3</v>
      </c>
      <c r="T18" s="21" t="str">
        <f>IF('Cylinder Detail'!F20=0,"",'Cylinder Detail'!F20)</f>
        <v>Clamp with two internal sensors</v>
      </c>
      <c r="U18" s="21" t="str">
        <f>IF('Cylinder Detail'!R20=0,"",'Cylinder Detail'!R20)</f>
        <v>Retracted</v>
      </c>
      <c r="V18" s="21" t="str">
        <f>IF('Cylinder Detail'!Q20=0,"",'Cylinder Detail'!Q20)</f>
        <v>CKZ5N63TF-120DTF</v>
      </c>
      <c r="W18" s="21" t="str">
        <f>IF('Cylinder Detail'!E20=0,"","+" &amp; 'Cylinder Detail'!E20)</f>
        <v>+U4.1R</v>
      </c>
      <c r="X18" s="21" t="str">
        <f t="shared" si="11"/>
        <v>Unit +U4.1R</v>
      </c>
      <c r="Y18" s="21" t="str">
        <f>IF('Cylinder Detail'!S20=0,"",'Cylinder Detail'!S20)</f>
        <v/>
      </c>
      <c r="Z18" s="21" t="str">
        <f>IF('Cylinder Detail'!T20=0,"",'Cylinder Detail'!T20)</f>
        <v/>
      </c>
      <c r="AA18" s="21">
        <f>IF('Cylinder Detail'!H20=0,"",'Cylinder Detail'!H20)</f>
        <v>63</v>
      </c>
      <c r="AB18" s="21">
        <f>IF('Cylinder Detail'!I20=0,"",'Cylinder Detail'!I20)</f>
        <v>79.400000000000006</v>
      </c>
      <c r="AC18" s="22">
        <f>IF('Cylinder Detail'!AB20=0,"",'Cylinder Detail'!AB20)</f>
        <v>10</v>
      </c>
      <c r="AD18" s="25" t="str">
        <f>IF('Sensor Detail'!F20=0,"","=" &amp; 'Sensor Detail'!F20)</f>
        <v/>
      </c>
      <c r="AE18" s="25" t="str">
        <f>IF('Sensor Detail'!H20=0,"",'Sensor Detail'!H20)</f>
        <v/>
      </c>
      <c r="AF18" s="27" t="str">
        <f>IF('Sensor Detail'!G20=0,"","-" &amp; 'Sensor Detail'!G20)</f>
        <v/>
      </c>
      <c r="AG18" s="27" t="str">
        <f>IF('Sensor Detail'!I20=0,"",'Sensor Detail'!I20)</f>
        <v/>
      </c>
      <c r="AH18" s="27" t="str">
        <f>IF('Sensor Detail'!E20=0,"","+" &amp; 'Sensor Detail'!E20)</f>
        <v/>
      </c>
      <c r="AI18" s="27" t="str">
        <f t="shared" si="12"/>
        <v/>
      </c>
      <c r="AJ18" s="27" t="str">
        <f>IF('Sensor Detail'!J20=0,"",'Sensor Detail'!J20)</f>
        <v/>
      </c>
      <c r="AK18" s="27" t="str">
        <f>IF('Sensor Detail'!K20=0,"",'Sensor Detail'!K20)</f>
        <v/>
      </c>
      <c r="AL18" s="27" t="str">
        <f>IF('Sensor Detail'!L20=0,"",'Sensor Detail'!L20)</f>
        <v/>
      </c>
      <c r="AM18" s="27" t="str">
        <f>IF('Sensor Detail'!M20=0,"",'Sensor Detail'!M20)</f>
        <v/>
      </c>
      <c r="AN18" s="27" t="str">
        <f>IF('Sensor Detail'!N20=0,"",'Sensor Detail'!N20)</f>
        <v/>
      </c>
      <c r="AO18" s="27" t="str">
        <f>IF('Sensor Detail'!O20=0,"",'Sensor Detail'!O20)</f>
        <v/>
      </c>
      <c r="AP18" s="15">
        <f t="shared" si="13"/>
        <v>0</v>
      </c>
      <c r="AQ18" s="15">
        <f t="shared" si="14"/>
        <v>0</v>
      </c>
    </row>
    <row r="19" spans="1:43">
      <c r="A19" s="13" t="str">
        <f t="shared" si="0"/>
        <v>Mino</v>
      </c>
      <c r="B19" s="13" t="str">
        <f t="shared" si="1"/>
        <v>wei  jiang</v>
      </c>
      <c r="C19" s="15" t="str">
        <f t="shared" si="2"/>
        <v>++BL03</v>
      </c>
      <c r="D19" s="15" t="str">
        <f t="shared" si="3"/>
        <v>++FFLR</v>
      </c>
      <c r="E19" s="15" t="str">
        <f t="shared" si="4"/>
        <v>Front Floor</v>
      </c>
      <c r="F19" s="15" t="str">
        <f t="shared" si="5"/>
        <v>+010</v>
      </c>
      <c r="G19" s="15" t="str">
        <f t="shared" si="6"/>
        <v>Station 010</v>
      </c>
      <c r="H19" s="15" t="str">
        <f t="shared" si="7"/>
        <v>+UA1</v>
      </c>
      <c r="I19" s="15" t="str">
        <f t="shared" si="8"/>
        <v>Fixture</v>
      </c>
      <c r="J19" s="15" t="str">
        <f t="shared" si="9"/>
        <v>Fixture</v>
      </c>
      <c r="K19" s="13" t="str">
        <f>IF('Cylinder Detail'!U21=0,"",'Cylinder Detail'!U21)</f>
        <v>=KJ1</v>
      </c>
      <c r="L19" s="13" t="str">
        <f>IF('Cylinder Detail'!Z21=0,"",_xlfn.TEXTBEFORE('Cylinder Detail'!Z21, ","))</f>
        <v>SY7000</v>
      </c>
      <c r="M19" s="13" t="str">
        <f t="shared" si="10"/>
        <v>M12 5-Pin</v>
      </c>
      <c r="N19" s="17" t="str">
        <f>IF('Cylinder Detail'!V21=0,"",'Cylinder Detail'!V21)</f>
        <v>-QMB3</v>
      </c>
      <c r="O19" s="17" t="str">
        <f>IF('Cylinder Detail'!Z21=0,"",_xlfn.TEXTAFTER('Cylinder Detail'!Z21, ", "))</f>
        <v>2 position, double</v>
      </c>
      <c r="P19" s="17" t="str">
        <f>IF('Cylinder Detail'!AA21=0,"",'Cylinder Detail'!AA21)</f>
        <v>SY7200-5U1-NA</v>
      </c>
      <c r="Q19" s="19" t="str">
        <f>IF('Cylinder Detail'!W21=0,"",'Cylinder Detail'!W21)</f>
        <v>=MM3</v>
      </c>
      <c r="R19" s="19" t="str">
        <f>IF('Cylinder Detail'!Y21=0,"",'Cylinder Detail'!Y21)</f>
        <v>Group 3 Clamps</v>
      </c>
      <c r="S19" s="21" t="str">
        <f>IF('Cylinder Detail'!X21=0,"",'Cylinder Detail'!X21)</f>
        <v>-MMB4</v>
      </c>
      <c r="T19" s="21" t="str">
        <f>IF('Cylinder Detail'!F21=0,"",'Cylinder Detail'!F21)</f>
        <v>Clamp with two internal sensors</v>
      </c>
      <c r="U19" s="21" t="str">
        <f>IF('Cylinder Detail'!R21=0,"",'Cylinder Detail'!R21)</f>
        <v>Retracted</v>
      </c>
      <c r="V19" s="21" t="str">
        <f>IF('Cylinder Detail'!Q21=0,"",'Cylinder Detail'!Q21)</f>
        <v>CKZ5N63TF-120DTF</v>
      </c>
      <c r="W19" s="21" t="str">
        <f>IF('Cylinder Detail'!E21=0,"","+" &amp; 'Cylinder Detail'!E21)</f>
        <v>+U5.1R</v>
      </c>
      <c r="X19" s="21" t="str">
        <f t="shared" si="11"/>
        <v>Unit +U5.1R</v>
      </c>
      <c r="Y19" s="21" t="str">
        <f>IF('Cylinder Detail'!S21=0,"",'Cylinder Detail'!S21)</f>
        <v/>
      </c>
      <c r="Z19" s="21" t="str">
        <f>IF('Cylinder Detail'!T21=0,"",'Cylinder Detail'!T21)</f>
        <v/>
      </c>
      <c r="AA19" s="21">
        <f>IF('Cylinder Detail'!H21=0,"",'Cylinder Detail'!H21)</f>
        <v>63</v>
      </c>
      <c r="AB19" s="21">
        <f>IF('Cylinder Detail'!I21=0,"",'Cylinder Detail'!I21)</f>
        <v>79.400000000000006</v>
      </c>
      <c r="AC19" s="22">
        <f>IF('Cylinder Detail'!AB21=0,"",'Cylinder Detail'!AB21)</f>
        <v>10</v>
      </c>
      <c r="AD19" s="25" t="str">
        <f>IF('Sensor Detail'!F21=0,"","=" &amp; 'Sensor Detail'!F21)</f>
        <v/>
      </c>
      <c r="AE19" s="25" t="str">
        <f>IF('Sensor Detail'!H21=0,"",'Sensor Detail'!H21)</f>
        <v/>
      </c>
      <c r="AF19" s="27" t="str">
        <f>IF('Sensor Detail'!G21=0,"","-" &amp; 'Sensor Detail'!G21)</f>
        <v/>
      </c>
      <c r="AG19" s="27" t="str">
        <f>IF('Sensor Detail'!I21=0,"",'Sensor Detail'!I21)</f>
        <v/>
      </c>
      <c r="AH19" s="27" t="str">
        <f>IF('Sensor Detail'!E21=0,"","+" &amp; 'Sensor Detail'!E21)</f>
        <v/>
      </c>
      <c r="AI19" s="27" t="str">
        <f t="shared" si="12"/>
        <v/>
      </c>
      <c r="AJ19" s="27" t="str">
        <f>IF('Sensor Detail'!J21=0,"",'Sensor Detail'!J21)</f>
        <v/>
      </c>
      <c r="AK19" s="27" t="str">
        <f>IF('Sensor Detail'!K21=0,"",'Sensor Detail'!K21)</f>
        <v/>
      </c>
      <c r="AL19" s="27" t="str">
        <f>IF('Sensor Detail'!L21=0,"",'Sensor Detail'!L21)</f>
        <v/>
      </c>
      <c r="AM19" s="27" t="str">
        <f>IF('Sensor Detail'!M21=0,"",'Sensor Detail'!M21)</f>
        <v/>
      </c>
      <c r="AN19" s="27" t="str">
        <f>IF('Sensor Detail'!N21=0,"",'Sensor Detail'!N21)</f>
        <v/>
      </c>
      <c r="AO19" s="27" t="str">
        <f>IF('Sensor Detail'!O21=0,"",'Sensor Detail'!O21)</f>
        <v/>
      </c>
      <c r="AP19" s="15">
        <f t="shared" si="13"/>
        <v>0</v>
      </c>
      <c r="AQ19" s="15">
        <f t="shared" si="14"/>
        <v>0</v>
      </c>
    </row>
    <row r="20" spans="1:43">
      <c r="A20" s="13" t="str">
        <f t="shared" si="0"/>
        <v>Mino</v>
      </c>
      <c r="B20" s="13" t="str">
        <f t="shared" si="1"/>
        <v>wei  jiang</v>
      </c>
      <c r="C20" s="15" t="str">
        <f t="shared" si="2"/>
        <v>++BL03</v>
      </c>
      <c r="D20" s="15" t="str">
        <f t="shared" si="3"/>
        <v>++FFLR</v>
      </c>
      <c r="E20" s="15" t="str">
        <f t="shared" si="4"/>
        <v>Front Floor</v>
      </c>
      <c r="F20" s="15" t="str">
        <f t="shared" si="5"/>
        <v>+010</v>
      </c>
      <c r="G20" s="15" t="str">
        <f t="shared" si="6"/>
        <v>Station 010</v>
      </c>
      <c r="H20" s="15" t="str">
        <f t="shared" si="7"/>
        <v>+UA1</v>
      </c>
      <c r="I20" s="15" t="str">
        <f t="shared" si="8"/>
        <v>Fixture</v>
      </c>
      <c r="J20" s="15" t="str">
        <f t="shared" si="9"/>
        <v>Fixture</v>
      </c>
      <c r="K20" s="13" t="str">
        <f>IF('Cylinder Detail'!U22=0,"",'Cylinder Detail'!U22)</f>
        <v>=KJ1</v>
      </c>
      <c r="L20" s="13" t="str">
        <f>IF('Cylinder Detail'!Z22=0,"",_xlfn.TEXTBEFORE('Cylinder Detail'!Z22, ","))</f>
        <v>SY7000</v>
      </c>
      <c r="M20" s="13" t="str">
        <f t="shared" si="10"/>
        <v>M12 5-Pin</v>
      </c>
      <c r="N20" s="17" t="str">
        <f>IF('Cylinder Detail'!V22=0,"",'Cylinder Detail'!V22)</f>
        <v>-QMB3</v>
      </c>
      <c r="O20" s="17" t="str">
        <f>IF('Cylinder Detail'!Z22=0,"",_xlfn.TEXTAFTER('Cylinder Detail'!Z22, ", "))</f>
        <v>2 position, double</v>
      </c>
      <c r="P20" s="17" t="str">
        <f>IF('Cylinder Detail'!AA22=0,"",'Cylinder Detail'!AA22)</f>
        <v>SY7200-5U1-NA</v>
      </c>
      <c r="Q20" s="19" t="str">
        <f>IF('Cylinder Detail'!W22=0,"",'Cylinder Detail'!W22)</f>
        <v>=MM3</v>
      </c>
      <c r="R20" s="19" t="str">
        <f>IF('Cylinder Detail'!Y22=0,"",'Cylinder Detail'!Y22)</f>
        <v>Group 3 Clamps</v>
      </c>
      <c r="S20" s="21" t="str">
        <f>IF('Cylinder Detail'!X22=0,"",'Cylinder Detail'!X22)</f>
        <v>-MMB5</v>
      </c>
      <c r="T20" s="21" t="str">
        <f>IF('Cylinder Detail'!F22=0,"",'Cylinder Detail'!F22)</f>
        <v>Clamp with two internal sensors</v>
      </c>
      <c r="U20" s="21" t="str">
        <f>IF('Cylinder Detail'!R22=0,"",'Cylinder Detail'!R22)</f>
        <v>Retracted</v>
      </c>
      <c r="V20" s="21" t="str">
        <f>IF('Cylinder Detail'!Q22=0,"",'Cylinder Detail'!Q22)</f>
        <v>CKZ5N63TF-105DTF</v>
      </c>
      <c r="W20" s="21" t="str">
        <f>IF('Cylinder Detail'!E22=0,"","+" &amp; 'Cylinder Detail'!E22)</f>
        <v>+U6.1R</v>
      </c>
      <c r="X20" s="21" t="str">
        <f t="shared" si="11"/>
        <v>Unit +U6.1R</v>
      </c>
      <c r="Y20" s="21" t="str">
        <f>IF('Cylinder Detail'!S22=0,"",'Cylinder Detail'!S22)</f>
        <v/>
      </c>
      <c r="Z20" s="21" t="str">
        <f>IF('Cylinder Detail'!T22=0,"",'Cylinder Detail'!T22)</f>
        <v/>
      </c>
      <c r="AA20" s="21">
        <f>IF('Cylinder Detail'!H22=0,"",'Cylinder Detail'!H22)</f>
        <v>63</v>
      </c>
      <c r="AB20" s="21">
        <f>IF('Cylinder Detail'!I22=0,"",'Cylinder Detail'!I22)</f>
        <v>72.400000000000006</v>
      </c>
      <c r="AC20" s="22">
        <f>IF('Cylinder Detail'!AB22=0,"",'Cylinder Detail'!AB22)</f>
        <v>10</v>
      </c>
      <c r="AD20" s="25" t="str">
        <f>IF('Sensor Detail'!F22=0,"","=" &amp; 'Sensor Detail'!F22)</f>
        <v/>
      </c>
      <c r="AE20" s="25" t="str">
        <f>IF('Sensor Detail'!H22=0,"",'Sensor Detail'!H22)</f>
        <v/>
      </c>
      <c r="AF20" s="27" t="str">
        <f>IF('Sensor Detail'!G22=0,"","-" &amp; 'Sensor Detail'!G22)</f>
        <v/>
      </c>
      <c r="AG20" s="27" t="str">
        <f>IF('Sensor Detail'!I22=0,"",'Sensor Detail'!I22)</f>
        <v/>
      </c>
      <c r="AH20" s="27" t="str">
        <f>IF('Sensor Detail'!E22=0,"","+" &amp; 'Sensor Detail'!E22)</f>
        <v/>
      </c>
      <c r="AI20" s="27" t="str">
        <f t="shared" si="12"/>
        <v/>
      </c>
      <c r="AJ20" s="27" t="str">
        <f>IF('Sensor Detail'!J22=0,"",'Sensor Detail'!J22)</f>
        <v/>
      </c>
      <c r="AK20" s="27" t="str">
        <f>IF('Sensor Detail'!K22=0,"",'Sensor Detail'!K22)</f>
        <v/>
      </c>
      <c r="AL20" s="27" t="str">
        <f>IF('Sensor Detail'!L22=0,"",'Sensor Detail'!L22)</f>
        <v/>
      </c>
      <c r="AM20" s="27" t="str">
        <f>IF('Sensor Detail'!M22=0,"",'Sensor Detail'!M22)</f>
        <v/>
      </c>
      <c r="AN20" s="27" t="str">
        <f>IF('Sensor Detail'!N22=0,"",'Sensor Detail'!N22)</f>
        <v/>
      </c>
      <c r="AO20" s="27" t="str">
        <f>IF('Sensor Detail'!O22=0,"",'Sensor Detail'!O22)</f>
        <v/>
      </c>
      <c r="AP20" s="15">
        <f t="shared" si="13"/>
        <v>0</v>
      </c>
      <c r="AQ20" s="15">
        <f t="shared" si="14"/>
        <v>0</v>
      </c>
    </row>
    <row r="21" spans="1:43">
      <c r="A21" s="13" t="str">
        <f t="shared" si="0"/>
        <v>Mino</v>
      </c>
      <c r="B21" s="13" t="str">
        <f t="shared" si="1"/>
        <v>wei  jiang</v>
      </c>
      <c r="C21" s="15" t="str">
        <f t="shared" si="2"/>
        <v>++BL03</v>
      </c>
      <c r="D21" s="15" t="str">
        <f t="shared" si="3"/>
        <v>++FFLR</v>
      </c>
      <c r="E21" s="15" t="str">
        <f t="shared" si="4"/>
        <v>Front Floor</v>
      </c>
      <c r="F21" s="15" t="str">
        <f t="shared" si="5"/>
        <v>+010</v>
      </c>
      <c r="G21" s="15" t="str">
        <f t="shared" si="6"/>
        <v>Station 010</v>
      </c>
      <c r="H21" s="15" t="str">
        <f t="shared" si="7"/>
        <v>+UA1</v>
      </c>
      <c r="I21" s="15" t="str">
        <f t="shared" si="8"/>
        <v>Fixture</v>
      </c>
      <c r="J21" s="15" t="str">
        <f t="shared" si="9"/>
        <v>Fixture</v>
      </c>
      <c r="K21" s="13" t="str">
        <f>IF('Cylinder Detail'!U23=0,"",'Cylinder Detail'!U23)</f>
        <v>=KJ1</v>
      </c>
      <c r="L21" s="13" t="str">
        <f>IF('Cylinder Detail'!Z23=0,"",_xlfn.TEXTBEFORE('Cylinder Detail'!Z23, ","))</f>
        <v>SY7000</v>
      </c>
      <c r="M21" s="13" t="str">
        <f t="shared" si="10"/>
        <v>M12 5-Pin</v>
      </c>
      <c r="N21" s="17" t="str">
        <f>IF('Cylinder Detail'!V23=0,"",'Cylinder Detail'!V23)</f>
        <v>-QMB4</v>
      </c>
      <c r="O21" s="17" t="str">
        <f>IF('Cylinder Detail'!Z23=0,"",_xlfn.TEXTAFTER('Cylinder Detail'!Z23, ", "))</f>
        <v>2 position, double</v>
      </c>
      <c r="P21" s="17" t="str">
        <f>IF('Cylinder Detail'!AA23=0,"",'Cylinder Detail'!AA23)</f>
        <v>SY7200-5U1-NA</v>
      </c>
      <c r="Q21" s="19" t="str">
        <f>IF('Cylinder Detail'!W23=0,"",'Cylinder Detail'!W23)</f>
        <v>=MM4</v>
      </c>
      <c r="R21" s="19" t="str">
        <f>IF('Cylinder Detail'!Y23=0,"",'Cylinder Detail'!Y23)</f>
        <v>Group 4 Pins</v>
      </c>
      <c r="S21" s="21" t="str">
        <f>IF('Cylinder Detail'!X23=0,"",'Cylinder Detail'!X23)</f>
        <v>-MMB5</v>
      </c>
      <c r="T21" s="21" t="str">
        <f>IF('Cylinder Detail'!F23=0,"",'Cylinder Detail'!F23)</f>
        <v>Pin with two internal sensors</v>
      </c>
      <c r="U21" s="21" t="str">
        <f>IF('Cylinder Detail'!R23=0,"",'Cylinder Detail'!R23)</f>
        <v>Retracted</v>
      </c>
      <c r="V21" s="21" t="str">
        <f>IF('Cylinder Detail'!Q23=0,"",'Cylinder Detail'!Q23)</f>
        <v>CKZP57LTF-50P</v>
      </c>
      <c r="W21" s="21" t="str">
        <f>IF('Cylinder Detail'!E23=0,"","+" &amp; 'Cylinder Detail'!E23)</f>
        <v>+U6.2R</v>
      </c>
      <c r="X21" s="21" t="str">
        <f t="shared" si="11"/>
        <v>Unit +U6.2R</v>
      </c>
      <c r="Y21" s="21" t="str">
        <f>IF('Cylinder Detail'!S23=0,"",'Cylinder Detail'!S23)</f>
        <v/>
      </c>
      <c r="Z21" s="21" t="str">
        <f>IF('Cylinder Detail'!T23=0,"",'Cylinder Detail'!T23)</f>
        <v/>
      </c>
      <c r="AA21" s="21">
        <f>IF('Cylinder Detail'!H23=0,"",'Cylinder Detail'!H23)</f>
        <v>57</v>
      </c>
      <c r="AB21" s="21">
        <f>IF('Cylinder Detail'!I23=0,"",'Cylinder Detail'!I23)</f>
        <v>50</v>
      </c>
      <c r="AC21" s="22">
        <f>IF('Cylinder Detail'!AB23=0,"",'Cylinder Detail'!AB23)</f>
        <v>10</v>
      </c>
      <c r="AD21" s="25" t="str">
        <f>IF('Sensor Detail'!F23=0,"","=" &amp; 'Sensor Detail'!F23)</f>
        <v/>
      </c>
      <c r="AE21" s="25" t="str">
        <f>IF('Sensor Detail'!H23=0,"",'Sensor Detail'!H23)</f>
        <v/>
      </c>
      <c r="AF21" s="27" t="str">
        <f>IF('Sensor Detail'!G23=0,"","-" &amp; 'Sensor Detail'!G23)</f>
        <v/>
      </c>
      <c r="AG21" s="27" t="str">
        <f>IF('Sensor Detail'!I23=0,"",'Sensor Detail'!I23)</f>
        <v/>
      </c>
      <c r="AH21" s="27" t="str">
        <f>IF('Sensor Detail'!E23=0,"","+" &amp; 'Sensor Detail'!E23)</f>
        <v/>
      </c>
      <c r="AI21" s="27" t="str">
        <f t="shared" si="12"/>
        <v/>
      </c>
      <c r="AJ21" s="27" t="str">
        <f>IF('Sensor Detail'!J23=0,"",'Sensor Detail'!J23)</f>
        <v/>
      </c>
      <c r="AK21" s="27" t="str">
        <f>IF('Sensor Detail'!K23=0,"",'Sensor Detail'!K23)</f>
        <v/>
      </c>
      <c r="AL21" s="27" t="str">
        <f>IF('Sensor Detail'!L23=0,"",'Sensor Detail'!L23)</f>
        <v/>
      </c>
      <c r="AM21" s="27" t="str">
        <f>IF('Sensor Detail'!M23=0,"",'Sensor Detail'!M23)</f>
        <v/>
      </c>
      <c r="AN21" s="27" t="str">
        <f>IF('Sensor Detail'!N23=0,"",'Sensor Detail'!N23)</f>
        <v/>
      </c>
      <c r="AO21" s="27" t="str">
        <f>IF('Sensor Detail'!O23=0,"",'Sensor Detail'!O23)</f>
        <v/>
      </c>
      <c r="AP21" s="15">
        <f t="shared" si="13"/>
        <v>0</v>
      </c>
      <c r="AQ21" s="15">
        <f t="shared" si="14"/>
        <v>0</v>
      </c>
    </row>
    <row r="22" spans="1:43">
      <c r="A22" s="13" t="str">
        <f t="shared" si="0"/>
        <v>Mino</v>
      </c>
      <c r="B22" s="13" t="str">
        <f t="shared" si="1"/>
        <v>wei  jiang</v>
      </c>
      <c r="C22" s="15" t="str">
        <f t="shared" si="2"/>
        <v>++BL03</v>
      </c>
      <c r="D22" s="15" t="str">
        <f t="shared" si="3"/>
        <v>++FFLR</v>
      </c>
      <c r="E22" s="15" t="str">
        <f t="shared" si="4"/>
        <v>Front Floor</v>
      </c>
      <c r="F22" s="15" t="str">
        <f t="shared" si="5"/>
        <v>+010</v>
      </c>
      <c r="G22" s="15" t="str">
        <f t="shared" si="6"/>
        <v>Station 010</v>
      </c>
      <c r="H22" s="15" t="str">
        <f t="shared" si="7"/>
        <v>+UA1</v>
      </c>
      <c r="I22" s="15" t="str">
        <f t="shared" si="8"/>
        <v>Fixture</v>
      </c>
      <c r="J22" s="15" t="str">
        <f t="shared" si="9"/>
        <v>Fixture</v>
      </c>
      <c r="K22" s="13" t="str">
        <f>IF('Cylinder Detail'!U24=0,"",'Cylinder Detail'!U24)</f>
        <v>=KJ1</v>
      </c>
      <c r="L22" s="13" t="str">
        <f>IF('Cylinder Detail'!Z24=0,"",_xlfn.TEXTBEFORE('Cylinder Detail'!Z24, ","))</f>
        <v>SY7000</v>
      </c>
      <c r="M22" s="13" t="str">
        <f t="shared" si="10"/>
        <v>M12 5-Pin</v>
      </c>
      <c r="N22" s="17" t="str">
        <f>IF('Cylinder Detail'!V24=0,"",'Cylinder Detail'!V24)</f>
        <v>-QMB3</v>
      </c>
      <c r="O22" s="17" t="str">
        <f>IF('Cylinder Detail'!Z24=0,"",_xlfn.TEXTAFTER('Cylinder Detail'!Z24, ", "))</f>
        <v>2 position, double</v>
      </c>
      <c r="P22" s="17" t="str">
        <f>IF('Cylinder Detail'!AA24=0,"",'Cylinder Detail'!AA24)</f>
        <v>SY7200-5U1-NA</v>
      </c>
      <c r="Q22" s="19" t="str">
        <f>IF('Cylinder Detail'!W24=0,"",'Cylinder Detail'!W24)</f>
        <v>=MM3</v>
      </c>
      <c r="R22" s="19" t="str">
        <f>IF('Cylinder Detail'!Y24=0,"",'Cylinder Detail'!Y24)</f>
        <v>Group 3 Clamps</v>
      </c>
      <c r="S22" s="21" t="str">
        <f>IF('Cylinder Detail'!X24=0,"",'Cylinder Detail'!X24)</f>
        <v>-MMB6</v>
      </c>
      <c r="T22" s="21" t="str">
        <f>IF('Cylinder Detail'!F24=0,"",'Cylinder Detail'!F24)</f>
        <v>Clamp with two internal sensors</v>
      </c>
      <c r="U22" s="21" t="str">
        <f>IF('Cylinder Detail'!R24=0,"",'Cylinder Detail'!R24)</f>
        <v>Retracted</v>
      </c>
      <c r="V22" s="21" t="str">
        <f>IF('Cylinder Detail'!Q24=0,"",'Cylinder Detail'!Q24)</f>
        <v>CKZ5N63TF-90DTF</v>
      </c>
      <c r="W22" s="21" t="str">
        <f>IF('Cylinder Detail'!E24=0,"","+" &amp; 'Cylinder Detail'!E24)</f>
        <v>+U7.1R</v>
      </c>
      <c r="X22" s="21" t="str">
        <f t="shared" si="11"/>
        <v>Unit +U7.1R</v>
      </c>
      <c r="Y22" s="21" t="str">
        <f>IF('Cylinder Detail'!S24=0,"",'Cylinder Detail'!S24)</f>
        <v/>
      </c>
      <c r="Z22" s="21" t="str">
        <f>IF('Cylinder Detail'!T24=0,"",'Cylinder Detail'!T24)</f>
        <v/>
      </c>
      <c r="AA22" s="21">
        <f>IF('Cylinder Detail'!H24=0,"",'Cylinder Detail'!H24)</f>
        <v>63</v>
      </c>
      <c r="AB22" s="21">
        <f>IF('Cylinder Detail'!I24=0,"",'Cylinder Detail'!I24)</f>
        <v>64.5</v>
      </c>
      <c r="AC22" s="22">
        <f>IF('Cylinder Detail'!AB24=0,"",'Cylinder Detail'!AB24)</f>
        <v>10</v>
      </c>
      <c r="AD22" s="25" t="str">
        <f>IF('Sensor Detail'!F24=0,"","=" &amp; 'Sensor Detail'!F24)</f>
        <v/>
      </c>
      <c r="AE22" s="25" t="str">
        <f>IF('Sensor Detail'!H24=0,"",'Sensor Detail'!H24)</f>
        <v/>
      </c>
      <c r="AF22" s="27" t="str">
        <f>IF('Sensor Detail'!G24=0,"","-" &amp; 'Sensor Detail'!G24)</f>
        <v/>
      </c>
      <c r="AG22" s="27" t="str">
        <f>IF('Sensor Detail'!I24=0,"",'Sensor Detail'!I24)</f>
        <v/>
      </c>
      <c r="AH22" s="27" t="str">
        <f>IF('Sensor Detail'!E24=0,"","+" &amp; 'Sensor Detail'!E24)</f>
        <v/>
      </c>
      <c r="AI22" s="27" t="str">
        <f t="shared" si="12"/>
        <v/>
      </c>
      <c r="AJ22" s="27" t="str">
        <f>IF('Sensor Detail'!J24=0,"",'Sensor Detail'!J24)</f>
        <v/>
      </c>
      <c r="AK22" s="27" t="str">
        <f>IF('Sensor Detail'!K24=0,"",'Sensor Detail'!K24)</f>
        <v/>
      </c>
      <c r="AL22" s="27" t="str">
        <f>IF('Sensor Detail'!L24=0,"",'Sensor Detail'!L24)</f>
        <v/>
      </c>
      <c r="AM22" s="27" t="str">
        <f>IF('Sensor Detail'!M24=0,"",'Sensor Detail'!M24)</f>
        <v/>
      </c>
      <c r="AN22" s="27" t="str">
        <f>IF('Sensor Detail'!N24=0,"",'Sensor Detail'!N24)</f>
        <v/>
      </c>
      <c r="AO22" s="27" t="str">
        <f>IF('Sensor Detail'!O24=0,"",'Sensor Detail'!O24)</f>
        <v/>
      </c>
      <c r="AP22" s="15">
        <f t="shared" si="13"/>
        <v>0</v>
      </c>
      <c r="AQ22" s="15">
        <f t="shared" si="14"/>
        <v>0</v>
      </c>
    </row>
    <row r="23" spans="1:43">
      <c r="A23" s="13" t="str">
        <f t="shared" si="0"/>
        <v>Mino</v>
      </c>
      <c r="B23" s="13" t="str">
        <f t="shared" si="1"/>
        <v>wei  jiang</v>
      </c>
      <c r="C23" s="15" t="str">
        <f t="shared" si="2"/>
        <v>++BL03</v>
      </c>
      <c r="D23" s="15" t="str">
        <f t="shared" si="3"/>
        <v>++FFLR</v>
      </c>
      <c r="E23" s="15" t="str">
        <f t="shared" si="4"/>
        <v>Front Floor</v>
      </c>
      <c r="F23" s="15" t="str">
        <f t="shared" si="5"/>
        <v>+010</v>
      </c>
      <c r="G23" s="15" t="str">
        <f t="shared" si="6"/>
        <v>Station 010</v>
      </c>
      <c r="H23" s="15" t="str">
        <f t="shared" si="7"/>
        <v>+UA1</v>
      </c>
      <c r="I23" s="15" t="str">
        <f t="shared" si="8"/>
        <v>Fixture</v>
      </c>
      <c r="J23" s="15" t="str">
        <f t="shared" si="9"/>
        <v>Fixture</v>
      </c>
      <c r="K23" s="13" t="str">
        <f>IF('Cylinder Detail'!U25=0,"",'Cylinder Detail'!U25)</f>
        <v>=KJ1</v>
      </c>
      <c r="L23" s="13" t="str">
        <f>IF('Cylinder Detail'!Z25=0,"",_xlfn.TEXTBEFORE('Cylinder Detail'!Z25, ","))</f>
        <v>SY7000</v>
      </c>
      <c r="M23" s="13" t="str">
        <f t="shared" si="10"/>
        <v>M12 5-Pin</v>
      </c>
      <c r="N23" s="17" t="str">
        <f>IF('Cylinder Detail'!V25=0,"",'Cylinder Detail'!V25)</f>
        <v>-QMB3</v>
      </c>
      <c r="O23" s="17" t="str">
        <f>IF('Cylinder Detail'!Z25=0,"",_xlfn.TEXTAFTER('Cylinder Detail'!Z25, ", "))</f>
        <v>2 position, double</v>
      </c>
      <c r="P23" s="17" t="str">
        <f>IF('Cylinder Detail'!AA25=0,"",'Cylinder Detail'!AA25)</f>
        <v>SY7200-5U1-NA</v>
      </c>
      <c r="Q23" s="19" t="str">
        <f>IF('Cylinder Detail'!W25=0,"",'Cylinder Detail'!W25)</f>
        <v>=MM3</v>
      </c>
      <c r="R23" s="19" t="str">
        <f>IF('Cylinder Detail'!Y25=0,"",'Cylinder Detail'!Y25)</f>
        <v>Group 3 Clamps</v>
      </c>
      <c r="S23" s="21" t="str">
        <f>IF('Cylinder Detail'!X25=0,"",'Cylinder Detail'!X25)</f>
        <v>-MMB7</v>
      </c>
      <c r="T23" s="21" t="str">
        <f>IF('Cylinder Detail'!F25=0,"",'Cylinder Detail'!F25)</f>
        <v>Clamp with two internal sensors</v>
      </c>
      <c r="U23" s="21" t="str">
        <f>IF('Cylinder Detail'!R25=0,"",'Cylinder Detail'!R25)</f>
        <v>Retracted</v>
      </c>
      <c r="V23" s="21" t="str">
        <f>IF('Cylinder Detail'!Q25=0,"",'Cylinder Detail'!Q25)</f>
        <v>CKZ5N63TF-90DTF</v>
      </c>
      <c r="W23" s="21" t="str">
        <f>IF('Cylinder Detail'!E25=0,"","+" &amp; 'Cylinder Detail'!E25)</f>
        <v>+U8.1R</v>
      </c>
      <c r="X23" s="21" t="str">
        <f t="shared" si="11"/>
        <v>Unit +U8.1R</v>
      </c>
      <c r="Y23" s="21" t="str">
        <f>IF('Cylinder Detail'!S25=0,"",'Cylinder Detail'!S25)</f>
        <v/>
      </c>
      <c r="Z23" s="21" t="str">
        <f>IF('Cylinder Detail'!T25=0,"",'Cylinder Detail'!T25)</f>
        <v/>
      </c>
      <c r="AA23" s="21">
        <f>IF('Cylinder Detail'!H25=0,"",'Cylinder Detail'!H25)</f>
        <v>63</v>
      </c>
      <c r="AB23" s="21">
        <f>IF('Cylinder Detail'!I25=0,"",'Cylinder Detail'!I25)</f>
        <v>64.5</v>
      </c>
      <c r="AC23" s="22">
        <f>IF('Cylinder Detail'!AB25=0,"",'Cylinder Detail'!AB25)</f>
        <v>10</v>
      </c>
      <c r="AD23" s="25" t="str">
        <f>IF('Sensor Detail'!F25=0,"","=" &amp; 'Sensor Detail'!F25)</f>
        <v/>
      </c>
      <c r="AE23" s="25" t="str">
        <f>IF('Sensor Detail'!H25=0,"",'Sensor Detail'!H25)</f>
        <v/>
      </c>
      <c r="AF23" s="27" t="str">
        <f>IF('Sensor Detail'!G25=0,"","-" &amp; 'Sensor Detail'!G25)</f>
        <v/>
      </c>
      <c r="AG23" s="27" t="str">
        <f>IF('Sensor Detail'!I25=0,"",'Sensor Detail'!I25)</f>
        <v/>
      </c>
      <c r="AH23" s="27" t="str">
        <f>IF('Sensor Detail'!E25=0,"","+" &amp; 'Sensor Detail'!E25)</f>
        <v/>
      </c>
      <c r="AI23" s="27" t="str">
        <f t="shared" si="12"/>
        <v/>
      </c>
      <c r="AJ23" s="27" t="str">
        <f>IF('Sensor Detail'!J25=0,"",'Sensor Detail'!J25)</f>
        <v/>
      </c>
      <c r="AK23" s="27" t="str">
        <f>IF('Sensor Detail'!K25=0,"",'Sensor Detail'!K25)</f>
        <v/>
      </c>
      <c r="AL23" s="27" t="str">
        <f>IF('Sensor Detail'!L25=0,"",'Sensor Detail'!L25)</f>
        <v/>
      </c>
      <c r="AM23" s="27" t="str">
        <f>IF('Sensor Detail'!M25=0,"",'Sensor Detail'!M25)</f>
        <v/>
      </c>
      <c r="AN23" s="27" t="str">
        <f>IF('Sensor Detail'!N25=0,"",'Sensor Detail'!N25)</f>
        <v/>
      </c>
      <c r="AO23" s="27" t="str">
        <f>IF('Sensor Detail'!O25=0,"",'Sensor Detail'!O25)</f>
        <v/>
      </c>
      <c r="AP23" s="15">
        <f t="shared" si="13"/>
        <v>0</v>
      </c>
      <c r="AQ23" s="15">
        <f t="shared" si="14"/>
        <v>0</v>
      </c>
    </row>
    <row r="24" spans="1:43">
      <c r="A24" s="13" t="str">
        <f t="shared" si="0"/>
        <v>Mino</v>
      </c>
      <c r="B24" s="13" t="str">
        <f t="shared" si="1"/>
        <v>wei  jiang</v>
      </c>
      <c r="C24" s="15" t="str">
        <f t="shared" si="2"/>
        <v>++BL03</v>
      </c>
      <c r="D24" s="15" t="str">
        <f t="shared" si="3"/>
        <v>++FFLR</v>
      </c>
      <c r="E24" s="15" t="str">
        <f t="shared" si="4"/>
        <v>Front Floor</v>
      </c>
      <c r="F24" s="15" t="str">
        <f t="shared" si="5"/>
        <v>+010</v>
      </c>
      <c r="G24" s="15" t="str">
        <f t="shared" si="6"/>
        <v>Station 010</v>
      </c>
      <c r="H24" s="15" t="str">
        <f t="shared" si="7"/>
        <v>+UA1</v>
      </c>
      <c r="I24" s="15" t="str">
        <f t="shared" si="8"/>
        <v>Fixture</v>
      </c>
      <c r="J24" s="15" t="str">
        <f t="shared" si="9"/>
        <v>Fixture</v>
      </c>
      <c r="K24" s="13" t="str">
        <f>IF('Cylinder Detail'!U26=0,"",'Cylinder Detail'!U26)</f>
        <v>=KJ1</v>
      </c>
      <c r="L24" s="13" t="str">
        <f>IF('Cylinder Detail'!Z26=0,"",_xlfn.TEXTBEFORE('Cylinder Detail'!Z26, ","))</f>
        <v>SY7000</v>
      </c>
      <c r="M24" s="13" t="str">
        <f t="shared" si="10"/>
        <v>M12 5-Pin</v>
      </c>
      <c r="N24" s="17" t="str">
        <f>IF('Cylinder Detail'!V26=0,"",'Cylinder Detail'!V26)</f>
        <v>-QMB3</v>
      </c>
      <c r="O24" s="17" t="str">
        <f>IF('Cylinder Detail'!Z26=0,"",_xlfn.TEXTAFTER('Cylinder Detail'!Z26, ", "))</f>
        <v>2 position, double</v>
      </c>
      <c r="P24" s="17" t="str">
        <f>IF('Cylinder Detail'!AA26=0,"",'Cylinder Detail'!AA26)</f>
        <v>SY7200-5U1-NA</v>
      </c>
      <c r="Q24" s="19" t="str">
        <f>IF('Cylinder Detail'!W26=0,"",'Cylinder Detail'!W26)</f>
        <v>=MM3</v>
      </c>
      <c r="R24" s="19" t="str">
        <f>IF('Cylinder Detail'!Y26=0,"",'Cylinder Detail'!Y26)</f>
        <v>Group 3 Clamps</v>
      </c>
      <c r="S24" s="21" t="str">
        <f>IF('Cylinder Detail'!X26=0,"",'Cylinder Detail'!X26)</f>
        <v>-MMB8</v>
      </c>
      <c r="T24" s="21" t="str">
        <f>IF('Cylinder Detail'!F26=0,"",'Cylinder Detail'!F26)</f>
        <v>Clamp with two internal sensors</v>
      </c>
      <c r="U24" s="21" t="str">
        <f>IF('Cylinder Detail'!R26=0,"",'Cylinder Detail'!R26)</f>
        <v>Retracted</v>
      </c>
      <c r="V24" s="21" t="str">
        <f>IF('Cylinder Detail'!Q26=0,"",'Cylinder Detail'!Q26)</f>
        <v>CKZ5N63TF-90DTF</v>
      </c>
      <c r="W24" s="21" t="str">
        <f>IF('Cylinder Detail'!E26=0,"","+" &amp; 'Cylinder Detail'!E26)</f>
        <v>+U9.1R</v>
      </c>
      <c r="X24" s="21" t="str">
        <f t="shared" si="11"/>
        <v>Unit +U9.1R</v>
      </c>
      <c r="Y24" s="21" t="str">
        <f>IF('Cylinder Detail'!S26=0,"",'Cylinder Detail'!S26)</f>
        <v/>
      </c>
      <c r="Z24" s="21" t="str">
        <f>IF('Cylinder Detail'!T26=0,"",'Cylinder Detail'!T26)</f>
        <v/>
      </c>
      <c r="AA24" s="21">
        <f>IF('Cylinder Detail'!H26=0,"",'Cylinder Detail'!H26)</f>
        <v>63</v>
      </c>
      <c r="AB24" s="21">
        <f>IF('Cylinder Detail'!I26=0,"",'Cylinder Detail'!I26)</f>
        <v>64.5</v>
      </c>
      <c r="AC24" s="22">
        <f>IF('Cylinder Detail'!AB26=0,"",'Cylinder Detail'!AB26)</f>
        <v>10</v>
      </c>
      <c r="AD24" s="25" t="str">
        <f>IF('Sensor Detail'!F26=0,"","=" &amp; 'Sensor Detail'!F26)</f>
        <v/>
      </c>
      <c r="AE24" s="25" t="str">
        <f>IF('Sensor Detail'!H26=0,"",'Sensor Detail'!H26)</f>
        <v/>
      </c>
      <c r="AF24" s="27" t="str">
        <f>IF('Sensor Detail'!G26=0,"","-" &amp; 'Sensor Detail'!G26)</f>
        <v/>
      </c>
      <c r="AG24" s="27" t="str">
        <f>IF('Sensor Detail'!I26=0,"",'Sensor Detail'!I26)</f>
        <v/>
      </c>
      <c r="AH24" s="27" t="str">
        <f>IF('Sensor Detail'!E26=0,"","+" &amp; 'Sensor Detail'!E26)</f>
        <v/>
      </c>
      <c r="AI24" s="27" t="str">
        <f t="shared" si="12"/>
        <v/>
      </c>
      <c r="AJ24" s="27" t="str">
        <f>IF('Sensor Detail'!J26=0,"",'Sensor Detail'!J26)</f>
        <v/>
      </c>
      <c r="AK24" s="27" t="str">
        <f>IF('Sensor Detail'!K26=0,"",'Sensor Detail'!K26)</f>
        <v/>
      </c>
      <c r="AL24" s="27" t="str">
        <f>IF('Sensor Detail'!L26=0,"",'Sensor Detail'!L26)</f>
        <v/>
      </c>
      <c r="AM24" s="27" t="str">
        <f>IF('Sensor Detail'!M26=0,"",'Sensor Detail'!M26)</f>
        <v/>
      </c>
      <c r="AN24" s="27" t="str">
        <f>IF('Sensor Detail'!N26=0,"",'Sensor Detail'!N26)</f>
        <v/>
      </c>
      <c r="AO24" s="27" t="str">
        <f>IF('Sensor Detail'!O26=0,"",'Sensor Detail'!O26)</f>
        <v/>
      </c>
      <c r="AP24" s="15">
        <f t="shared" si="13"/>
        <v>0</v>
      </c>
      <c r="AQ24" s="15">
        <f t="shared" si="14"/>
        <v>0</v>
      </c>
    </row>
    <row r="25" spans="1:43">
      <c r="A25" s="13" t="str">
        <f t="shared" si="0"/>
        <v>Mino</v>
      </c>
      <c r="B25" s="13" t="str">
        <f t="shared" si="1"/>
        <v>wei  jiang</v>
      </c>
      <c r="C25" s="15" t="str">
        <f t="shared" si="2"/>
        <v>++BL03</v>
      </c>
      <c r="D25" s="15" t="str">
        <f t="shared" si="3"/>
        <v>++FFLR</v>
      </c>
      <c r="E25" s="15" t="str">
        <f t="shared" si="4"/>
        <v>Front Floor</v>
      </c>
      <c r="F25" s="15" t="str">
        <f t="shared" si="5"/>
        <v>+010</v>
      </c>
      <c r="G25" s="15" t="str">
        <f t="shared" si="6"/>
        <v>Station 010</v>
      </c>
      <c r="H25" s="15" t="str">
        <f t="shared" si="7"/>
        <v>+UA1</v>
      </c>
      <c r="I25" s="15" t="str">
        <f t="shared" si="8"/>
        <v>Fixture</v>
      </c>
      <c r="J25" s="15" t="str">
        <f t="shared" si="9"/>
        <v>Fixture</v>
      </c>
      <c r="K25" s="13" t="str">
        <f>IF('Cylinder Detail'!U27=0,"",'Cylinder Detail'!U27)</f>
        <v>=KJ1</v>
      </c>
      <c r="L25" s="13" t="str">
        <f>IF('Cylinder Detail'!Z27=0,"",_xlfn.TEXTBEFORE('Cylinder Detail'!Z27, ","))</f>
        <v>SY7000</v>
      </c>
      <c r="M25" s="13" t="str">
        <f t="shared" si="10"/>
        <v>M12 5-Pin</v>
      </c>
      <c r="N25" s="17" t="str">
        <f>IF('Cylinder Detail'!V27=0,"",'Cylinder Detail'!V27)</f>
        <v>-QMB4</v>
      </c>
      <c r="O25" s="17" t="str">
        <f>IF('Cylinder Detail'!Z27=0,"",_xlfn.TEXTAFTER('Cylinder Detail'!Z27, ", "))</f>
        <v>2 position, double</v>
      </c>
      <c r="P25" s="17" t="str">
        <f>IF('Cylinder Detail'!AA27=0,"",'Cylinder Detail'!AA27)</f>
        <v>SY7200-5U1-NA</v>
      </c>
      <c r="Q25" s="19" t="str">
        <f>IF('Cylinder Detail'!W27=0,"",'Cylinder Detail'!W27)</f>
        <v>=MM4</v>
      </c>
      <c r="R25" s="19" t="str">
        <f>IF('Cylinder Detail'!Y27=0,"",'Cylinder Detail'!Y27)</f>
        <v>Group 4 Pins</v>
      </c>
      <c r="S25" s="21" t="str">
        <f>IF('Cylinder Detail'!X27=0,"",'Cylinder Detail'!X27)</f>
        <v>-MMB6</v>
      </c>
      <c r="T25" s="21" t="str">
        <f>IF('Cylinder Detail'!F27=0,"",'Cylinder Detail'!F27)</f>
        <v>Pin with two internal sensors</v>
      </c>
      <c r="U25" s="21" t="str">
        <f>IF('Cylinder Detail'!R27=0,"",'Cylinder Detail'!R27)</f>
        <v>Retracted</v>
      </c>
      <c r="V25" s="21" t="str">
        <f>IF('Cylinder Detail'!Q27=0,"",'Cylinder Detail'!Q27)</f>
        <v>CKZP57LTF-50P</v>
      </c>
      <c r="W25" s="21" t="str">
        <f>IF('Cylinder Detail'!E27=0,"","+" &amp; 'Cylinder Detail'!E27)</f>
        <v>+U12.1R</v>
      </c>
      <c r="X25" s="21" t="str">
        <f t="shared" si="11"/>
        <v>Unit +U12.1R</v>
      </c>
      <c r="Y25" s="21" t="str">
        <f>IF('Cylinder Detail'!S27=0,"",'Cylinder Detail'!S27)</f>
        <v/>
      </c>
      <c r="Z25" s="21" t="str">
        <f>IF('Cylinder Detail'!T27=0,"",'Cylinder Detail'!T27)</f>
        <v/>
      </c>
      <c r="AA25" s="21">
        <f>IF('Cylinder Detail'!H27=0,"",'Cylinder Detail'!H27)</f>
        <v>57</v>
      </c>
      <c r="AB25" s="21">
        <f>IF('Cylinder Detail'!I27=0,"",'Cylinder Detail'!I27)</f>
        <v>50</v>
      </c>
      <c r="AC25" s="22">
        <f>IF('Cylinder Detail'!AB27=0,"",'Cylinder Detail'!AB27)</f>
        <v>10</v>
      </c>
      <c r="AD25" s="25" t="str">
        <f>IF('Sensor Detail'!F27=0,"","=" &amp; 'Sensor Detail'!F27)</f>
        <v/>
      </c>
      <c r="AE25" s="25" t="str">
        <f>IF('Sensor Detail'!H27=0,"",'Sensor Detail'!H27)</f>
        <v/>
      </c>
      <c r="AF25" s="27" t="str">
        <f>IF('Sensor Detail'!G27=0,"","-" &amp; 'Sensor Detail'!G27)</f>
        <v/>
      </c>
      <c r="AG25" s="27" t="str">
        <f>IF('Sensor Detail'!I27=0,"",'Sensor Detail'!I27)</f>
        <v/>
      </c>
      <c r="AH25" s="27" t="str">
        <f>IF('Sensor Detail'!E27=0,"","+" &amp; 'Sensor Detail'!E27)</f>
        <v/>
      </c>
      <c r="AI25" s="27" t="str">
        <f t="shared" si="12"/>
        <v/>
      </c>
      <c r="AJ25" s="27" t="str">
        <f>IF('Sensor Detail'!J27=0,"",'Sensor Detail'!J27)</f>
        <v/>
      </c>
      <c r="AK25" s="27" t="str">
        <f>IF('Sensor Detail'!K27=0,"",'Sensor Detail'!K27)</f>
        <v/>
      </c>
      <c r="AL25" s="27" t="str">
        <f>IF('Sensor Detail'!L27=0,"",'Sensor Detail'!L27)</f>
        <v/>
      </c>
      <c r="AM25" s="27" t="str">
        <f>IF('Sensor Detail'!M27=0,"",'Sensor Detail'!M27)</f>
        <v/>
      </c>
      <c r="AN25" s="27" t="str">
        <f>IF('Sensor Detail'!N27=0,"",'Sensor Detail'!N27)</f>
        <v/>
      </c>
      <c r="AO25" s="27" t="str">
        <f>IF('Sensor Detail'!O27=0,"",'Sensor Detail'!O27)</f>
        <v/>
      </c>
      <c r="AP25" s="15">
        <f t="shared" si="13"/>
        <v>0</v>
      </c>
      <c r="AQ25" s="15">
        <f t="shared" si="14"/>
        <v>0</v>
      </c>
    </row>
    <row r="26" spans="1:43">
      <c r="A26" s="13" t="str">
        <f t="shared" si="0"/>
        <v/>
      </c>
      <c r="B26" s="13" t="str">
        <f t="shared" si="1"/>
        <v/>
      </c>
      <c r="C26" s="15" t="str">
        <f t="shared" si="2"/>
        <v/>
      </c>
      <c r="D26" s="15" t="str">
        <f t="shared" si="3"/>
        <v/>
      </c>
      <c r="E26" s="15" t="str">
        <f t="shared" si="4"/>
        <v/>
      </c>
      <c r="F26" s="15" t="str">
        <f t="shared" si="5"/>
        <v/>
      </c>
      <c r="G26" s="15" t="str">
        <f t="shared" si="6"/>
        <v/>
      </c>
      <c r="H26" s="15" t="str">
        <f t="shared" si="7"/>
        <v/>
      </c>
      <c r="I26" s="15" t="str">
        <f t="shared" si="8"/>
        <v/>
      </c>
      <c r="J26" s="15" t="str">
        <f t="shared" si="9"/>
        <v/>
      </c>
      <c r="K26" s="13" t="str">
        <f>IF('Cylinder Detail'!U28=0,"",'Cylinder Detail'!U28)</f>
        <v/>
      </c>
      <c r="L26" s="13" t="str">
        <f>IF('Cylinder Detail'!Z28=0,"",_xlfn.TEXTBEFORE('Cylinder Detail'!Z28, ","))</f>
        <v/>
      </c>
      <c r="M26" s="13" t="str">
        <f t="shared" si="10"/>
        <v/>
      </c>
      <c r="N26" s="17" t="str">
        <f>IF('Cylinder Detail'!V28=0,"",'Cylinder Detail'!V28)</f>
        <v/>
      </c>
      <c r="O26" s="17" t="str">
        <f>IF('Cylinder Detail'!Z28=0,"",_xlfn.TEXTAFTER('Cylinder Detail'!Z28, ", "))</f>
        <v/>
      </c>
      <c r="P26" s="17" t="str">
        <f>IF('Cylinder Detail'!AA28=0,"",'Cylinder Detail'!AA28)</f>
        <v/>
      </c>
      <c r="Q26" s="19" t="str">
        <f>IF('Cylinder Detail'!W28=0,"",'Cylinder Detail'!W28)</f>
        <v/>
      </c>
      <c r="R26" s="19" t="str">
        <f>IF('Cylinder Detail'!Y28=0,"",'Cylinder Detail'!Y28)</f>
        <v/>
      </c>
      <c r="S26" s="21" t="str">
        <f>IF('Cylinder Detail'!X28=0,"",'Cylinder Detail'!X28)</f>
        <v/>
      </c>
      <c r="T26" s="21" t="str">
        <f>IF('Cylinder Detail'!F28=0,"",'Cylinder Detail'!F28)</f>
        <v/>
      </c>
      <c r="U26" s="21" t="str">
        <f>IF('Cylinder Detail'!R28=0,"",'Cylinder Detail'!R28)</f>
        <v/>
      </c>
      <c r="V26" s="21" t="str">
        <f>IF('Cylinder Detail'!Q28=0,"",'Cylinder Detail'!Q28)</f>
        <v/>
      </c>
      <c r="W26" s="21" t="str">
        <f>IF('Cylinder Detail'!E28=0,"","+" &amp; 'Cylinder Detail'!E28)</f>
        <v/>
      </c>
      <c r="X26" s="21" t="str">
        <f t="shared" si="11"/>
        <v/>
      </c>
      <c r="Y26" s="21" t="str">
        <f>IF('Cylinder Detail'!S28=0,"",'Cylinder Detail'!S28)</f>
        <v/>
      </c>
      <c r="Z26" s="21" t="str">
        <f>IF('Cylinder Detail'!T28=0,"",'Cylinder Detail'!T28)</f>
        <v/>
      </c>
      <c r="AA26" s="21" t="str">
        <f>IF('Cylinder Detail'!H28=0,"",'Cylinder Detail'!H28)</f>
        <v/>
      </c>
      <c r="AB26" s="21" t="str">
        <f>IF('Cylinder Detail'!I28=0,"",'Cylinder Detail'!I28)</f>
        <v/>
      </c>
      <c r="AC26" s="22" t="str">
        <f>IF('Cylinder Detail'!AB28=0,"",'Cylinder Detail'!AB28)</f>
        <v/>
      </c>
      <c r="AD26" s="25" t="str">
        <f>IF('Sensor Detail'!F28=0,"","=" &amp; 'Sensor Detail'!F28)</f>
        <v/>
      </c>
      <c r="AE26" s="25" t="str">
        <f>IF('Sensor Detail'!H28=0,"",'Sensor Detail'!H28)</f>
        <v/>
      </c>
      <c r="AF26" s="27" t="str">
        <f>IF('Sensor Detail'!G28=0,"","-" &amp; 'Sensor Detail'!G28)</f>
        <v/>
      </c>
      <c r="AG26" s="27" t="str">
        <f>IF('Sensor Detail'!I28=0,"",'Sensor Detail'!I28)</f>
        <v/>
      </c>
      <c r="AH26" s="27" t="str">
        <f>IF('Sensor Detail'!E28=0,"","+" &amp; 'Sensor Detail'!E28)</f>
        <v/>
      </c>
      <c r="AI26" s="27" t="str">
        <f t="shared" si="12"/>
        <v/>
      </c>
      <c r="AJ26" s="27" t="str">
        <f>IF('Sensor Detail'!J28=0,"",'Sensor Detail'!J28)</f>
        <v/>
      </c>
      <c r="AK26" s="27" t="str">
        <f>IF('Sensor Detail'!K28=0,"",'Sensor Detail'!K28)</f>
        <v/>
      </c>
      <c r="AL26" s="27" t="str">
        <f>IF('Sensor Detail'!L28=0,"",'Sensor Detail'!L28)</f>
        <v/>
      </c>
      <c r="AM26" s="27" t="str">
        <f>IF('Sensor Detail'!M28=0,"",'Sensor Detail'!M28)</f>
        <v/>
      </c>
      <c r="AN26" s="27" t="str">
        <f>IF('Sensor Detail'!N28=0,"",'Sensor Detail'!N28)</f>
        <v/>
      </c>
      <c r="AO26" s="27" t="str">
        <f>IF('Sensor Detail'!O28=0,"",'Sensor Detail'!O28)</f>
        <v/>
      </c>
      <c r="AP26" s="15" t="str">
        <f t="shared" si="13"/>
        <v/>
      </c>
      <c r="AQ26" s="15" t="str">
        <f t="shared" si="14"/>
        <v/>
      </c>
    </row>
    <row r="27" spans="1:43">
      <c r="A27" s="13" t="str">
        <f t="shared" si="0"/>
        <v/>
      </c>
      <c r="B27" s="13" t="str">
        <f t="shared" si="1"/>
        <v/>
      </c>
      <c r="C27" s="15" t="str">
        <f t="shared" si="2"/>
        <v/>
      </c>
      <c r="D27" s="15" t="str">
        <f t="shared" si="3"/>
        <v/>
      </c>
      <c r="E27" s="15" t="str">
        <f t="shared" si="4"/>
        <v/>
      </c>
      <c r="F27" s="15" t="str">
        <f t="shared" si="5"/>
        <v/>
      </c>
      <c r="G27" s="15" t="str">
        <f t="shared" si="6"/>
        <v/>
      </c>
      <c r="H27" s="15" t="str">
        <f t="shared" si="7"/>
        <v/>
      </c>
      <c r="I27" s="15" t="str">
        <f t="shared" si="8"/>
        <v/>
      </c>
      <c r="J27" s="15" t="str">
        <f t="shared" si="9"/>
        <v/>
      </c>
      <c r="K27" s="13" t="str">
        <f>IF('Cylinder Detail'!U29=0,"",'Cylinder Detail'!U29)</f>
        <v/>
      </c>
      <c r="L27" s="13" t="str">
        <f>IF('Cylinder Detail'!Z29=0,"",_xlfn.TEXTBEFORE('Cylinder Detail'!Z29, ","))</f>
        <v/>
      </c>
      <c r="M27" s="13" t="str">
        <f t="shared" si="10"/>
        <v/>
      </c>
      <c r="N27" s="17" t="str">
        <f>IF('Cylinder Detail'!V29=0,"",'Cylinder Detail'!V29)</f>
        <v/>
      </c>
      <c r="O27" s="17" t="str">
        <f>IF('Cylinder Detail'!Z29=0,"",_xlfn.TEXTAFTER('Cylinder Detail'!Z29, ", "))</f>
        <v/>
      </c>
      <c r="P27" s="17" t="str">
        <f>IF('Cylinder Detail'!AA29=0,"",'Cylinder Detail'!AA29)</f>
        <v/>
      </c>
      <c r="Q27" s="19" t="str">
        <f>IF('Cylinder Detail'!W29=0,"",'Cylinder Detail'!W29)</f>
        <v/>
      </c>
      <c r="R27" s="19" t="str">
        <f>IF('Cylinder Detail'!Y29=0,"",'Cylinder Detail'!Y29)</f>
        <v/>
      </c>
      <c r="S27" s="21" t="str">
        <f>IF('Cylinder Detail'!X29=0,"",'Cylinder Detail'!X29)</f>
        <v/>
      </c>
      <c r="T27" s="21" t="str">
        <f>IF('Cylinder Detail'!F29=0,"",'Cylinder Detail'!F29)</f>
        <v/>
      </c>
      <c r="U27" s="21" t="str">
        <f>IF('Cylinder Detail'!R29=0,"",'Cylinder Detail'!R29)</f>
        <v/>
      </c>
      <c r="V27" s="21" t="str">
        <f>IF('Cylinder Detail'!Q29=0,"",'Cylinder Detail'!Q29)</f>
        <v/>
      </c>
      <c r="W27" s="21" t="str">
        <f>IF('Cylinder Detail'!E29=0,"","+" &amp; 'Cylinder Detail'!E29)</f>
        <v/>
      </c>
      <c r="X27" s="21" t="str">
        <f t="shared" si="11"/>
        <v/>
      </c>
      <c r="Y27" s="21" t="str">
        <f>IF('Cylinder Detail'!S29=0,"",'Cylinder Detail'!S29)</f>
        <v/>
      </c>
      <c r="Z27" s="21" t="str">
        <f>IF('Cylinder Detail'!T29=0,"",'Cylinder Detail'!T29)</f>
        <v/>
      </c>
      <c r="AA27" s="21" t="str">
        <f>IF('Cylinder Detail'!H29=0,"",'Cylinder Detail'!H29)</f>
        <v/>
      </c>
      <c r="AB27" s="21" t="str">
        <f>IF('Cylinder Detail'!I29=0,"",'Cylinder Detail'!I29)</f>
        <v/>
      </c>
      <c r="AC27" s="22" t="str">
        <f>IF('Cylinder Detail'!AB29=0,"",'Cylinder Detail'!AB29)</f>
        <v/>
      </c>
      <c r="AD27" s="25" t="str">
        <f>IF('Sensor Detail'!F29=0,"","=" &amp; 'Sensor Detail'!F29)</f>
        <v/>
      </c>
      <c r="AE27" s="25" t="str">
        <f>IF('Sensor Detail'!H29=0,"",'Sensor Detail'!H29)</f>
        <v/>
      </c>
      <c r="AF27" s="27" t="str">
        <f>IF('Sensor Detail'!G29=0,"","-" &amp; 'Sensor Detail'!G29)</f>
        <v/>
      </c>
      <c r="AG27" s="27" t="str">
        <f>IF('Sensor Detail'!I29=0,"",'Sensor Detail'!I29)</f>
        <v/>
      </c>
      <c r="AH27" s="27" t="str">
        <f>IF('Sensor Detail'!E29=0,"","+" &amp; 'Sensor Detail'!E29)</f>
        <v/>
      </c>
      <c r="AI27" s="27" t="str">
        <f t="shared" si="12"/>
        <v/>
      </c>
      <c r="AJ27" s="27" t="str">
        <f>IF('Sensor Detail'!J29=0,"",'Sensor Detail'!J29)</f>
        <v/>
      </c>
      <c r="AK27" s="27" t="str">
        <f>IF('Sensor Detail'!K29=0,"",'Sensor Detail'!K29)</f>
        <v/>
      </c>
      <c r="AL27" s="27" t="str">
        <f>IF('Sensor Detail'!L29=0,"",'Sensor Detail'!L29)</f>
        <v/>
      </c>
      <c r="AM27" s="27" t="str">
        <f>IF('Sensor Detail'!M29=0,"",'Sensor Detail'!M29)</f>
        <v/>
      </c>
      <c r="AN27" s="27" t="str">
        <f>IF('Sensor Detail'!N29=0,"",'Sensor Detail'!N29)</f>
        <v/>
      </c>
      <c r="AO27" s="27" t="str">
        <f>IF('Sensor Detail'!O29=0,"",'Sensor Detail'!O29)</f>
        <v/>
      </c>
      <c r="AP27" s="15" t="str">
        <f t="shared" si="13"/>
        <v/>
      </c>
      <c r="AQ27" s="15" t="str">
        <f t="shared" si="14"/>
        <v/>
      </c>
    </row>
    <row r="28" spans="1:43">
      <c r="A28" s="13" t="str">
        <f t="shared" si="0"/>
        <v/>
      </c>
      <c r="B28" s="13" t="str">
        <f t="shared" si="1"/>
        <v/>
      </c>
      <c r="C28" s="15" t="str">
        <f t="shared" si="2"/>
        <v/>
      </c>
      <c r="D28" s="15" t="str">
        <f t="shared" si="3"/>
        <v/>
      </c>
      <c r="E28" s="15" t="str">
        <f t="shared" si="4"/>
        <v/>
      </c>
      <c r="F28" s="15" t="str">
        <f t="shared" si="5"/>
        <v/>
      </c>
      <c r="G28" s="15" t="str">
        <f t="shared" si="6"/>
        <v/>
      </c>
      <c r="H28" s="15" t="str">
        <f t="shared" si="7"/>
        <v/>
      </c>
      <c r="I28" s="15" t="str">
        <f t="shared" si="8"/>
        <v/>
      </c>
      <c r="J28" s="15" t="str">
        <f t="shared" si="9"/>
        <v/>
      </c>
      <c r="K28" s="13" t="str">
        <f>IF('Cylinder Detail'!U30=0,"",'Cylinder Detail'!U30)</f>
        <v/>
      </c>
      <c r="L28" s="13" t="str">
        <f>IF('Cylinder Detail'!Z30=0,"",_xlfn.TEXTBEFORE('Cylinder Detail'!Z30, ","))</f>
        <v/>
      </c>
      <c r="M28" s="13" t="str">
        <f t="shared" si="10"/>
        <v/>
      </c>
      <c r="N28" s="17" t="str">
        <f>IF('Cylinder Detail'!V30=0,"",'Cylinder Detail'!V30)</f>
        <v/>
      </c>
      <c r="O28" s="17" t="str">
        <f>IF('Cylinder Detail'!Z30=0,"",_xlfn.TEXTAFTER('Cylinder Detail'!Z30, ", "))</f>
        <v/>
      </c>
      <c r="P28" s="17" t="str">
        <f>IF('Cylinder Detail'!AA30=0,"",'Cylinder Detail'!AA30)</f>
        <v/>
      </c>
      <c r="Q28" s="19" t="str">
        <f>IF('Cylinder Detail'!W30=0,"",'Cylinder Detail'!W30)</f>
        <v/>
      </c>
      <c r="R28" s="19" t="str">
        <f>IF('Cylinder Detail'!Y30=0,"",'Cylinder Detail'!Y30)</f>
        <v/>
      </c>
      <c r="S28" s="21" t="str">
        <f>IF('Cylinder Detail'!X30=0,"",'Cylinder Detail'!X30)</f>
        <v/>
      </c>
      <c r="T28" s="21" t="str">
        <f>IF('Cylinder Detail'!F30=0,"",'Cylinder Detail'!F30)</f>
        <v/>
      </c>
      <c r="U28" s="21" t="str">
        <f>IF('Cylinder Detail'!R30=0,"",'Cylinder Detail'!R30)</f>
        <v/>
      </c>
      <c r="V28" s="21" t="str">
        <f>IF('Cylinder Detail'!Q30=0,"",'Cylinder Detail'!Q30)</f>
        <v/>
      </c>
      <c r="W28" s="21" t="str">
        <f>IF('Cylinder Detail'!E30=0,"","+" &amp; 'Cylinder Detail'!E30)</f>
        <v/>
      </c>
      <c r="X28" s="21" t="str">
        <f t="shared" si="11"/>
        <v/>
      </c>
      <c r="Y28" s="21" t="str">
        <f>IF('Cylinder Detail'!S30=0,"",'Cylinder Detail'!S30)</f>
        <v/>
      </c>
      <c r="Z28" s="21" t="str">
        <f>IF('Cylinder Detail'!T30=0,"",'Cylinder Detail'!T30)</f>
        <v/>
      </c>
      <c r="AA28" s="21" t="str">
        <f>IF('Cylinder Detail'!H30=0,"",'Cylinder Detail'!H30)</f>
        <v/>
      </c>
      <c r="AB28" s="21" t="str">
        <f>IF('Cylinder Detail'!I30=0,"",'Cylinder Detail'!I30)</f>
        <v/>
      </c>
      <c r="AC28" s="22" t="str">
        <f>IF('Cylinder Detail'!AB30=0,"",'Cylinder Detail'!AB30)</f>
        <v/>
      </c>
      <c r="AD28" s="25" t="str">
        <f>IF('Sensor Detail'!F30=0,"","=" &amp; 'Sensor Detail'!F30)</f>
        <v/>
      </c>
      <c r="AE28" s="25" t="str">
        <f>IF('Sensor Detail'!H30=0,"",'Sensor Detail'!H30)</f>
        <v/>
      </c>
      <c r="AF28" s="27" t="str">
        <f>IF('Sensor Detail'!G30=0,"","-" &amp; 'Sensor Detail'!G30)</f>
        <v/>
      </c>
      <c r="AG28" s="27" t="str">
        <f>IF('Sensor Detail'!I30=0,"",'Sensor Detail'!I30)</f>
        <v/>
      </c>
      <c r="AH28" s="27" t="str">
        <f>IF('Sensor Detail'!E30=0,"","+" &amp; 'Sensor Detail'!E30)</f>
        <v/>
      </c>
      <c r="AI28" s="27" t="str">
        <f t="shared" si="12"/>
        <v/>
      </c>
      <c r="AJ28" s="27" t="str">
        <f>IF('Sensor Detail'!J30=0,"",'Sensor Detail'!J30)</f>
        <v/>
      </c>
      <c r="AK28" s="27" t="str">
        <f>IF('Sensor Detail'!K30=0,"",'Sensor Detail'!K30)</f>
        <v/>
      </c>
      <c r="AL28" s="27" t="str">
        <f>IF('Sensor Detail'!L30=0,"",'Sensor Detail'!L30)</f>
        <v/>
      </c>
      <c r="AM28" s="27" t="str">
        <f>IF('Sensor Detail'!M30=0,"",'Sensor Detail'!M30)</f>
        <v/>
      </c>
      <c r="AN28" s="27" t="str">
        <f>IF('Sensor Detail'!N30=0,"",'Sensor Detail'!N30)</f>
        <v/>
      </c>
      <c r="AO28" s="27" t="str">
        <f>IF('Sensor Detail'!O30=0,"",'Sensor Detail'!O30)</f>
        <v/>
      </c>
      <c r="AP28" s="15" t="str">
        <f t="shared" si="13"/>
        <v/>
      </c>
      <c r="AQ28" s="15" t="str">
        <f t="shared" si="14"/>
        <v/>
      </c>
    </row>
    <row r="29" spans="1:43">
      <c r="A29" s="13" t="str">
        <f t="shared" si="0"/>
        <v/>
      </c>
      <c r="B29" s="13" t="str">
        <f t="shared" si="1"/>
        <v/>
      </c>
      <c r="C29" s="15" t="str">
        <f t="shared" si="2"/>
        <v/>
      </c>
      <c r="D29" s="15" t="str">
        <f t="shared" si="3"/>
        <v/>
      </c>
      <c r="E29" s="15" t="str">
        <f t="shared" si="4"/>
        <v/>
      </c>
      <c r="F29" s="15" t="str">
        <f t="shared" si="5"/>
        <v/>
      </c>
      <c r="G29" s="15" t="str">
        <f t="shared" si="6"/>
        <v/>
      </c>
      <c r="H29" s="15" t="str">
        <f t="shared" si="7"/>
        <v/>
      </c>
      <c r="I29" s="15" t="str">
        <f t="shared" si="8"/>
        <v/>
      </c>
      <c r="J29" s="15" t="str">
        <f t="shared" si="9"/>
        <v/>
      </c>
      <c r="K29" s="13" t="str">
        <f>IF('Cylinder Detail'!U31=0,"",'Cylinder Detail'!U31)</f>
        <v/>
      </c>
      <c r="L29" s="13" t="str">
        <f>IF('Cylinder Detail'!Z31=0,"",_xlfn.TEXTBEFORE('Cylinder Detail'!Z31, ","))</f>
        <v/>
      </c>
      <c r="M29" s="13" t="str">
        <f t="shared" si="10"/>
        <v/>
      </c>
      <c r="N29" s="17" t="str">
        <f>IF('Cylinder Detail'!V31=0,"",'Cylinder Detail'!V31)</f>
        <v/>
      </c>
      <c r="O29" s="17" t="str">
        <f>IF('Cylinder Detail'!Z31=0,"",_xlfn.TEXTAFTER('Cylinder Detail'!Z31, ", "))</f>
        <v/>
      </c>
      <c r="P29" s="17" t="str">
        <f>IF('Cylinder Detail'!AA31=0,"",'Cylinder Detail'!AA31)</f>
        <v/>
      </c>
      <c r="Q29" s="19" t="str">
        <f>IF('Cylinder Detail'!W31=0,"",'Cylinder Detail'!W31)</f>
        <v/>
      </c>
      <c r="R29" s="19" t="str">
        <f>IF('Cylinder Detail'!Y31=0,"",'Cylinder Detail'!Y31)</f>
        <v/>
      </c>
      <c r="S29" s="21" t="str">
        <f>IF('Cylinder Detail'!X31=0,"",'Cylinder Detail'!X31)</f>
        <v/>
      </c>
      <c r="T29" s="21" t="str">
        <f>IF('Cylinder Detail'!F31=0,"",'Cylinder Detail'!F31)</f>
        <v/>
      </c>
      <c r="U29" s="21" t="str">
        <f>IF('Cylinder Detail'!R31=0,"",'Cylinder Detail'!R31)</f>
        <v/>
      </c>
      <c r="V29" s="21" t="str">
        <f>IF('Cylinder Detail'!Q31=0,"",'Cylinder Detail'!Q31)</f>
        <v/>
      </c>
      <c r="W29" s="21" t="str">
        <f>IF('Cylinder Detail'!E31=0,"","+" &amp; 'Cylinder Detail'!E31)</f>
        <v/>
      </c>
      <c r="X29" s="21" t="str">
        <f t="shared" si="11"/>
        <v/>
      </c>
      <c r="Y29" s="21" t="str">
        <f>IF('Cylinder Detail'!S31=0,"",'Cylinder Detail'!S31)</f>
        <v/>
      </c>
      <c r="Z29" s="21" t="str">
        <f>IF('Cylinder Detail'!T31=0,"",'Cylinder Detail'!T31)</f>
        <v/>
      </c>
      <c r="AA29" s="21" t="str">
        <f>IF('Cylinder Detail'!H31=0,"",'Cylinder Detail'!H31)</f>
        <v/>
      </c>
      <c r="AB29" s="21" t="str">
        <f>IF('Cylinder Detail'!I31=0,"",'Cylinder Detail'!I31)</f>
        <v/>
      </c>
      <c r="AC29" s="22" t="str">
        <f>IF('Cylinder Detail'!AB31=0,"",'Cylinder Detail'!AB31)</f>
        <v/>
      </c>
      <c r="AD29" s="25" t="str">
        <f>IF('Sensor Detail'!F31=0,"","=" &amp; 'Sensor Detail'!F31)</f>
        <v/>
      </c>
      <c r="AE29" s="25" t="str">
        <f>IF('Sensor Detail'!H31=0,"",'Sensor Detail'!H31)</f>
        <v/>
      </c>
      <c r="AF29" s="27" t="str">
        <f>IF('Sensor Detail'!G31=0,"","-" &amp; 'Sensor Detail'!G31)</f>
        <v/>
      </c>
      <c r="AG29" s="27" t="str">
        <f>IF('Sensor Detail'!I31=0,"",'Sensor Detail'!I31)</f>
        <v/>
      </c>
      <c r="AH29" s="27" t="str">
        <f>IF('Sensor Detail'!E31=0,"","+" &amp; 'Sensor Detail'!E31)</f>
        <v/>
      </c>
      <c r="AI29" s="27" t="str">
        <f t="shared" si="12"/>
        <v/>
      </c>
      <c r="AJ29" s="27" t="str">
        <f>IF('Sensor Detail'!J31=0,"",'Sensor Detail'!J31)</f>
        <v/>
      </c>
      <c r="AK29" s="27" t="str">
        <f>IF('Sensor Detail'!K31=0,"",'Sensor Detail'!K31)</f>
        <v/>
      </c>
      <c r="AL29" s="27" t="str">
        <f>IF('Sensor Detail'!L31=0,"",'Sensor Detail'!L31)</f>
        <v/>
      </c>
      <c r="AM29" s="27" t="str">
        <f>IF('Sensor Detail'!M31=0,"",'Sensor Detail'!M31)</f>
        <v/>
      </c>
      <c r="AN29" s="27" t="str">
        <f>IF('Sensor Detail'!N31=0,"",'Sensor Detail'!N31)</f>
        <v/>
      </c>
      <c r="AO29" s="27" t="str">
        <f>IF('Sensor Detail'!O31=0,"",'Sensor Detail'!O31)</f>
        <v/>
      </c>
      <c r="AP29" s="15" t="str">
        <f t="shared" si="13"/>
        <v/>
      </c>
      <c r="AQ29" s="15" t="str">
        <f t="shared" si="14"/>
        <v/>
      </c>
    </row>
    <row r="30" spans="1:43">
      <c r="A30" s="13" t="str">
        <f t="shared" si="0"/>
        <v/>
      </c>
      <c r="B30" s="13" t="str">
        <f t="shared" si="1"/>
        <v/>
      </c>
      <c r="C30" s="15" t="str">
        <f t="shared" si="2"/>
        <v/>
      </c>
      <c r="D30" s="15" t="str">
        <f t="shared" si="3"/>
        <v/>
      </c>
      <c r="E30" s="15" t="str">
        <f t="shared" si="4"/>
        <v/>
      </c>
      <c r="F30" s="15" t="str">
        <f t="shared" si="5"/>
        <v/>
      </c>
      <c r="G30" s="15" t="str">
        <f t="shared" si="6"/>
        <v/>
      </c>
      <c r="H30" s="15" t="str">
        <f t="shared" si="7"/>
        <v/>
      </c>
      <c r="I30" s="15" t="str">
        <f t="shared" si="8"/>
        <v/>
      </c>
      <c r="J30" s="15" t="str">
        <f t="shared" si="9"/>
        <v/>
      </c>
      <c r="K30" s="13" t="str">
        <f>IF('Cylinder Detail'!U32=0,"",'Cylinder Detail'!U32)</f>
        <v/>
      </c>
      <c r="L30" s="13" t="str">
        <f>IF('Cylinder Detail'!Z32=0,"",_xlfn.TEXTBEFORE('Cylinder Detail'!Z32, ","))</f>
        <v/>
      </c>
      <c r="M30" s="13" t="str">
        <f t="shared" si="10"/>
        <v/>
      </c>
      <c r="N30" s="17" t="str">
        <f>IF('Cylinder Detail'!V32=0,"",'Cylinder Detail'!V32)</f>
        <v/>
      </c>
      <c r="O30" s="17" t="str">
        <f>IF('Cylinder Detail'!Z32=0,"",_xlfn.TEXTAFTER('Cylinder Detail'!Z32, ", "))</f>
        <v/>
      </c>
      <c r="P30" s="17" t="str">
        <f>IF('Cylinder Detail'!AA32=0,"",'Cylinder Detail'!AA32)</f>
        <v/>
      </c>
      <c r="Q30" s="19" t="str">
        <f>IF('Cylinder Detail'!W32=0,"",'Cylinder Detail'!W32)</f>
        <v/>
      </c>
      <c r="R30" s="19" t="str">
        <f>IF('Cylinder Detail'!Y32=0,"",'Cylinder Detail'!Y32)</f>
        <v/>
      </c>
      <c r="S30" s="21" t="str">
        <f>IF('Cylinder Detail'!X32=0,"",'Cylinder Detail'!X32)</f>
        <v/>
      </c>
      <c r="T30" s="21" t="str">
        <f>IF('Cylinder Detail'!F32=0,"",'Cylinder Detail'!F32)</f>
        <v/>
      </c>
      <c r="U30" s="21" t="str">
        <f>IF('Cylinder Detail'!R32=0,"",'Cylinder Detail'!R32)</f>
        <v/>
      </c>
      <c r="V30" s="21" t="str">
        <f>IF('Cylinder Detail'!Q32=0,"",'Cylinder Detail'!Q32)</f>
        <v/>
      </c>
      <c r="W30" s="21" t="str">
        <f>IF('Cylinder Detail'!E32=0,"","+" &amp; 'Cylinder Detail'!E32)</f>
        <v/>
      </c>
      <c r="X30" s="21" t="str">
        <f t="shared" si="11"/>
        <v/>
      </c>
      <c r="Y30" s="21" t="str">
        <f>IF('Cylinder Detail'!S32=0,"",'Cylinder Detail'!S32)</f>
        <v/>
      </c>
      <c r="Z30" s="21" t="str">
        <f>IF('Cylinder Detail'!T32=0,"",'Cylinder Detail'!T32)</f>
        <v/>
      </c>
      <c r="AA30" s="21" t="str">
        <f>IF('Cylinder Detail'!H32=0,"",'Cylinder Detail'!H32)</f>
        <v/>
      </c>
      <c r="AB30" s="21" t="str">
        <f>IF('Cylinder Detail'!I32=0,"",'Cylinder Detail'!I32)</f>
        <v/>
      </c>
      <c r="AC30" s="22" t="str">
        <f>IF('Cylinder Detail'!AB32=0,"",'Cylinder Detail'!AB32)</f>
        <v/>
      </c>
      <c r="AD30" s="25" t="str">
        <f>IF('Sensor Detail'!F32=0,"","=" &amp; 'Sensor Detail'!F32)</f>
        <v/>
      </c>
      <c r="AE30" s="25" t="str">
        <f>IF('Sensor Detail'!H32=0,"",'Sensor Detail'!H32)</f>
        <v/>
      </c>
      <c r="AF30" s="27" t="str">
        <f>IF('Sensor Detail'!G32=0,"","-" &amp; 'Sensor Detail'!G32)</f>
        <v/>
      </c>
      <c r="AG30" s="27" t="str">
        <f>IF('Sensor Detail'!I32=0,"",'Sensor Detail'!I32)</f>
        <v/>
      </c>
      <c r="AH30" s="27" t="str">
        <f>IF('Sensor Detail'!E32=0,"","+" &amp; 'Sensor Detail'!E32)</f>
        <v/>
      </c>
      <c r="AI30" s="27" t="str">
        <f t="shared" si="12"/>
        <v/>
      </c>
      <c r="AJ30" s="27" t="str">
        <f>IF('Sensor Detail'!J32=0,"",'Sensor Detail'!J32)</f>
        <v/>
      </c>
      <c r="AK30" s="27" t="str">
        <f>IF('Sensor Detail'!K32=0,"",'Sensor Detail'!K32)</f>
        <v/>
      </c>
      <c r="AL30" s="27" t="str">
        <f>IF('Sensor Detail'!L32=0,"",'Sensor Detail'!L32)</f>
        <v/>
      </c>
      <c r="AM30" s="27" t="str">
        <f>IF('Sensor Detail'!M32=0,"",'Sensor Detail'!M32)</f>
        <v/>
      </c>
      <c r="AN30" s="27" t="str">
        <f>IF('Sensor Detail'!N32=0,"",'Sensor Detail'!N32)</f>
        <v/>
      </c>
      <c r="AO30" s="27" t="str">
        <f>IF('Sensor Detail'!O32=0,"",'Sensor Detail'!O32)</f>
        <v/>
      </c>
      <c r="AP30" s="15" t="str">
        <f t="shared" si="13"/>
        <v/>
      </c>
      <c r="AQ30" s="15" t="str">
        <f t="shared" si="14"/>
        <v/>
      </c>
    </row>
    <row r="31" spans="1:43">
      <c r="A31" s="13" t="str">
        <f t="shared" si="0"/>
        <v/>
      </c>
      <c r="B31" s="13" t="str">
        <f t="shared" si="1"/>
        <v/>
      </c>
      <c r="C31" s="15" t="str">
        <f t="shared" si="2"/>
        <v/>
      </c>
      <c r="D31" s="15" t="str">
        <f t="shared" si="3"/>
        <v/>
      </c>
      <c r="E31" s="15" t="str">
        <f t="shared" si="4"/>
        <v/>
      </c>
      <c r="F31" s="15" t="str">
        <f t="shared" si="5"/>
        <v/>
      </c>
      <c r="G31" s="15" t="str">
        <f t="shared" si="6"/>
        <v/>
      </c>
      <c r="H31" s="15" t="str">
        <f t="shared" si="7"/>
        <v/>
      </c>
      <c r="I31" s="15" t="str">
        <f t="shared" si="8"/>
        <v/>
      </c>
      <c r="J31" s="15" t="str">
        <f t="shared" si="9"/>
        <v/>
      </c>
      <c r="K31" s="13" t="str">
        <f>IF('Cylinder Detail'!U33=0,"",'Cylinder Detail'!U33)</f>
        <v/>
      </c>
      <c r="L31" s="13" t="str">
        <f>IF('Cylinder Detail'!Z33=0,"",_xlfn.TEXTBEFORE('Cylinder Detail'!Z33, ","))</f>
        <v/>
      </c>
      <c r="M31" s="13" t="str">
        <f t="shared" si="10"/>
        <v/>
      </c>
      <c r="N31" s="17" t="str">
        <f>IF('Cylinder Detail'!V33=0,"",'Cylinder Detail'!V33)</f>
        <v/>
      </c>
      <c r="O31" s="17" t="str">
        <f>IF('Cylinder Detail'!Z33=0,"",_xlfn.TEXTAFTER('Cylinder Detail'!Z33, ", "))</f>
        <v/>
      </c>
      <c r="P31" s="17" t="str">
        <f>IF('Cylinder Detail'!AA33=0,"",'Cylinder Detail'!AA33)</f>
        <v/>
      </c>
      <c r="Q31" s="19" t="str">
        <f>IF('Cylinder Detail'!W33=0,"",'Cylinder Detail'!W33)</f>
        <v/>
      </c>
      <c r="R31" s="19" t="str">
        <f>IF('Cylinder Detail'!Y33=0,"",'Cylinder Detail'!Y33)</f>
        <v/>
      </c>
      <c r="S31" s="21" t="str">
        <f>IF('Cylinder Detail'!X33=0,"",'Cylinder Detail'!X33)</f>
        <v/>
      </c>
      <c r="T31" s="21" t="str">
        <f>IF('Cylinder Detail'!F33=0,"",'Cylinder Detail'!F33)</f>
        <v/>
      </c>
      <c r="U31" s="21" t="str">
        <f>IF('Cylinder Detail'!R33=0,"",'Cylinder Detail'!R33)</f>
        <v/>
      </c>
      <c r="V31" s="21" t="str">
        <f>IF('Cylinder Detail'!Q33=0,"",'Cylinder Detail'!Q33)</f>
        <v/>
      </c>
      <c r="W31" s="21" t="str">
        <f>IF('Cylinder Detail'!E33=0,"","+" &amp; 'Cylinder Detail'!E33)</f>
        <v/>
      </c>
      <c r="X31" s="21" t="str">
        <f t="shared" si="11"/>
        <v/>
      </c>
      <c r="Y31" s="21" t="str">
        <f>IF('Cylinder Detail'!S33=0,"",'Cylinder Detail'!S33)</f>
        <v/>
      </c>
      <c r="Z31" s="21" t="str">
        <f>IF('Cylinder Detail'!T33=0,"",'Cylinder Detail'!T33)</f>
        <v/>
      </c>
      <c r="AA31" s="21" t="str">
        <f>IF('Cylinder Detail'!H33=0,"",'Cylinder Detail'!H33)</f>
        <v/>
      </c>
      <c r="AB31" s="21" t="str">
        <f>IF('Cylinder Detail'!I33=0,"",'Cylinder Detail'!I33)</f>
        <v/>
      </c>
      <c r="AC31" s="22" t="str">
        <f>IF('Cylinder Detail'!AB33=0,"",'Cylinder Detail'!AB33)</f>
        <v/>
      </c>
      <c r="AD31" s="25" t="str">
        <f>IF('Sensor Detail'!F33=0,"","=" &amp; 'Sensor Detail'!F33)</f>
        <v/>
      </c>
      <c r="AE31" s="25" t="str">
        <f>IF('Sensor Detail'!H33=0,"",'Sensor Detail'!H33)</f>
        <v/>
      </c>
      <c r="AF31" s="27" t="str">
        <f>IF('Sensor Detail'!G33=0,"","-" &amp; 'Sensor Detail'!G33)</f>
        <v/>
      </c>
      <c r="AG31" s="27" t="str">
        <f>IF('Sensor Detail'!I33=0,"",'Sensor Detail'!I33)</f>
        <v/>
      </c>
      <c r="AH31" s="27" t="str">
        <f>IF('Sensor Detail'!E33=0,"","+" &amp; 'Sensor Detail'!E33)</f>
        <v/>
      </c>
      <c r="AI31" s="27" t="str">
        <f t="shared" si="12"/>
        <v/>
      </c>
      <c r="AJ31" s="27" t="str">
        <f>IF('Sensor Detail'!J33=0,"",'Sensor Detail'!J33)</f>
        <v/>
      </c>
      <c r="AK31" s="27" t="str">
        <f>IF('Sensor Detail'!K33=0,"",'Sensor Detail'!K33)</f>
        <v/>
      </c>
      <c r="AL31" s="27" t="str">
        <f>IF('Sensor Detail'!L33=0,"",'Sensor Detail'!L33)</f>
        <v/>
      </c>
      <c r="AM31" s="27" t="str">
        <f>IF('Sensor Detail'!M33=0,"",'Sensor Detail'!M33)</f>
        <v/>
      </c>
      <c r="AN31" s="27" t="str">
        <f>IF('Sensor Detail'!N33=0,"",'Sensor Detail'!N33)</f>
        <v/>
      </c>
      <c r="AO31" s="27" t="str">
        <f>IF('Sensor Detail'!O33=0,"",'Sensor Detail'!O33)</f>
        <v/>
      </c>
      <c r="AP31" s="15" t="str">
        <f t="shared" si="13"/>
        <v/>
      </c>
      <c r="AQ31" s="15" t="str">
        <f t="shared" si="14"/>
        <v/>
      </c>
    </row>
    <row r="32" spans="1:43">
      <c r="A32" s="13" t="str">
        <f t="shared" si="0"/>
        <v/>
      </c>
      <c r="B32" s="13" t="str">
        <f t="shared" si="1"/>
        <v/>
      </c>
      <c r="C32" s="15" t="str">
        <f t="shared" si="2"/>
        <v/>
      </c>
      <c r="D32" s="15" t="str">
        <f t="shared" si="3"/>
        <v/>
      </c>
      <c r="E32" s="15" t="str">
        <f t="shared" si="4"/>
        <v/>
      </c>
      <c r="F32" s="15" t="str">
        <f t="shared" si="5"/>
        <v/>
      </c>
      <c r="G32" s="15" t="str">
        <f t="shared" si="6"/>
        <v/>
      </c>
      <c r="H32" s="15" t="str">
        <f t="shared" si="7"/>
        <v/>
      </c>
      <c r="I32" s="15" t="str">
        <f t="shared" si="8"/>
        <v/>
      </c>
      <c r="J32" s="15" t="str">
        <f t="shared" si="9"/>
        <v/>
      </c>
      <c r="K32" s="13" t="str">
        <f>IF('Cylinder Detail'!U34=0,"",'Cylinder Detail'!U34)</f>
        <v/>
      </c>
      <c r="L32" s="13" t="str">
        <f>IF('Cylinder Detail'!Z34=0,"",_xlfn.TEXTBEFORE('Cylinder Detail'!Z34, ","))</f>
        <v/>
      </c>
      <c r="M32" s="13" t="str">
        <f t="shared" si="10"/>
        <v/>
      </c>
      <c r="N32" s="17" t="str">
        <f>IF('Cylinder Detail'!V34=0,"",'Cylinder Detail'!V34)</f>
        <v/>
      </c>
      <c r="O32" s="17" t="str">
        <f>IF('Cylinder Detail'!Z34=0,"",_xlfn.TEXTAFTER('Cylinder Detail'!Z34, ", "))</f>
        <v/>
      </c>
      <c r="P32" s="17" t="str">
        <f>IF('Cylinder Detail'!AA34=0,"",'Cylinder Detail'!AA34)</f>
        <v/>
      </c>
      <c r="Q32" s="19" t="str">
        <f>IF('Cylinder Detail'!W34=0,"",'Cylinder Detail'!W34)</f>
        <v/>
      </c>
      <c r="R32" s="19" t="str">
        <f>IF('Cylinder Detail'!Y34=0,"",'Cylinder Detail'!Y34)</f>
        <v/>
      </c>
      <c r="S32" s="21" t="str">
        <f>IF('Cylinder Detail'!X34=0,"",'Cylinder Detail'!X34)</f>
        <v/>
      </c>
      <c r="T32" s="21" t="str">
        <f>IF('Cylinder Detail'!F34=0,"",'Cylinder Detail'!F34)</f>
        <v/>
      </c>
      <c r="U32" s="21" t="str">
        <f>IF('Cylinder Detail'!R34=0,"",'Cylinder Detail'!R34)</f>
        <v/>
      </c>
      <c r="V32" s="21" t="str">
        <f>IF('Cylinder Detail'!Q34=0,"",'Cylinder Detail'!Q34)</f>
        <v/>
      </c>
      <c r="W32" s="21" t="str">
        <f>IF('Cylinder Detail'!E34=0,"","+" &amp; 'Cylinder Detail'!E34)</f>
        <v/>
      </c>
      <c r="X32" s="21" t="str">
        <f t="shared" si="11"/>
        <v/>
      </c>
      <c r="Y32" s="21" t="str">
        <f>IF('Cylinder Detail'!S34=0,"",'Cylinder Detail'!S34)</f>
        <v/>
      </c>
      <c r="Z32" s="21" t="str">
        <f>IF('Cylinder Detail'!T34=0,"",'Cylinder Detail'!T34)</f>
        <v/>
      </c>
      <c r="AA32" s="21" t="str">
        <f>IF('Cylinder Detail'!H34=0,"",'Cylinder Detail'!H34)</f>
        <v/>
      </c>
      <c r="AB32" s="21" t="str">
        <f>IF('Cylinder Detail'!I34=0,"",'Cylinder Detail'!I34)</f>
        <v/>
      </c>
      <c r="AC32" s="22" t="str">
        <f>IF('Cylinder Detail'!AB34=0,"",'Cylinder Detail'!AB34)</f>
        <v/>
      </c>
      <c r="AD32" s="25" t="str">
        <f>IF('Sensor Detail'!F34=0,"","=" &amp; 'Sensor Detail'!F34)</f>
        <v/>
      </c>
      <c r="AE32" s="25" t="str">
        <f>IF('Sensor Detail'!H34=0,"",'Sensor Detail'!H34)</f>
        <v/>
      </c>
      <c r="AF32" s="27" t="str">
        <f>IF('Sensor Detail'!G34=0,"","-" &amp; 'Sensor Detail'!G34)</f>
        <v/>
      </c>
      <c r="AG32" s="27" t="str">
        <f>IF('Sensor Detail'!I34=0,"",'Sensor Detail'!I34)</f>
        <v/>
      </c>
      <c r="AH32" s="27" t="str">
        <f>IF('Sensor Detail'!E34=0,"","+" &amp; 'Sensor Detail'!E34)</f>
        <v/>
      </c>
      <c r="AI32" s="27" t="str">
        <f t="shared" si="12"/>
        <v/>
      </c>
      <c r="AJ32" s="27" t="str">
        <f>IF('Sensor Detail'!J34=0,"",'Sensor Detail'!J34)</f>
        <v/>
      </c>
      <c r="AK32" s="27" t="str">
        <f>IF('Sensor Detail'!K34=0,"",'Sensor Detail'!K34)</f>
        <v/>
      </c>
      <c r="AL32" s="27" t="str">
        <f>IF('Sensor Detail'!L34=0,"",'Sensor Detail'!L34)</f>
        <v/>
      </c>
      <c r="AM32" s="27" t="str">
        <f>IF('Sensor Detail'!M34=0,"",'Sensor Detail'!M34)</f>
        <v/>
      </c>
      <c r="AN32" s="27" t="str">
        <f>IF('Sensor Detail'!N34=0,"",'Sensor Detail'!N34)</f>
        <v/>
      </c>
      <c r="AO32" s="27" t="str">
        <f>IF('Sensor Detail'!O34=0,"",'Sensor Detail'!O34)</f>
        <v/>
      </c>
      <c r="AP32" s="15" t="str">
        <f t="shared" si="13"/>
        <v/>
      </c>
      <c r="AQ32" s="15" t="str">
        <f t="shared" si="14"/>
        <v/>
      </c>
    </row>
    <row r="33" spans="1:43">
      <c r="A33" s="13" t="str">
        <f t="shared" si="0"/>
        <v/>
      </c>
      <c r="B33" s="13" t="str">
        <f t="shared" si="1"/>
        <v/>
      </c>
      <c r="C33" s="15" t="str">
        <f t="shared" si="2"/>
        <v/>
      </c>
      <c r="D33" s="15" t="str">
        <f t="shared" si="3"/>
        <v/>
      </c>
      <c r="E33" s="15" t="str">
        <f t="shared" si="4"/>
        <v/>
      </c>
      <c r="F33" s="15" t="str">
        <f t="shared" si="5"/>
        <v/>
      </c>
      <c r="G33" s="15" t="str">
        <f t="shared" si="6"/>
        <v/>
      </c>
      <c r="H33" s="15" t="str">
        <f t="shared" si="7"/>
        <v/>
      </c>
      <c r="I33" s="15" t="str">
        <f t="shared" si="8"/>
        <v/>
      </c>
      <c r="J33" s="15" t="str">
        <f t="shared" si="9"/>
        <v/>
      </c>
      <c r="K33" s="13" t="str">
        <f>IF('Cylinder Detail'!U35=0,"",'Cylinder Detail'!U35)</f>
        <v/>
      </c>
      <c r="L33" s="13" t="str">
        <f>IF('Cylinder Detail'!Z35=0,"",_xlfn.TEXTBEFORE('Cylinder Detail'!Z35, ","))</f>
        <v/>
      </c>
      <c r="M33" s="13" t="str">
        <f t="shared" si="10"/>
        <v/>
      </c>
      <c r="N33" s="17" t="str">
        <f>IF('Cylinder Detail'!V35=0,"",'Cylinder Detail'!V35)</f>
        <v/>
      </c>
      <c r="O33" s="17" t="str">
        <f>IF('Cylinder Detail'!Z35=0,"",_xlfn.TEXTAFTER('Cylinder Detail'!Z35, ", "))</f>
        <v/>
      </c>
      <c r="P33" s="17" t="str">
        <f>IF('Cylinder Detail'!AA35=0,"",'Cylinder Detail'!AA35)</f>
        <v/>
      </c>
      <c r="Q33" s="19" t="str">
        <f>IF('Cylinder Detail'!W35=0,"",'Cylinder Detail'!W35)</f>
        <v/>
      </c>
      <c r="R33" s="19" t="str">
        <f>IF('Cylinder Detail'!Y35=0,"",'Cylinder Detail'!Y35)</f>
        <v/>
      </c>
      <c r="S33" s="21" t="str">
        <f>IF('Cylinder Detail'!X35=0,"",'Cylinder Detail'!X35)</f>
        <v/>
      </c>
      <c r="T33" s="21" t="str">
        <f>IF('Cylinder Detail'!F35=0,"",'Cylinder Detail'!F35)</f>
        <v/>
      </c>
      <c r="U33" s="21" t="str">
        <f>IF('Cylinder Detail'!R35=0,"",'Cylinder Detail'!R35)</f>
        <v/>
      </c>
      <c r="V33" s="21" t="str">
        <f>IF('Cylinder Detail'!Q35=0,"",'Cylinder Detail'!Q35)</f>
        <v/>
      </c>
      <c r="W33" s="21" t="str">
        <f>IF('Cylinder Detail'!E35=0,"","+" &amp; 'Cylinder Detail'!E35)</f>
        <v/>
      </c>
      <c r="X33" s="21" t="str">
        <f t="shared" si="11"/>
        <v/>
      </c>
      <c r="Y33" s="21" t="str">
        <f>IF('Cylinder Detail'!S35=0,"",'Cylinder Detail'!S35)</f>
        <v/>
      </c>
      <c r="Z33" s="21" t="str">
        <f>IF('Cylinder Detail'!T35=0,"",'Cylinder Detail'!T35)</f>
        <v/>
      </c>
      <c r="AA33" s="21" t="str">
        <f>IF('Cylinder Detail'!H35=0,"",'Cylinder Detail'!H35)</f>
        <v/>
      </c>
      <c r="AB33" s="21" t="str">
        <f>IF('Cylinder Detail'!I35=0,"",'Cylinder Detail'!I35)</f>
        <v/>
      </c>
      <c r="AC33" s="22" t="str">
        <f>IF('Cylinder Detail'!AB35=0,"",'Cylinder Detail'!AB35)</f>
        <v/>
      </c>
      <c r="AD33" s="25" t="str">
        <f>IF('Sensor Detail'!F35=0,"","=" &amp; 'Sensor Detail'!F35)</f>
        <v/>
      </c>
      <c r="AE33" s="25" t="str">
        <f>IF('Sensor Detail'!H35=0,"",'Sensor Detail'!H35)</f>
        <v/>
      </c>
      <c r="AF33" s="27" t="str">
        <f>IF('Sensor Detail'!G35=0,"","-" &amp; 'Sensor Detail'!G35)</f>
        <v/>
      </c>
      <c r="AG33" s="27" t="str">
        <f>IF('Sensor Detail'!I35=0,"",'Sensor Detail'!I35)</f>
        <v/>
      </c>
      <c r="AH33" s="27" t="str">
        <f>IF('Sensor Detail'!E35=0,"","+" &amp; 'Sensor Detail'!E35)</f>
        <v/>
      </c>
      <c r="AI33" s="27" t="str">
        <f t="shared" si="12"/>
        <v/>
      </c>
      <c r="AJ33" s="27" t="str">
        <f>IF('Sensor Detail'!J35=0,"",'Sensor Detail'!J35)</f>
        <v/>
      </c>
      <c r="AK33" s="27" t="str">
        <f>IF('Sensor Detail'!K35=0,"",'Sensor Detail'!K35)</f>
        <v/>
      </c>
      <c r="AL33" s="27" t="str">
        <f>IF('Sensor Detail'!L35=0,"",'Sensor Detail'!L35)</f>
        <v/>
      </c>
      <c r="AM33" s="27" t="str">
        <f>IF('Sensor Detail'!M35=0,"",'Sensor Detail'!M35)</f>
        <v/>
      </c>
      <c r="AN33" s="27" t="str">
        <f>IF('Sensor Detail'!N35=0,"",'Sensor Detail'!N35)</f>
        <v/>
      </c>
      <c r="AO33" s="27" t="str">
        <f>IF('Sensor Detail'!O35=0,"",'Sensor Detail'!O35)</f>
        <v/>
      </c>
      <c r="AP33" s="15" t="str">
        <f t="shared" si="13"/>
        <v/>
      </c>
      <c r="AQ33" s="15" t="str">
        <f t="shared" si="14"/>
        <v/>
      </c>
    </row>
    <row r="34" spans="1:43">
      <c r="A34" s="13" t="str">
        <f t="shared" si="0"/>
        <v/>
      </c>
      <c r="B34" s="13" t="str">
        <f t="shared" si="1"/>
        <v/>
      </c>
      <c r="C34" s="15" t="str">
        <f t="shared" si="2"/>
        <v/>
      </c>
      <c r="D34" s="15" t="str">
        <f t="shared" si="3"/>
        <v/>
      </c>
      <c r="E34" s="15" t="str">
        <f t="shared" si="4"/>
        <v/>
      </c>
      <c r="F34" s="15" t="str">
        <f t="shared" si="5"/>
        <v/>
      </c>
      <c r="G34" s="15" t="str">
        <f t="shared" si="6"/>
        <v/>
      </c>
      <c r="H34" s="15" t="str">
        <f t="shared" si="7"/>
        <v/>
      </c>
      <c r="I34" s="15" t="str">
        <f t="shared" si="8"/>
        <v/>
      </c>
      <c r="J34" s="15" t="str">
        <f t="shared" si="9"/>
        <v/>
      </c>
      <c r="K34" s="13" t="str">
        <f>IF('Cylinder Detail'!U36=0,"",'Cylinder Detail'!U36)</f>
        <v/>
      </c>
      <c r="L34" s="13" t="str">
        <f>IF('Cylinder Detail'!Z36=0,"",_xlfn.TEXTBEFORE('Cylinder Detail'!Z36, ","))</f>
        <v/>
      </c>
      <c r="M34" s="13" t="str">
        <f t="shared" si="10"/>
        <v/>
      </c>
      <c r="N34" s="17" t="str">
        <f>IF('Cylinder Detail'!V36=0,"",'Cylinder Detail'!V36)</f>
        <v/>
      </c>
      <c r="O34" s="17" t="str">
        <f>IF('Cylinder Detail'!Z36=0,"",_xlfn.TEXTAFTER('Cylinder Detail'!Z36, ", "))</f>
        <v/>
      </c>
      <c r="P34" s="17" t="str">
        <f>IF('Cylinder Detail'!AA36=0,"",'Cylinder Detail'!AA36)</f>
        <v/>
      </c>
      <c r="Q34" s="19" t="str">
        <f>IF('Cylinder Detail'!W36=0,"",'Cylinder Detail'!W36)</f>
        <v/>
      </c>
      <c r="R34" s="19" t="str">
        <f>IF('Cylinder Detail'!Y36=0,"",'Cylinder Detail'!Y36)</f>
        <v/>
      </c>
      <c r="S34" s="21" t="str">
        <f>IF('Cylinder Detail'!X36=0,"",'Cylinder Detail'!X36)</f>
        <v/>
      </c>
      <c r="T34" s="21" t="str">
        <f>IF('Cylinder Detail'!F36=0,"",'Cylinder Detail'!F36)</f>
        <v/>
      </c>
      <c r="U34" s="21" t="str">
        <f>IF('Cylinder Detail'!R36=0,"",'Cylinder Detail'!R36)</f>
        <v/>
      </c>
      <c r="V34" s="21" t="str">
        <f>IF('Cylinder Detail'!Q36=0,"",'Cylinder Detail'!Q36)</f>
        <v/>
      </c>
      <c r="W34" s="21" t="str">
        <f>IF('Cylinder Detail'!E36=0,"","+" &amp; 'Cylinder Detail'!E36)</f>
        <v/>
      </c>
      <c r="X34" s="21" t="str">
        <f t="shared" si="11"/>
        <v/>
      </c>
      <c r="Y34" s="21" t="str">
        <f>IF('Cylinder Detail'!S36=0,"",'Cylinder Detail'!S36)</f>
        <v/>
      </c>
      <c r="Z34" s="21" t="str">
        <f>IF('Cylinder Detail'!T36=0,"",'Cylinder Detail'!T36)</f>
        <v/>
      </c>
      <c r="AA34" s="21" t="str">
        <f>IF('Cylinder Detail'!H36=0,"",'Cylinder Detail'!H36)</f>
        <v/>
      </c>
      <c r="AB34" s="21" t="str">
        <f>IF('Cylinder Detail'!I36=0,"",'Cylinder Detail'!I36)</f>
        <v/>
      </c>
      <c r="AC34" s="22" t="str">
        <f>IF('Cylinder Detail'!AB36=0,"",'Cylinder Detail'!AB36)</f>
        <v/>
      </c>
      <c r="AD34" s="25" t="str">
        <f>IF('Sensor Detail'!F36=0,"","=" &amp; 'Sensor Detail'!F36)</f>
        <v/>
      </c>
      <c r="AE34" s="25" t="str">
        <f>IF('Sensor Detail'!H36=0,"",'Sensor Detail'!H36)</f>
        <v/>
      </c>
      <c r="AF34" s="27" t="str">
        <f>IF('Sensor Detail'!G36=0,"","-" &amp; 'Sensor Detail'!G36)</f>
        <v/>
      </c>
      <c r="AG34" s="27" t="str">
        <f>IF('Sensor Detail'!I36=0,"",'Sensor Detail'!I36)</f>
        <v/>
      </c>
      <c r="AH34" s="27" t="str">
        <f>IF('Sensor Detail'!E36=0,"","+" &amp; 'Sensor Detail'!E36)</f>
        <v/>
      </c>
      <c r="AI34" s="27" t="str">
        <f t="shared" si="12"/>
        <v/>
      </c>
      <c r="AJ34" s="27" t="str">
        <f>IF('Sensor Detail'!J36=0,"",'Sensor Detail'!J36)</f>
        <v/>
      </c>
      <c r="AK34" s="27" t="str">
        <f>IF('Sensor Detail'!K36=0,"",'Sensor Detail'!K36)</f>
        <v/>
      </c>
      <c r="AL34" s="27" t="str">
        <f>IF('Sensor Detail'!L36=0,"",'Sensor Detail'!L36)</f>
        <v/>
      </c>
      <c r="AM34" s="27" t="str">
        <f>IF('Sensor Detail'!M36=0,"",'Sensor Detail'!M36)</f>
        <v/>
      </c>
      <c r="AN34" s="27" t="str">
        <f>IF('Sensor Detail'!N36=0,"",'Sensor Detail'!N36)</f>
        <v/>
      </c>
      <c r="AO34" s="27" t="str">
        <f>IF('Sensor Detail'!O36=0,"",'Sensor Detail'!O36)</f>
        <v/>
      </c>
      <c r="AP34" s="15" t="str">
        <f t="shared" si="13"/>
        <v/>
      </c>
      <c r="AQ34" s="15" t="str">
        <f t="shared" si="14"/>
        <v/>
      </c>
    </row>
    <row r="35" spans="1:43">
      <c r="A35" s="13" t="str">
        <f t="shared" si="0"/>
        <v/>
      </c>
      <c r="B35" s="13" t="str">
        <f t="shared" si="1"/>
        <v/>
      </c>
      <c r="C35" s="15" t="str">
        <f t="shared" si="2"/>
        <v/>
      </c>
      <c r="D35" s="15" t="str">
        <f t="shared" si="3"/>
        <v/>
      </c>
      <c r="E35" s="15" t="str">
        <f t="shared" si="4"/>
        <v/>
      </c>
      <c r="F35" s="15" t="str">
        <f t="shared" si="5"/>
        <v/>
      </c>
      <c r="G35" s="15" t="str">
        <f t="shared" si="6"/>
        <v/>
      </c>
      <c r="H35" s="15" t="str">
        <f t="shared" si="7"/>
        <v/>
      </c>
      <c r="I35" s="15" t="str">
        <f t="shared" si="8"/>
        <v/>
      </c>
      <c r="J35" s="15" t="str">
        <f t="shared" si="9"/>
        <v/>
      </c>
      <c r="K35" s="13" t="str">
        <f>IF('Cylinder Detail'!U37=0,"",'Cylinder Detail'!U37)</f>
        <v/>
      </c>
      <c r="L35" s="13" t="str">
        <f>IF('Cylinder Detail'!Z37=0,"",_xlfn.TEXTBEFORE('Cylinder Detail'!Z37, ","))</f>
        <v/>
      </c>
      <c r="M35" s="13" t="str">
        <f t="shared" si="10"/>
        <v/>
      </c>
      <c r="N35" s="17" t="str">
        <f>IF('Cylinder Detail'!V37=0,"",'Cylinder Detail'!V37)</f>
        <v/>
      </c>
      <c r="O35" s="17" t="str">
        <f>IF('Cylinder Detail'!Z37=0,"",_xlfn.TEXTAFTER('Cylinder Detail'!Z37, ", "))</f>
        <v/>
      </c>
      <c r="P35" s="17" t="str">
        <f>IF('Cylinder Detail'!AA37=0,"",'Cylinder Detail'!AA37)</f>
        <v/>
      </c>
      <c r="Q35" s="19" t="str">
        <f>IF('Cylinder Detail'!W37=0,"",'Cylinder Detail'!W37)</f>
        <v/>
      </c>
      <c r="R35" s="19" t="str">
        <f>IF('Cylinder Detail'!Y37=0,"",'Cylinder Detail'!Y37)</f>
        <v/>
      </c>
      <c r="S35" s="21" t="str">
        <f>IF('Cylinder Detail'!X37=0,"",'Cylinder Detail'!X37)</f>
        <v/>
      </c>
      <c r="T35" s="21" t="str">
        <f>IF('Cylinder Detail'!F37=0,"",'Cylinder Detail'!F37)</f>
        <v/>
      </c>
      <c r="U35" s="21" t="str">
        <f>IF('Cylinder Detail'!R37=0,"",'Cylinder Detail'!R37)</f>
        <v/>
      </c>
      <c r="V35" s="21" t="str">
        <f>IF('Cylinder Detail'!Q37=0,"",'Cylinder Detail'!Q37)</f>
        <v/>
      </c>
      <c r="W35" s="21" t="str">
        <f>IF('Cylinder Detail'!E37=0,"","+" &amp; 'Cylinder Detail'!E37)</f>
        <v/>
      </c>
      <c r="X35" s="21" t="str">
        <f t="shared" si="11"/>
        <v/>
      </c>
      <c r="Y35" s="21" t="str">
        <f>IF('Cylinder Detail'!S37=0,"",'Cylinder Detail'!S37)</f>
        <v/>
      </c>
      <c r="Z35" s="21" t="str">
        <f>IF('Cylinder Detail'!T37=0,"",'Cylinder Detail'!T37)</f>
        <v/>
      </c>
      <c r="AA35" s="21" t="str">
        <f>IF('Cylinder Detail'!H37=0,"",'Cylinder Detail'!H37)</f>
        <v/>
      </c>
      <c r="AB35" s="21" t="str">
        <f>IF('Cylinder Detail'!I37=0,"",'Cylinder Detail'!I37)</f>
        <v/>
      </c>
      <c r="AC35" s="22" t="str">
        <f>IF('Cylinder Detail'!AB37=0,"",'Cylinder Detail'!AB37)</f>
        <v/>
      </c>
      <c r="AD35" s="25" t="str">
        <f>IF('Sensor Detail'!F37=0,"","=" &amp; 'Sensor Detail'!F37)</f>
        <v/>
      </c>
      <c r="AE35" s="25" t="str">
        <f>IF('Sensor Detail'!H37=0,"",'Sensor Detail'!H37)</f>
        <v/>
      </c>
      <c r="AF35" s="27" t="str">
        <f>IF('Sensor Detail'!G37=0,"","-" &amp; 'Sensor Detail'!G37)</f>
        <v/>
      </c>
      <c r="AG35" s="27" t="str">
        <f>IF('Sensor Detail'!I37=0,"",'Sensor Detail'!I37)</f>
        <v/>
      </c>
      <c r="AH35" s="27" t="str">
        <f>IF('Sensor Detail'!E37=0,"","+" &amp; 'Sensor Detail'!E37)</f>
        <v/>
      </c>
      <c r="AI35" s="27" t="str">
        <f t="shared" si="12"/>
        <v/>
      </c>
      <c r="AJ35" s="27" t="str">
        <f>IF('Sensor Detail'!J37=0,"",'Sensor Detail'!J37)</f>
        <v/>
      </c>
      <c r="AK35" s="27" t="str">
        <f>IF('Sensor Detail'!K37=0,"",'Sensor Detail'!K37)</f>
        <v/>
      </c>
      <c r="AL35" s="27" t="str">
        <f>IF('Sensor Detail'!L37=0,"",'Sensor Detail'!L37)</f>
        <v/>
      </c>
      <c r="AM35" s="27" t="str">
        <f>IF('Sensor Detail'!M37=0,"",'Sensor Detail'!M37)</f>
        <v/>
      </c>
      <c r="AN35" s="27" t="str">
        <f>IF('Sensor Detail'!N37=0,"",'Sensor Detail'!N37)</f>
        <v/>
      </c>
      <c r="AO35" s="27" t="str">
        <f>IF('Sensor Detail'!O37=0,"",'Sensor Detail'!O37)</f>
        <v/>
      </c>
      <c r="AP35" s="15" t="str">
        <f t="shared" si="13"/>
        <v/>
      </c>
      <c r="AQ35" s="15" t="str">
        <f t="shared" si="14"/>
        <v/>
      </c>
    </row>
    <row r="36" spans="1:43">
      <c r="A36" s="13" t="str">
        <f t="shared" si="0"/>
        <v/>
      </c>
      <c r="B36" s="13" t="str">
        <f t="shared" si="1"/>
        <v/>
      </c>
      <c r="C36" s="15" t="str">
        <f t="shared" si="2"/>
        <v/>
      </c>
      <c r="D36" s="15" t="str">
        <f t="shared" si="3"/>
        <v/>
      </c>
      <c r="E36" s="15" t="str">
        <f t="shared" si="4"/>
        <v/>
      </c>
      <c r="F36" s="15" t="str">
        <f t="shared" si="5"/>
        <v/>
      </c>
      <c r="G36" s="15" t="str">
        <f t="shared" si="6"/>
        <v/>
      </c>
      <c r="H36" s="15" t="str">
        <f t="shared" si="7"/>
        <v/>
      </c>
      <c r="I36" s="15" t="str">
        <f t="shared" si="8"/>
        <v/>
      </c>
      <c r="J36" s="15" t="str">
        <f t="shared" si="9"/>
        <v/>
      </c>
      <c r="K36" s="13" t="str">
        <f>IF('Cylinder Detail'!U38=0,"",'Cylinder Detail'!U38)</f>
        <v/>
      </c>
      <c r="L36" s="13" t="str">
        <f>IF('Cylinder Detail'!Z38=0,"",_xlfn.TEXTBEFORE('Cylinder Detail'!Z38, ","))</f>
        <v/>
      </c>
      <c r="M36" s="13" t="str">
        <f t="shared" si="10"/>
        <v/>
      </c>
      <c r="N36" s="17" t="str">
        <f>IF('Cylinder Detail'!V38=0,"",'Cylinder Detail'!V38)</f>
        <v/>
      </c>
      <c r="O36" s="17" t="str">
        <f>IF('Cylinder Detail'!Z38=0,"",_xlfn.TEXTAFTER('Cylinder Detail'!Z38, ", "))</f>
        <v/>
      </c>
      <c r="P36" s="17" t="str">
        <f>IF('Cylinder Detail'!AA38=0,"",'Cylinder Detail'!AA38)</f>
        <v/>
      </c>
      <c r="Q36" s="19" t="str">
        <f>IF('Cylinder Detail'!W38=0,"",'Cylinder Detail'!W38)</f>
        <v/>
      </c>
      <c r="R36" s="19" t="str">
        <f>IF('Cylinder Detail'!Y38=0,"",'Cylinder Detail'!Y38)</f>
        <v/>
      </c>
      <c r="S36" s="21" t="str">
        <f>IF('Cylinder Detail'!X38=0,"",'Cylinder Detail'!X38)</f>
        <v/>
      </c>
      <c r="T36" s="21" t="str">
        <f>IF('Cylinder Detail'!F38=0,"",'Cylinder Detail'!F38)</f>
        <v/>
      </c>
      <c r="U36" s="21" t="str">
        <f>IF('Cylinder Detail'!R38=0,"",'Cylinder Detail'!R38)</f>
        <v/>
      </c>
      <c r="V36" s="21" t="str">
        <f>IF('Cylinder Detail'!Q38=0,"",'Cylinder Detail'!Q38)</f>
        <v/>
      </c>
      <c r="W36" s="21" t="str">
        <f>IF('Cylinder Detail'!E38=0,"","+" &amp; 'Cylinder Detail'!E38)</f>
        <v/>
      </c>
      <c r="X36" s="21" t="str">
        <f t="shared" si="11"/>
        <v/>
      </c>
      <c r="Y36" s="21" t="str">
        <f>IF('Cylinder Detail'!S38=0,"",'Cylinder Detail'!S38)</f>
        <v/>
      </c>
      <c r="Z36" s="21" t="str">
        <f>IF('Cylinder Detail'!T38=0,"",'Cylinder Detail'!T38)</f>
        <v/>
      </c>
      <c r="AA36" s="21" t="str">
        <f>IF('Cylinder Detail'!H38=0,"",'Cylinder Detail'!H38)</f>
        <v/>
      </c>
      <c r="AB36" s="21" t="str">
        <f>IF('Cylinder Detail'!I38=0,"",'Cylinder Detail'!I38)</f>
        <v/>
      </c>
      <c r="AC36" s="22" t="str">
        <f>IF('Cylinder Detail'!AB38=0,"",'Cylinder Detail'!AB38)</f>
        <v/>
      </c>
      <c r="AD36" s="25" t="str">
        <f>IF('Sensor Detail'!F38=0,"","=" &amp; 'Sensor Detail'!F38)</f>
        <v/>
      </c>
      <c r="AE36" s="25" t="str">
        <f>IF('Sensor Detail'!H38=0,"",'Sensor Detail'!H38)</f>
        <v/>
      </c>
      <c r="AF36" s="27" t="str">
        <f>IF('Sensor Detail'!G38=0,"","-" &amp; 'Sensor Detail'!G38)</f>
        <v/>
      </c>
      <c r="AG36" s="27" t="str">
        <f>IF('Sensor Detail'!I38=0,"",'Sensor Detail'!I38)</f>
        <v/>
      </c>
      <c r="AH36" s="27" t="str">
        <f>IF('Sensor Detail'!E38=0,"","+" &amp; 'Sensor Detail'!E38)</f>
        <v/>
      </c>
      <c r="AI36" s="27" t="str">
        <f t="shared" si="12"/>
        <v/>
      </c>
      <c r="AJ36" s="27" t="str">
        <f>IF('Sensor Detail'!J38=0,"",'Sensor Detail'!J38)</f>
        <v/>
      </c>
      <c r="AK36" s="27" t="str">
        <f>IF('Sensor Detail'!K38=0,"",'Sensor Detail'!K38)</f>
        <v/>
      </c>
      <c r="AL36" s="27" t="str">
        <f>IF('Sensor Detail'!L38=0,"",'Sensor Detail'!L38)</f>
        <v/>
      </c>
      <c r="AM36" s="27" t="str">
        <f>IF('Sensor Detail'!M38=0,"",'Sensor Detail'!M38)</f>
        <v/>
      </c>
      <c r="AN36" s="27" t="str">
        <f>IF('Sensor Detail'!N38=0,"",'Sensor Detail'!N38)</f>
        <v/>
      </c>
      <c r="AO36" s="27" t="str">
        <f>IF('Sensor Detail'!O38=0,"",'Sensor Detail'!O38)</f>
        <v/>
      </c>
      <c r="AP36" s="15" t="str">
        <f t="shared" si="13"/>
        <v/>
      </c>
      <c r="AQ36" s="15" t="str">
        <f t="shared" si="14"/>
        <v/>
      </c>
    </row>
    <row r="37" spans="1:43">
      <c r="A37" s="13" t="str">
        <f t="shared" si="0"/>
        <v/>
      </c>
      <c r="B37" s="13" t="str">
        <f t="shared" si="1"/>
        <v/>
      </c>
      <c r="C37" s="15" t="str">
        <f t="shared" si="2"/>
        <v/>
      </c>
      <c r="D37" s="15" t="str">
        <f t="shared" si="3"/>
        <v/>
      </c>
      <c r="E37" s="15" t="str">
        <f t="shared" si="4"/>
        <v/>
      </c>
      <c r="F37" s="15" t="str">
        <f t="shared" si="5"/>
        <v/>
      </c>
      <c r="G37" s="15" t="str">
        <f t="shared" si="6"/>
        <v/>
      </c>
      <c r="H37" s="15" t="str">
        <f t="shared" si="7"/>
        <v/>
      </c>
      <c r="I37" s="15" t="str">
        <f t="shared" si="8"/>
        <v/>
      </c>
      <c r="J37" s="15" t="str">
        <f t="shared" si="9"/>
        <v/>
      </c>
      <c r="K37" s="13" t="str">
        <f>IF('Cylinder Detail'!U39=0,"",'Cylinder Detail'!U39)</f>
        <v/>
      </c>
      <c r="L37" s="13" t="str">
        <f>IF('Cylinder Detail'!Z39=0,"",_xlfn.TEXTBEFORE('Cylinder Detail'!Z39, ","))</f>
        <v/>
      </c>
      <c r="M37" s="13" t="str">
        <f t="shared" si="10"/>
        <v/>
      </c>
      <c r="N37" s="17" t="str">
        <f>IF('Cylinder Detail'!V39=0,"",'Cylinder Detail'!V39)</f>
        <v/>
      </c>
      <c r="O37" s="17" t="str">
        <f>IF('Cylinder Detail'!Z39=0,"",_xlfn.TEXTAFTER('Cylinder Detail'!Z39, ", "))</f>
        <v/>
      </c>
      <c r="P37" s="17" t="str">
        <f>IF('Cylinder Detail'!AA39=0,"",'Cylinder Detail'!AA39)</f>
        <v/>
      </c>
      <c r="Q37" s="19" t="str">
        <f>IF('Cylinder Detail'!W39=0,"",'Cylinder Detail'!W39)</f>
        <v/>
      </c>
      <c r="R37" s="19" t="str">
        <f>IF('Cylinder Detail'!Y39=0,"",'Cylinder Detail'!Y39)</f>
        <v/>
      </c>
      <c r="S37" s="21" t="str">
        <f>IF('Cylinder Detail'!X39=0,"",'Cylinder Detail'!X39)</f>
        <v/>
      </c>
      <c r="T37" s="21" t="str">
        <f>IF('Cylinder Detail'!F39=0,"",'Cylinder Detail'!F39)</f>
        <v/>
      </c>
      <c r="U37" s="21" t="str">
        <f>IF('Cylinder Detail'!R39=0,"",'Cylinder Detail'!R39)</f>
        <v/>
      </c>
      <c r="V37" s="21" t="str">
        <f>IF('Cylinder Detail'!Q39=0,"",'Cylinder Detail'!Q39)</f>
        <v/>
      </c>
      <c r="W37" s="21" t="str">
        <f>IF('Cylinder Detail'!E39=0,"","+" &amp; 'Cylinder Detail'!E39)</f>
        <v/>
      </c>
      <c r="X37" s="21" t="str">
        <f t="shared" si="11"/>
        <v/>
      </c>
      <c r="Y37" s="21" t="str">
        <f>IF('Cylinder Detail'!S39=0,"",'Cylinder Detail'!S39)</f>
        <v/>
      </c>
      <c r="Z37" s="21" t="str">
        <f>IF('Cylinder Detail'!T39=0,"",'Cylinder Detail'!T39)</f>
        <v/>
      </c>
      <c r="AA37" s="21" t="str">
        <f>IF('Cylinder Detail'!H39=0,"",'Cylinder Detail'!H39)</f>
        <v/>
      </c>
      <c r="AB37" s="21" t="str">
        <f>IF('Cylinder Detail'!I39=0,"",'Cylinder Detail'!I39)</f>
        <v/>
      </c>
      <c r="AC37" s="22" t="str">
        <f>IF('Cylinder Detail'!AB39=0,"",'Cylinder Detail'!AB39)</f>
        <v/>
      </c>
      <c r="AD37" s="25" t="str">
        <f>IF('Sensor Detail'!F39=0,"","=" &amp; 'Sensor Detail'!F39)</f>
        <v/>
      </c>
      <c r="AE37" s="25" t="str">
        <f>IF('Sensor Detail'!H39=0,"",'Sensor Detail'!H39)</f>
        <v/>
      </c>
      <c r="AF37" s="27" t="str">
        <f>IF('Sensor Detail'!G39=0,"","-" &amp; 'Sensor Detail'!G39)</f>
        <v/>
      </c>
      <c r="AG37" s="27" t="str">
        <f>IF('Sensor Detail'!I39=0,"",'Sensor Detail'!I39)</f>
        <v/>
      </c>
      <c r="AH37" s="27" t="str">
        <f>IF('Sensor Detail'!E39=0,"","+" &amp; 'Sensor Detail'!E39)</f>
        <v/>
      </c>
      <c r="AI37" s="27" t="str">
        <f t="shared" si="12"/>
        <v/>
      </c>
      <c r="AJ37" s="27" t="str">
        <f>IF('Sensor Detail'!J39=0,"",'Sensor Detail'!J39)</f>
        <v/>
      </c>
      <c r="AK37" s="27" t="str">
        <f>IF('Sensor Detail'!K39=0,"",'Sensor Detail'!K39)</f>
        <v/>
      </c>
      <c r="AL37" s="27" t="str">
        <f>IF('Sensor Detail'!L39=0,"",'Sensor Detail'!L39)</f>
        <v/>
      </c>
      <c r="AM37" s="27" t="str">
        <f>IF('Sensor Detail'!M39=0,"",'Sensor Detail'!M39)</f>
        <v/>
      </c>
      <c r="AN37" s="27" t="str">
        <f>IF('Sensor Detail'!N39=0,"",'Sensor Detail'!N39)</f>
        <v/>
      </c>
      <c r="AO37" s="27" t="str">
        <f>IF('Sensor Detail'!O39=0,"",'Sensor Detail'!O39)</f>
        <v/>
      </c>
      <c r="AP37" s="15" t="str">
        <f t="shared" si="13"/>
        <v/>
      </c>
      <c r="AQ37" s="15" t="str">
        <f t="shared" si="14"/>
        <v/>
      </c>
    </row>
    <row r="38" spans="1:43">
      <c r="A38" s="13" t="str">
        <f t="shared" si="0"/>
        <v/>
      </c>
      <c r="B38" s="13" t="str">
        <f t="shared" si="1"/>
        <v/>
      </c>
      <c r="C38" s="15" t="str">
        <f t="shared" si="2"/>
        <v/>
      </c>
      <c r="D38" s="15" t="str">
        <f t="shared" si="3"/>
        <v/>
      </c>
      <c r="E38" s="15" t="str">
        <f t="shared" si="4"/>
        <v/>
      </c>
      <c r="F38" s="15" t="str">
        <f t="shared" si="5"/>
        <v/>
      </c>
      <c r="G38" s="15" t="str">
        <f t="shared" si="6"/>
        <v/>
      </c>
      <c r="H38" s="15" t="str">
        <f t="shared" si="7"/>
        <v/>
      </c>
      <c r="I38" s="15" t="str">
        <f t="shared" si="8"/>
        <v/>
      </c>
      <c r="J38" s="15" t="str">
        <f t="shared" si="9"/>
        <v/>
      </c>
      <c r="K38" s="13" t="str">
        <f>IF('Cylinder Detail'!U40=0,"",'Cylinder Detail'!U40)</f>
        <v/>
      </c>
      <c r="L38" s="13" t="str">
        <f>IF('Cylinder Detail'!Z40=0,"",_xlfn.TEXTBEFORE('Cylinder Detail'!Z40, ","))</f>
        <v/>
      </c>
      <c r="M38" s="13" t="str">
        <f t="shared" si="10"/>
        <v/>
      </c>
      <c r="N38" s="17" t="str">
        <f>IF('Cylinder Detail'!V40=0,"",'Cylinder Detail'!V40)</f>
        <v/>
      </c>
      <c r="O38" s="17" t="str">
        <f>IF('Cylinder Detail'!Z40=0,"",_xlfn.TEXTAFTER('Cylinder Detail'!Z40, ", "))</f>
        <v/>
      </c>
      <c r="P38" s="17" t="str">
        <f>IF('Cylinder Detail'!AA40=0,"",'Cylinder Detail'!AA40)</f>
        <v/>
      </c>
      <c r="Q38" s="19" t="str">
        <f>IF('Cylinder Detail'!W40=0,"",'Cylinder Detail'!W40)</f>
        <v/>
      </c>
      <c r="R38" s="19" t="str">
        <f>IF('Cylinder Detail'!Y40=0,"",'Cylinder Detail'!Y40)</f>
        <v/>
      </c>
      <c r="S38" s="21" t="str">
        <f>IF('Cylinder Detail'!X40=0,"",'Cylinder Detail'!X40)</f>
        <v/>
      </c>
      <c r="T38" s="21" t="str">
        <f>IF('Cylinder Detail'!F40=0,"",'Cylinder Detail'!F40)</f>
        <v/>
      </c>
      <c r="U38" s="21" t="str">
        <f>IF('Cylinder Detail'!R40=0,"",'Cylinder Detail'!R40)</f>
        <v/>
      </c>
      <c r="V38" s="21" t="str">
        <f>IF('Cylinder Detail'!Q40=0,"",'Cylinder Detail'!Q40)</f>
        <v/>
      </c>
      <c r="W38" s="21" t="str">
        <f>IF('Cylinder Detail'!E40=0,"","+" &amp; 'Cylinder Detail'!E40)</f>
        <v/>
      </c>
      <c r="X38" s="21" t="str">
        <f t="shared" si="11"/>
        <v/>
      </c>
      <c r="Y38" s="21" t="str">
        <f>IF('Cylinder Detail'!S40=0,"",'Cylinder Detail'!S40)</f>
        <v/>
      </c>
      <c r="Z38" s="21" t="str">
        <f>IF('Cylinder Detail'!T40=0,"",'Cylinder Detail'!T40)</f>
        <v/>
      </c>
      <c r="AA38" s="21" t="str">
        <f>IF('Cylinder Detail'!H40=0,"",'Cylinder Detail'!H40)</f>
        <v/>
      </c>
      <c r="AB38" s="21" t="str">
        <f>IF('Cylinder Detail'!I40=0,"",'Cylinder Detail'!I40)</f>
        <v/>
      </c>
      <c r="AC38" s="22" t="str">
        <f>IF('Cylinder Detail'!AB40=0,"",'Cylinder Detail'!AB40)</f>
        <v/>
      </c>
      <c r="AD38" s="25" t="str">
        <f>IF('Sensor Detail'!F40=0,"","=" &amp; 'Sensor Detail'!F40)</f>
        <v/>
      </c>
      <c r="AE38" s="25" t="str">
        <f>IF('Sensor Detail'!H40=0,"",'Sensor Detail'!H40)</f>
        <v/>
      </c>
      <c r="AF38" s="27" t="str">
        <f>IF('Sensor Detail'!G40=0,"","-" &amp; 'Sensor Detail'!G40)</f>
        <v/>
      </c>
      <c r="AG38" s="27" t="str">
        <f>IF('Sensor Detail'!I40=0,"",'Sensor Detail'!I40)</f>
        <v/>
      </c>
      <c r="AH38" s="27" t="str">
        <f>IF('Sensor Detail'!E40=0,"","+" &amp; 'Sensor Detail'!E40)</f>
        <v/>
      </c>
      <c r="AI38" s="27" t="str">
        <f t="shared" si="12"/>
        <v/>
      </c>
      <c r="AJ38" s="27" t="str">
        <f>IF('Sensor Detail'!J40=0,"",'Sensor Detail'!J40)</f>
        <v/>
      </c>
      <c r="AK38" s="27" t="str">
        <f>IF('Sensor Detail'!K40=0,"",'Sensor Detail'!K40)</f>
        <v/>
      </c>
      <c r="AL38" s="27" t="str">
        <f>IF('Sensor Detail'!L40=0,"",'Sensor Detail'!L40)</f>
        <v/>
      </c>
      <c r="AM38" s="27" t="str">
        <f>IF('Sensor Detail'!M40=0,"",'Sensor Detail'!M40)</f>
        <v/>
      </c>
      <c r="AN38" s="27" t="str">
        <f>IF('Sensor Detail'!N40=0,"",'Sensor Detail'!N40)</f>
        <v/>
      </c>
      <c r="AO38" s="27" t="str">
        <f>IF('Sensor Detail'!O40=0,"",'Sensor Detail'!O40)</f>
        <v/>
      </c>
      <c r="AP38" s="15" t="str">
        <f t="shared" si="13"/>
        <v/>
      </c>
      <c r="AQ38" s="15" t="str">
        <f t="shared" si="14"/>
        <v/>
      </c>
    </row>
    <row r="39" spans="1:43">
      <c r="A39" s="13" t="str">
        <f t="shared" si="0"/>
        <v/>
      </c>
      <c r="B39" s="13" t="str">
        <f t="shared" si="1"/>
        <v/>
      </c>
      <c r="C39" s="15" t="str">
        <f t="shared" si="2"/>
        <v/>
      </c>
      <c r="D39" s="15" t="str">
        <f t="shared" si="3"/>
        <v/>
      </c>
      <c r="E39" s="15" t="str">
        <f t="shared" si="4"/>
        <v/>
      </c>
      <c r="F39" s="15" t="str">
        <f t="shared" si="5"/>
        <v/>
      </c>
      <c r="G39" s="15" t="str">
        <f t="shared" si="6"/>
        <v/>
      </c>
      <c r="H39" s="15" t="str">
        <f t="shared" si="7"/>
        <v/>
      </c>
      <c r="I39" s="15" t="str">
        <f t="shared" si="8"/>
        <v/>
      </c>
      <c r="J39" s="15" t="str">
        <f t="shared" si="9"/>
        <v/>
      </c>
      <c r="K39" s="13" t="str">
        <f>IF('Cylinder Detail'!U41=0,"",'Cylinder Detail'!U41)</f>
        <v/>
      </c>
      <c r="L39" s="13" t="str">
        <f>IF('Cylinder Detail'!Z41=0,"",_xlfn.TEXTBEFORE('Cylinder Detail'!Z41, ","))</f>
        <v/>
      </c>
      <c r="M39" s="13" t="str">
        <f t="shared" si="10"/>
        <v/>
      </c>
      <c r="N39" s="17" t="str">
        <f>IF('Cylinder Detail'!V41=0,"",'Cylinder Detail'!V41)</f>
        <v/>
      </c>
      <c r="O39" s="17" t="str">
        <f>IF('Cylinder Detail'!Z41=0,"",_xlfn.TEXTAFTER('Cylinder Detail'!Z41, ", "))</f>
        <v/>
      </c>
      <c r="P39" s="17" t="str">
        <f>IF('Cylinder Detail'!AA41=0,"",'Cylinder Detail'!AA41)</f>
        <v/>
      </c>
      <c r="Q39" s="19" t="str">
        <f>IF('Cylinder Detail'!W41=0,"",'Cylinder Detail'!W41)</f>
        <v/>
      </c>
      <c r="R39" s="19" t="str">
        <f>IF('Cylinder Detail'!Y41=0,"",'Cylinder Detail'!Y41)</f>
        <v/>
      </c>
      <c r="S39" s="21" t="str">
        <f>IF('Cylinder Detail'!X41=0,"",'Cylinder Detail'!X41)</f>
        <v/>
      </c>
      <c r="T39" s="21" t="str">
        <f>IF('Cylinder Detail'!F41=0,"",'Cylinder Detail'!F41)</f>
        <v/>
      </c>
      <c r="U39" s="21" t="str">
        <f>IF('Cylinder Detail'!R41=0,"",'Cylinder Detail'!R41)</f>
        <v/>
      </c>
      <c r="V39" s="21" t="str">
        <f>IF('Cylinder Detail'!Q41=0,"",'Cylinder Detail'!Q41)</f>
        <v/>
      </c>
      <c r="W39" s="21" t="str">
        <f>IF('Cylinder Detail'!E41=0,"","+" &amp; 'Cylinder Detail'!E41)</f>
        <v/>
      </c>
      <c r="X39" s="21" t="str">
        <f t="shared" si="11"/>
        <v/>
      </c>
      <c r="Y39" s="21" t="str">
        <f>IF('Cylinder Detail'!S41=0,"",'Cylinder Detail'!S41)</f>
        <v/>
      </c>
      <c r="Z39" s="21" t="str">
        <f>IF('Cylinder Detail'!T41=0,"",'Cylinder Detail'!T41)</f>
        <v/>
      </c>
      <c r="AA39" s="21" t="str">
        <f>IF('Cylinder Detail'!H41=0,"",'Cylinder Detail'!H41)</f>
        <v/>
      </c>
      <c r="AB39" s="21" t="str">
        <f>IF('Cylinder Detail'!I41=0,"",'Cylinder Detail'!I41)</f>
        <v/>
      </c>
      <c r="AC39" s="22" t="str">
        <f>IF('Cylinder Detail'!AB41=0,"",'Cylinder Detail'!AB41)</f>
        <v/>
      </c>
      <c r="AD39" s="25" t="str">
        <f>IF('Sensor Detail'!F41=0,"","=" &amp; 'Sensor Detail'!F41)</f>
        <v/>
      </c>
      <c r="AE39" s="25" t="str">
        <f>IF('Sensor Detail'!H41=0,"",'Sensor Detail'!H41)</f>
        <v/>
      </c>
      <c r="AF39" s="27" t="str">
        <f>IF('Sensor Detail'!G41=0,"","-" &amp; 'Sensor Detail'!G41)</f>
        <v/>
      </c>
      <c r="AG39" s="27" t="str">
        <f>IF('Sensor Detail'!I41=0,"",'Sensor Detail'!I41)</f>
        <v/>
      </c>
      <c r="AH39" s="27" t="str">
        <f>IF('Sensor Detail'!E41=0,"","+" &amp; 'Sensor Detail'!E41)</f>
        <v/>
      </c>
      <c r="AI39" s="27" t="str">
        <f t="shared" si="12"/>
        <v/>
      </c>
      <c r="AJ39" s="27" t="str">
        <f>IF('Sensor Detail'!J41=0,"",'Sensor Detail'!J41)</f>
        <v/>
      </c>
      <c r="AK39" s="27" t="str">
        <f>IF('Sensor Detail'!K41=0,"",'Sensor Detail'!K41)</f>
        <v/>
      </c>
      <c r="AL39" s="27" t="str">
        <f>IF('Sensor Detail'!L41=0,"",'Sensor Detail'!L41)</f>
        <v/>
      </c>
      <c r="AM39" s="27" t="str">
        <f>IF('Sensor Detail'!M41=0,"",'Sensor Detail'!M41)</f>
        <v/>
      </c>
      <c r="AN39" s="27" t="str">
        <f>IF('Sensor Detail'!N41=0,"",'Sensor Detail'!N41)</f>
        <v/>
      </c>
      <c r="AO39" s="27" t="str">
        <f>IF('Sensor Detail'!O41=0,"",'Sensor Detail'!O41)</f>
        <v/>
      </c>
      <c r="AP39" s="15" t="str">
        <f t="shared" si="13"/>
        <v/>
      </c>
      <c r="AQ39" s="15" t="str">
        <f t="shared" si="14"/>
        <v/>
      </c>
    </row>
    <row r="40" spans="1:43">
      <c r="A40" s="13" t="str">
        <f t="shared" si="0"/>
        <v/>
      </c>
      <c r="B40" s="13" t="str">
        <f t="shared" si="1"/>
        <v/>
      </c>
      <c r="C40" s="15" t="str">
        <f t="shared" si="2"/>
        <v/>
      </c>
      <c r="D40" s="15" t="str">
        <f t="shared" si="3"/>
        <v/>
      </c>
      <c r="E40" s="15" t="str">
        <f t="shared" si="4"/>
        <v/>
      </c>
      <c r="F40" s="15" t="str">
        <f t="shared" si="5"/>
        <v/>
      </c>
      <c r="G40" s="15" t="str">
        <f t="shared" si="6"/>
        <v/>
      </c>
      <c r="H40" s="15" t="str">
        <f t="shared" si="7"/>
        <v/>
      </c>
      <c r="I40" s="15" t="str">
        <f t="shared" si="8"/>
        <v/>
      </c>
      <c r="J40" s="15" t="str">
        <f t="shared" si="9"/>
        <v/>
      </c>
      <c r="K40" s="13" t="str">
        <f>IF('Cylinder Detail'!U42=0,"",'Cylinder Detail'!U42)</f>
        <v/>
      </c>
      <c r="L40" s="13" t="str">
        <f>IF('Cylinder Detail'!Z42=0,"",_xlfn.TEXTBEFORE('Cylinder Detail'!Z42, ","))</f>
        <v/>
      </c>
      <c r="M40" s="13" t="str">
        <f t="shared" si="10"/>
        <v/>
      </c>
      <c r="N40" s="17" t="str">
        <f>IF('Cylinder Detail'!V42=0,"",'Cylinder Detail'!V42)</f>
        <v/>
      </c>
      <c r="O40" s="17" t="str">
        <f>IF('Cylinder Detail'!Z42=0,"",_xlfn.TEXTAFTER('Cylinder Detail'!Z42, ", "))</f>
        <v/>
      </c>
      <c r="P40" s="17" t="str">
        <f>IF('Cylinder Detail'!AA42=0,"",'Cylinder Detail'!AA42)</f>
        <v/>
      </c>
      <c r="Q40" s="19" t="str">
        <f>IF('Cylinder Detail'!W42=0,"",'Cylinder Detail'!W42)</f>
        <v/>
      </c>
      <c r="R40" s="19" t="str">
        <f>IF('Cylinder Detail'!Y42=0,"",'Cylinder Detail'!Y42)</f>
        <v/>
      </c>
      <c r="S40" s="21" t="str">
        <f>IF('Cylinder Detail'!X42=0,"",'Cylinder Detail'!X42)</f>
        <v/>
      </c>
      <c r="T40" s="21" t="str">
        <f>IF('Cylinder Detail'!F42=0,"",'Cylinder Detail'!F42)</f>
        <v/>
      </c>
      <c r="U40" s="21" t="str">
        <f>IF('Cylinder Detail'!R42=0,"",'Cylinder Detail'!R42)</f>
        <v/>
      </c>
      <c r="V40" s="21" t="str">
        <f>IF('Cylinder Detail'!Q42=0,"",'Cylinder Detail'!Q42)</f>
        <v/>
      </c>
      <c r="W40" s="21" t="str">
        <f>IF('Cylinder Detail'!E42=0,"","+" &amp; 'Cylinder Detail'!E42)</f>
        <v/>
      </c>
      <c r="X40" s="21" t="str">
        <f t="shared" si="11"/>
        <v/>
      </c>
      <c r="Y40" s="21" t="str">
        <f>IF('Cylinder Detail'!S42=0,"",'Cylinder Detail'!S42)</f>
        <v/>
      </c>
      <c r="Z40" s="21" t="str">
        <f>IF('Cylinder Detail'!T42=0,"",'Cylinder Detail'!T42)</f>
        <v/>
      </c>
      <c r="AA40" s="21" t="str">
        <f>IF('Cylinder Detail'!H42=0,"",'Cylinder Detail'!H42)</f>
        <v/>
      </c>
      <c r="AB40" s="21" t="str">
        <f>IF('Cylinder Detail'!I42=0,"",'Cylinder Detail'!I42)</f>
        <v/>
      </c>
      <c r="AC40" s="22" t="str">
        <f>IF('Cylinder Detail'!AB42=0,"",'Cylinder Detail'!AB42)</f>
        <v/>
      </c>
      <c r="AD40" s="25" t="str">
        <f>IF('Sensor Detail'!F42=0,"","=" &amp; 'Sensor Detail'!F42)</f>
        <v/>
      </c>
      <c r="AE40" s="25" t="str">
        <f>IF('Sensor Detail'!H42=0,"",'Sensor Detail'!H42)</f>
        <v/>
      </c>
      <c r="AF40" s="27" t="str">
        <f>IF('Sensor Detail'!G42=0,"","-" &amp; 'Sensor Detail'!G42)</f>
        <v/>
      </c>
      <c r="AG40" s="27" t="str">
        <f>IF('Sensor Detail'!I42=0,"",'Sensor Detail'!I42)</f>
        <v/>
      </c>
      <c r="AH40" s="27" t="str">
        <f>IF('Sensor Detail'!E42=0,"","+" &amp; 'Sensor Detail'!E42)</f>
        <v/>
      </c>
      <c r="AI40" s="27" t="str">
        <f t="shared" si="12"/>
        <v/>
      </c>
      <c r="AJ40" s="27" t="str">
        <f>IF('Sensor Detail'!J42=0,"",'Sensor Detail'!J42)</f>
        <v/>
      </c>
      <c r="AK40" s="27" t="str">
        <f>IF('Sensor Detail'!K42=0,"",'Sensor Detail'!K42)</f>
        <v/>
      </c>
      <c r="AL40" s="27" t="str">
        <f>IF('Sensor Detail'!L42=0,"",'Sensor Detail'!L42)</f>
        <v/>
      </c>
      <c r="AM40" s="27" t="str">
        <f>IF('Sensor Detail'!M42=0,"",'Sensor Detail'!M42)</f>
        <v/>
      </c>
      <c r="AN40" s="27" t="str">
        <f>IF('Sensor Detail'!N42=0,"",'Sensor Detail'!N42)</f>
        <v/>
      </c>
      <c r="AO40" s="27" t="str">
        <f>IF('Sensor Detail'!O42=0,"",'Sensor Detail'!O42)</f>
        <v/>
      </c>
      <c r="AP40" s="15" t="str">
        <f t="shared" si="13"/>
        <v/>
      </c>
      <c r="AQ40" s="15" t="str">
        <f t="shared" si="14"/>
        <v/>
      </c>
    </row>
    <row r="41" spans="1:43">
      <c r="A41" s="13" t="str">
        <f t="shared" si="0"/>
        <v/>
      </c>
      <c r="B41" s="13" t="str">
        <f t="shared" si="1"/>
        <v/>
      </c>
      <c r="C41" s="15" t="str">
        <f t="shared" si="2"/>
        <v/>
      </c>
      <c r="D41" s="15" t="str">
        <f t="shared" si="3"/>
        <v/>
      </c>
      <c r="E41" s="15" t="str">
        <f t="shared" si="4"/>
        <v/>
      </c>
      <c r="F41" s="15" t="str">
        <f t="shared" si="5"/>
        <v/>
      </c>
      <c r="G41" s="15" t="str">
        <f t="shared" si="6"/>
        <v/>
      </c>
      <c r="H41" s="15" t="str">
        <f t="shared" si="7"/>
        <v/>
      </c>
      <c r="I41" s="15" t="str">
        <f t="shared" si="8"/>
        <v/>
      </c>
      <c r="J41" s="15" t="str">
        <f t="shared" si="9"/>
        <v/>
      </c>
      <c r="K41" s="13" t="str">
        <f>IF('Cylinder Detail'!U43=0,"",'Cylinder Detail'!U43)</f>
        <v/>
      </c>
      <c r="L41" s="13" t="str">
        <f>IF('Cylinder Detail'!Z43=0,"",_xlfn.TEXTBEFORE('Cylinder Detail'!Z43, ","))</f>
        <v/>
      </c>
      <c r="M41" s="13" t="str">
        <f t="shared" si="10"/>
        <v/>
      </c>
      <c r="N41" s="17" t="str">
        <f>IF('Cylinder Detail'!V43=0,"",'Cylinder Detail'!V43)</f>
        <v/>
      </c>
      <c r="O41" s="17" t="str">
        <f>IF('Cylinder Detail'!Z43=0,"",_xlfn.TEXTAFTER('Cylinder Detail'!Z43, ", "))</f>
        <v/>
      </c>
      <c r="P41" s="17" t="str">
        <f>IF('Cylinder Detail'!AA43=0,"",'Cylinder Detail'!AA43)</f>
        <v/>
      </c>
      <c r="Q41" s="19" t="str">
        <f>IF('Cylinder Detail'!W43=0,"",'Cylinder Detail'!W43)</f>
        <v/>
      </c>
      <c r="R41" s="19" t="str">
        <f>IF('Cylinder Detail'!Y43=0,"",'Cylinder Detail'!Y43)</f>
        <v/>
      </c>
      <c r="S41" s="21" t="str">
        <f>IF('Cylinder Detail'!X43=0,"",'Cylinder Detail'!X43)</f>
        <v/>
      </c>
      <c r="T41" s="21" t="str">
        <f>IF('Cylinder Detail'!F43=0,"",'Cylinder Detail'!F43)</f>
        <v/>
      </c>
      <c r="U41" s="21" t="str">
        <f>IF('Cylinder Detail'!R43=0,"",'Cylinder Detail'!R43)</f>
        <v/>
      </c>
      <c r="V41" s="21" t="str">
        <f>IF('Cylinder Detail'!Q43=0,"",'Cylinder Detail'!Q43)</f>
        <v/>
      </c>
      <c r="W41" s="21" t="str">
        <f>IF('Cylinder Detail'!E43=0,"","+" &amp; 'Cylinder Detail'!E43)</f>
        <v/>
      </c>
      <c r="X41" s="21" t="str">
        <f t="shared" si="11"/>
        <v/>
      </c>
      <c r="Y41" s="21" t="str">
        <f>IF('Cylinder Detail'!S43=0,"",'Cylinder Detail'!S43)</f>
        <v/>
      </c>
      <c r="Z41" s="21" t="str">
        <f>IF('Cylinder Detail'!T43=0,"",'Cylinder Detail'!T43)</f>
        <v/>
      </c>
      <c r="AA41" s="21" t="str">
        <f>IF('Cylinder Detail'!H43=0,"",'Cylinder Detail'!H43)</f>
        <v/>
      </c>
      <c r="AB41" s="21" t="str">
        <f>IF('Cylinder Detail'!I43=0,"",'Cylinder Detail'!I43)</f>
        <v/>
      </c>
      <c r="AC41" s="22" t="str">
        <f>IF('Cylinder Detail'!AB43=0,"",'Cylinder Detail'!AB43)</f>
        <v/>
      </c>
      <c r="AD41" s="25" t="str">
        <f>IF('Sensor Detail'!F43=0,"","=" &amp; 'Sensor Detail'!F43)</f>
        <v/>
      </c>
      <c r="AE41" s="25" t="str">
        <f>IF('Sensor Detail'!H43=0,"",'Sensor Detail'!H43)</f>
        <v/>
      </c>
      <c r="AF41" s="27" t="str">
        <f>IF('Sensor Detail'!G43=0,"","-" &amp; 'Sensor Detail'!G43)</f>
        <v/>
      </c>
      <c r="AG41" s="27" t="str">
        <f>IF('Sensor Detail'!I43=0,"",'Sensor Detail'!I43)</f>
        <v/>
      </c>
      <c r="AH41" s="27" t="str">
        <f>IF('Sensor Detail'!E43=0,"","+" &amp; 'Sensor Detail'!E43)</f>
        <v/>
      </c>
      <c r="AI41" s="27" t="str">
        <f t="shared" si="12"/>
        <v/>
      </c>
      <c r="AJ41" s="27" t="str">
        <f>IF('Sensor Detail'!J43=0,"",'Sensor Detail'!J43)</f>
        <v/>
      </c>
      <c r="AK41" s="27" t="str">
        <f>IF('Sensor Detail'!K43=0,"",'Sensor Detail'!K43)</f>
        <v/>
      </c>
      <c r="AL41" s="27" t="str">
        <f>IF('Sensor Detail'!L43=0,"",'Sensor Detail'!L43)</f>
        <v/>
      </c>
      <c r="AM41" s="27" t="str">
        <f>IF('Sensor Detail'!M43=0,"",'Sensor Detail'!M43)</f>
        <v/>
      </c>
      <c r="AN41" s="27" t="str">
        <f>IF('Sensor Detail'!N43=0,"",'Sensor Detail'!N43)</f>
        <v/>
      </c>
      <c r="AO41" s="27" t="str">
        <f>IF('Sensor Detail'!O43=0,"",'Sensor Detail'!O43)</f>
        <v/>
      </c>
      <c r="AP41" s="15" t="str">
        <f t="shared" si="13"/>
        <v/>
      </c>
      <c r="AQ41" s="15" t="str">
        <f t="shared" si="14"/>
        <v/>
      </c>
    </row>
    <row r="42" spans="1:43" s="1" customFormat="1">
      <c r="A42" s="13" t="str">
        <f t="shared" si="0"/>
        <v/>
      </c>
      <c r="B42" s="13" t="str">
        <f t="shared" si="1"/>
        <v/>
      </c>
      <c r="C42" s="15" t="str">
        <f t="shared" si="2"/>
        <v/>
      </c>
      <c r="D42" s="15" t="str">
        <f t="shared" si="3"/>
        <v/>
      </c>
      <c r="E42" s="15" t="str">
        <f t="shared" si="4"/>
        <v/>
      </c>
      <c r="F42" s="15" t="str">
        <f t="shared" si="5"/>
        <v/>
      </c>
      <c r="G42" s="15" t="str">
        <f t="shared" si="6"/>
        <v/>
      </c>
      <c r="H42" s="15" t="str">
        <f t="shared" si="7"/>
        <v/>
      </c>
      <c r="I42" s="15" t="str">
        <f t="shared" si="8"/>
        <v/>
      </c>
      <c r="J42" s="15" t="str">
        <f t="shared" si="9"/>
        <v/>
      </c>
      <c r="K42" s="13" t="str">
        <f>IF('Cylinder Detail'!U44=0,"",'Cylinder Detail'!U44)</f>
        <v/>
      </c>
      <c r="L42" s="13" t="str">
        <f>IF('Cylinder Detail'!Z44=0,"",_xlfn.TEXTBEFORE('Cylinder Detail'!Z44, ","))</f>
        <v/>
      </c>
      <c r="M42" s="13" t="str">
        <f t="shared" si="10"/>
        <v/>
      </c>
      <c r="N42" s="17" t="str">
        <f>IF('Cylinder Detail'!V44=0,"",'Cylinder Detail'!V44)</f>
        <v/>
      </c>
      <c r="O42" s="17" t="str">
        <f>IF('Cylinder Detail'!Z44=0,"",_xlfn.TEXTAFTER('Cylinder Detail'!Z44, ", "))</f>
        <v/>
      </c>
      <c r="P42" s="17" t="str">
        <f>IF('Cylinder Detail'!AA44=0,"",'Cylinder Detail'!AA44)</f>
        <v/>
      </c>
      <c r="Q42" s="19" t="str">
        <f>IF('Cylinder Detail'!W44=0,"",'Cylinder Detail'!W44)</f>
        <v/>
      </c>
      <c r="R42" s="19" t="str">
        <f>IF('Cylinder Detail'!Y44=0,"",'Cylinder Detail'!Y44)</f>
        <v/>
      </c>
      <c r="S42" s="21" t="str">
        <f>IF('Cylinder Detail'!X44=0,"",'Cylinder Detail'!X44)</f>
        <v/>
      </c>
      <c r="T42" s="21" t="str">
        <f>IF('Cylinder Detail'!F44=0,"",'Cylinder Detail'!F44)</f>
        <v/>
      </c>
      <c r="U42" s="21" t="str">
        <f>IF('Cylinder Detail'!R44=0,"",'Cylinder Detail'!R44)</f>
        <v/>
      </c>
      <c r="V42" s="21" t="str">
        <f>IF('Cylinder Detail'!Q44=0,"",'Cylinder Detail'!Q44)</f>
        <v/>
      </c>
      <c r="W42" s="21" t="str">
        <f>IF('Cylinder Detail'!E44=0,"","+" &amp; 'Cylinder Detail'!E44)</f>
        <v/>
      </c>
      <c r="X42" s="21" t="str">
        <f t="shared" si="11"/>
        <v/>
      </c>
      <c r="Y42" s="21" t="str">
        <f>IF('Cylinder Detail'!S44=0,"",'Cylinder Detail'!S44)</f>
        <v/>
      </c>
      <c r="Z42" s="21" t="str">
        <f>IF('Cylinder Detail'!T44=0,"",'Cylinder Detail'!T44)</f>
        <v/>
      </c>
      <c r="AA42" s="21" t="str">
        <f>IF('Cylinder Detail'!H44=0,"",'Cylinder Detail'!H44)</f>
        <v/>
      </c>
      <c r="AB42" s="21" t="str">
        <f>IF('Cylinder Detail'!I44=0,"",'Cylinder Detail'!I44)</f>
        <v/>
      </c>
      <c r="AC42" s="22" t="str">
        <f>IF('Cylinder Detail'!AB44=0,"",'Cylinder Detail'!AB44)</f>
        <v/>
      </c>
      <c r="AD42" s="25" t="str">
        <f>IF('Sensor Detail'!F44=0,"","=" &amp; 'Sensor Detail'!F44)</f>
        <v/>
      </c>
      <c r="AE42" s="25" t="str">
        <f>IF('Sensor Detail'!H44=0,"",'Sensor Detail'!H44)</f>
        <v/>
      </c>
      <c r="AF42" s="27" t="str">
        <f>IF('Sensor Detail'!G44=0,"","-" &amp; 'Sensor Detail'!G44)</f>
        <v/>
      </c>
      <c r="AG42" s="27" t="str">
        <f>IF('Sensor Detail'!I44=0,"",'Sensor Detail'!I44)</f>
        <v/>
      </c>
      <c r="AH42" s="27" t="str">
        <f>IF('Sensor Detail'!E44=0,"","+" &amp; 'Sensor Detail'!E44)</f>
        <v/>
      </c>
      <c r="AI42" s="27" t="str">
        <f t="shared" si="12"/>
        <v/>
      </c>
      <c r="AJ42" s="27" t="str">
        <f>IF('Sensor Detail'!J44=0,"",'Sensor Detail'!J44)</f>
        <v/>
      </c>
      <c r="AK42" s="27" t="str">
        <f>IF('Sensor Detail'!K44=0,"",'Sensor Detail'!K44)</f>
        <v/>
      </c>
      <c r="AL42" s="27" t="str">
        <f>IF('Sensor Detail'!L44=0,"",'Sensor Detail'!L44)</f>
        <v/>
      </c>
      <c r="AM42" s="27" t="str">
        <f>IF('Sensor Detail'!M44=0,"",'Sensor Detail'!M44)</f>
        <v/>
      </c>
      <c r="AN42" s="27" t="str">
        <f>IF('Sensor Detail'!N44=0,"",'Sensor Detail'!N44)</f>
        <v/>
      </c>
      <c r="AO42" s="27" t="str">
        <f>IF('Sensor Detail'!O44=0,"",'Sensor Detail'!O44)</f>
        <v/>
      </c>
      <c r="AP42" s="15" t="str">
        <f t="shared" si="13"/>
        <v/>
      </c>
      <c r="AQ42" s="15" t="str">
        <f t="shared" si="14"/>
        <v/>
      </c>
    </row>
    <row r="43" spans="1:43">
      <c r="A43" s="13" t="str">
        <f t="shared" si="0"/>
        <v/>
      </c>
      <c r="B43" s="13" t="str">
        <f t="shared" si="1"/>
        <v/>
      </c>
      <c r="C43" s="15" t="str">
        <f t="shared" si="2"/>
        <v/>
      </c>
      <c r="D43" s="15" t="str">
        <f t="shared" si="3"/>
        <v/>
      </c>
      <c r="E43" s="15" t="str">
        <f t="shared" si="4"/>
        <v/>
      </c>
      <c r="F43" s="15" t="str">
        <f t="shared" si="5"/>
        <v/>
      </c>
      <c r="G43" s="15" t="str">
        <f t="shared" si="6"/>
        <v/>
      </c>
      <c r="H43" s="15" t="str">
        <f t="shared" si="7"/>
        <v/>
      </c>
      <c r="I43" s="15" t="str">
        <f t="shared" si="8"/>
        <v/>
      </c>
      <c r="J43" s="15" t="str">
        <f t="shared" si="9"/>
        <v/>
      </c>
      <c r="K43" s="13" t="str">
        <f>IF('Cylinder Detail'!U45=0,"",'Cylinder Detail'!U45)</f>
        <v/>
      </c>
      <c r="L43" s="13" t="str">
        <f>IF('Cylinder Detail'!Z45=0,"",_xlfn.TEXTBEFORE('Cylinder Detail'!Z45, ","))</f>
        <v/>
      </c>
      <c r="M43" s="13" t="str">
        <f t="shared" si="10"/>
        <v/>
      </c>
      <c r="N43" s="17" t="str">
        <f>IF('Cylinder Detail'!V45=0,"",'Cylinder Detail'!V45)</f>
        <v/>
      </c>
      <c r="O43" s="17" t="str">
        <f>IF('Cylinder Detail'!Z45=0,"",_xlfn.TEXTAFTER('Cylinder Detail'!Z45, ", "))</f>
        <v/>
      </c>
      <c r="P43" s="17" t="str">
        <f>IF('Cylinder Detail'!AA45=0,"",'Cylinder Detail'!AA45)</f>
        <v/>
      </c>
      <c r="Q43" s="19" t="str">
        <f>IF('Cylinder Detail'!W45=0,"",'Cylinder Detail'!W45)</f>
        <v/>
      </c>
      <c r="R43" s="19" t="str">
        <f>IF('Cylinder Detail'!Y45=0,"",'Cylinder Detail'!Y45)</f>
        <v/>
      </c>
      <c r="S43" s="21" t="str">
        <f>IF('Cylinder Detail'!X45=0,"",'Cylinder Detail'!X45)</f>
        <v/>
      </c>
      <c r="T43" s="21" t="str">
        <f>IF('Cylinder Detail'!F45=0,"",'Cylinder Detail'!F45)</f>
        <v/>
      </c>
      <c r="U43" s="21" t="str">
        <f>IF('Cylinder Detail'!R45=0,"",'Cylinder Detail'!R45)</f>
        <v/>
      </c>
      <c r="V43" s="21" t="str">
        <f>IF('Cylinder Detail'!Q45=0,"",'Cylinder Detail'!Q45)</f>
        <v/>
      </c>
      <c r="W43" s="21" t="str">
        <f>IF('Cylinder Detail'!E45=0,"","+" &amp; 'Cylinder Detail'!E45)</f>
        <v/>
      </c>
      <c r="X43" s="21" t="str">
        <f t="shared" si="11"/>
        <v/>
      </c>
      <c r="Y43" s="21" t="str">
        <f>IF('Cylinder Detail'!S45=0,"",'Cylinder Detail'!S45)</f>
        <v/>
      </c>
      <c r="Z43" s="21" t="str">
        <f>IF('Cylinder Detail'!T45=0,"",'Cylinder Detail'!T45)</f>
        <v/>
      </c>
      <c r="AA43" s="21" t="str">
        <f>IF('Cylinder Detail'!H45=0,"",'Cylinder Detail'!H45)</f>
        <v/>
      </c>
      <c r="AB43" s="21" t="str">
        <f>IF('Cylinder Detail'!I45=0,"",'Cylinder Detail'!I45)</f>
        <v/>
      </c>
      <c r="AC43" s="22" t="str">
        <f>IF('Cylinder Detail'!AB45=0,"",'Cylinder Detail'!AB45)</f>
        <v/>
      </c>
      <c r="AD43" s="25" t="str">
        <f>IF('Sensor Detail'!F45=0,"","=" &amp; 'Sensor Detail'!F45)</f>
        <v/>
      </c>
      <c r="AE43" s="25" t="str">
        <f>IF('Sensor Detail'!H45=0,"",'Sensor Detail'!H45)</f>
        <v/>
      </c>
      <c r="AF43" s="27" t="str">
        <f>IF('Sensor Detail'!G45=0,"","-" &amp; 'Sensor Detail'!G45)</f>
        <v/>
      </c>
      <c r="AG43" s="27" t="str">
        <f>IF('Sensor Detail'!I45=0,"",'Sensor Detail'!I45)</f>
        <v/>
      </c>
      <c r="AH43" s="27" t="str">
        <f>IF('Sensor Detail'!E45=0,"","+" &amp; 'Sensor Detail'!E45)</f>
        <v/>
      </c>
      <c r="AI43" s="27" t="str">
        <f t="shared" si="12"/>
        <v/>
      </c>
      <c r="AJ43" s="27" t="str">
        <f>IF('Sensor Detail'!J45=0,"",'Sensor Detail'!J45)</f>
        <v/>
      </c>
      <c r="AK43" s="27" t="str">
        <f>IF('Sensor Detail'!K45=0,"",'Sensor Detail'!K45)</f>
        <v/>
      </c>
      <c r="AL43" s="27" t="str">
        <f>IF('Sensor Detail'!L45=0,"",'Sensor Detail'!L45)</f>
        <v/>
      </c>
      <c r="AM43" s="27" t="str">
        <f>IF('Sensor Detail'!M45=0,"",'Sensor Detail'!M45)</f>
        <v/>
      </c>
      <c r="AN43" s="27" t="str">
        <f>IF('Sensor Detail'!N45=0,"",'Sensor Detail'!N45)</f>
        <v/>
      </c>
      <c r="AO43" s="27" t="str">
        <f>IF('Sensor Detail'!O45=0,"",'Sensor Detail'!O45)</f>
        <v/>
      </c>
      <c r="AP43" s="15" t="str">
        <f t="shared" si="13"/>
        <v/>
      </c>
      <c r="AQ43" s="15" t="str">
        <f t="shared" si="14"/>
        <v/>
      </c>
    </row>
    <row r="44" spans="1:43">
      <c r="A44" s="13" t="str">
        <f t="shared" si="0"/>
        <v/>
      </c>
      <c r="B44" s="13" t="str">
        <f t="shared" si="1"/>
        <v/>
      </c>
      <c r="C44" s="15" t="str">
        <f t="shared" si="2"/>
        <v/>
      </c>
      <c r="D44" s="15" t="str">
        <f t="shared" si="3"/>
        <v/>
      </c>
      <c r="E44" s="15" t="str">
        <f t="shared" si="4"/>
        <v/>
      </c>
      <c r="F44" s="15" t="str">
        <f t="shared" si="5"/>
        <v/>
      </c>
      <c r="G44" s="15" t="str">
        <f t="shared" si="6"/>
        <v/>
      </c>
      <c r="H44" s="15" t="str">
        <f t="shared" si="7"/>
        <v/>
      </c>
      <c r="I44" s="15" t="str">
        <f t="shared" si="8"/>
        <v/>
      </c>
      <c r="J44" s="15" t="str">
        <f t="shared" si="9"/>
        <v/>
      </c>
      <c r="K44" s="13" t="str">
        <f>IF('Cylinder Detail'!U46=0,"",'Cylinder Detail'!U46)</f>
        <v/>
      </c>
      <c r="L44" s="13" t="str">
        <f>IF('Cylinder Detail'!Z46=0,"",_xlfn.TEXTBEFORE('Cylinder Detail'!Z46, ","))</f>
        <v/>
      </c>
      <c r="M44" s="13" t="str">
        <f t="shared" si="10"/>
        <v/>
      </c>
      <c r="N44" s="17" t="str">
        <f>IF('Cylinder Detail'!V46=0,"",'Cylinder Detail'!V46)</f>
        <v/>
      </c>
      <c r="O44" s="17" t="str">
        <f>IF('Cylinder Detail'!Z46=0,"",_xlfn.TEXTAFTER('Cylinder Detail'!Z46, ", "))</f>
        <v/>
      </c>
      <c r="P44" s="17" t="str">
        <f>IF('Cylinder Detail'!AA46=0,"",'Cylinder Detail'!AA46)</f>
        <v/>
      </c>
      <c r="Q44" s="19" t="str">
        <f>IF('Cylinder Detail'!W46=0,"",'Cylinder Detail'!W46)</f>
        <v/>
      </c>
      <c r="R44" s="19" t="str">
        <f>IF('Cylinder Detail'!Y46=0,"",'Cylinder Detail'!Y46)</f>
        <v/>
      </c>
      <c r="S44" s="21" t="str">
        <f>IF('Cylinder Detail'!X46=0,"",'Cylinder Detail'!X46)</f>
        <v/>
      </c>
      <c r="T44" s="21" t="str">
        <f>IF('Cylinder Detail'!F46=0,"",'Cylinder Detail'!F46)</f>
        <v/>
      </c>
      <c r="U44" s="21" t="str">
        <f>IF('Cylinder Detail'!R46=0,"",'Cylinder Detail'!R46)</f>
        <v/>
      </c>
      <c r="V44" s="21" t="str">
        <f>IF('Cylinder Detail'!Q46=0,"",'Cylinder Detail'!Q46)</f>
        <v/>
      </c>
      <c r="W44" s="21" t="str">
        <f>IF('Cylinder Detail'!E46=0,"","+" &amp; 'Cylinder Detail'!E46)</f>
        <v/>
      </c>
      <c r="X44" s="21" t="str">
        <f t="shared" si="11"/>
        <v/>
      </c>
      <c r="Y44" s="21" t="str">
        <f>IF('Cylinder Detail'!S46=0,"",'Cylinder Detail'!S46)</f>
        <v/>
      </c>
      <c r="Z44" s="21" t="str">
        <f>IF('Cylinder Detail'!T46=0,"",'Cylinder Detail'!T46)</f>
        <v/>
      </c>
      <c r="AA44" s="21" t="str">
        <f>IF('Cylinder Detail'!H46=0,"",'Cylinder Detail'!H46)</f>
        <v/>
      </c>
      <c r="AB44" s="21" t="str">
        <f>IF('Cylinder Detail'!I46=0,"",'Cylinder Detail'!I46)</f>
        <v/>
      </c>
      <c r="AC44" s="22" t="str">
        <f>IF('Cylinder Detail'!AB46=0,"",'Cylinder Detail'!AB46)</f>
        <v/>
      </c>
      <c r="AD44" s="25" t="str">
        <f>IF('Sensor Detail'!F46=0,"","=" &amp; 'Sensor Detail'!F46)</f>
        <v/>
      </c>
      <c r="AE44" s="25" t="str">
        <f>IF('Sensor Detail'!H46=0,"",'Sensor Detail'!H46)</f>
        <v/>
      </c>
      <c r="AF44" s="27" t="str">
        <f>IF('Sensor Detail'!G46=0,"","-" &amp; 'Sensor Detail'!G46)</f>
        <v/>
      </c>
      <c r="AG44" s="27" t="str">
        <f>IF('Sensor Detail'!I46=0,"",'Sensor Detail'!I46)</f>
        <v/>
      </c>
      <c r="AH44" s="27" t="str">
        <f>IF('Sensor Detail'!E46=0,"","+" &amp; 'Sensor Detail'!E46)</f>
        <v/>
      </c>
      <c r="AI44" s="27" t="str">
        <f t="shared" si="12"/>
        <v/>
      </c>
      <c r="AJ44" s="27" t="str">
        <f>IF('Sensor Detail'!J46=0,"",'Sensor Detail'!J46)</f>
        <v/>
      </c>
      <c r="AK44" s="27" t="str">
        <f>IF('Sensor Detail'!K46=0,"",'Sensor Detail'!K46)</f>
        <v/>
      </c>
      <c r="AL44" s="27" t="str">
        <f>IF('Sensor Detail'!L46=0,"",'Sensor Detail'!L46)</f>
        <v/>
      </c>
      <c r="AM44" s="27" t="str">
        <f>IF('Sensor Detail'!M46=0,"",'Sensor Detail'!M46)</f>
        <v/>
      </c>
      <c r="AN44" s="27" t="str">
        <f>IF('Sensor Detail'!N46=0,"",'Sensor Detail'!N46)</f>
        <v/>
      </c>
      <c r="AO44" s="27" t="str">
        <f>IF('Sensor Detail'!O46=0,"",'Sensor Detail'!O46)</f>
        <v/>
      </c>
      <c r="AP44" s="15" t="str">
        <f t="shared" si="13"/>
        <v/>
      </c>
      <c r="AQ44" s="15" t="str">
        <f t="shared" si="14"/>
        <v/>
      </c>
    </row>
    <row r="45" spans="1:43">
      <c r="A45" s="13" t="str">
        <f t="shared" si="0"/>
        <v/>
      </c>
      <c r="B45" s="13" t="str">
        <f t="shared" si="1"/>
        <v/>
      </c>
      <c r="C45" s="15" t="str">
        <f t="shared" si="2"/>
        <v/>
      </c>
      <c r="D45" s="15" t="str">
        <f t="shared" si="3"/>
        <v/>
      </c>
      <c r="E45" s="15" t="str">
        <f t="shared" si="4"/>
        <v/>
      </c>
      <c r="F45" s="15" t="str">
        <f t="shared" si="5"/>
        <v/>
      </c>
      <c r="G45" s="15" t="str">
        <f t="shared" si="6"/>
        <v/>
      </c>
      <c r="H45" s="15" t="str">
        <f t="shared" si="7"/>
        <v/>
      </c>
      <c r="I45" s="15" t="str">
        <f t="shared" si="8"/>
        <v/>
      </c>
      <c r="J45" s="15" t="str">
        <f t="shared" si="9"/>
        <v/>
      </c>
      <c r="K45" s="13" t="str">
        <f>IF('Cylinder Detail'!U47=0,"",'Cylinder Detail'!U47)</f>
        <v/>
      </c>
      <c r="L45" s="13" t="str">
        <f>IF('Cylinder Detail'!Z47=0,"",_xlfn.TEXTBEFORE('Cylinder Detail'!Z47, ","))</f>
        <v/>
      </c>
      <c r="M45" s="13" t="str">
        <f t="shared" si="10"/>
        <v/>
      </c>
      <c r="N45" s="17" t="str">
        <f>IF('Cylinder Detail'!V47=0,"",'Cylinder Detail'!V47)</f>
        <v/>
      </c>
      <c r="O45" s="17" t="str">
        <f>IF('Cylinder Detail'!Z47=0,"",_xlfn.TEXTAFTER('Cylinder Detail'!Z47, ", "))</f>
        <v/>
      </c>
      <c r="P45" s="17" t="str">
        <f>IF('Cylinder Detail'!AA47=0,"",'Cylinder Detail'!AA47)</f>
        <v/>
      </c>
      <c r="Q45" s="19" t="str">
        <f>IF('Cylinder Detail'!W47=0,"",'Cylinder Detail'!W47)</f>
        <v/>
      </c>
      <c r="R45" s="19" t="str">
        <f>IF('Cylinder Detail'!Y47=0,"",'Cylinder Detail'!Y47)</f>
        <v/>
      </c>
      <c r="S45" s="21" t="str">
        <f>IF('Cylinder Detail'!X47=0,"",'Cylinder Detail'!X47)</f>
        <v/>
      </c>
      <c r="T45" s="21" t="str">
        <f>IF('Cylinder Detail'!F47=0,"",'Cylinder Detail'!F47)</f>
        <v/>
      </c>
      <c r="U45" s="21" t="str">
        <f>IF('Cylinder Detail'!R47=0,"",'Cylinder Detail'!R47)</f>
        <v/>
      </c>
      <c r="V45" s="21" t="str">
        <f>IF('Cylinder Detail'!Q47=0,"",'Cylinder Detail'!Q47)</f>
        <v/>
      </c>
      <c r="W45" s="21" t="str">
        <f>IF('Cylinder Detail'!E47=0,"","+" &amp; 'Cylinder Detail'!E47)</f>
        <v/>
      </c>
      <c r="X45" s="21" t="str">
        <f t="shared" si="11"/>
        <v/>
      </c>
      <c r="Y45" s="21" t="str">
        <f>IF('Cylinder Detail'!S47=0,"",'Cylinder Detail'!S47)</f>
        <v/>
      </c>
      <c r="Z45" s="21" t="str">
        <f>IF('Cylinder Detail'!T47=0,"",'Cylinder Detail'!T47)</f>
        <v/>
      </c>
      <c r="AA45" s="21" t="str">
        <f>IF('Cylinder Detail'!H47=0,"",'Cylinder Detail'!H47)</f>
        <v/>
      </c>
      <c r="AB45" s="21" t="str">
        <f>IF('Cylinder Detail'!I47=0,"",'Cylinder Detail'!I47)</f>
        <v/>
      </c>
      <c r="AC45" s="22" t="str">
        <f>IF('Cylinder Detail'!AB47=0,"",'Cylinder Detail'!AB47)</f>
        <v/>
      </c>
      <c r="AD45" s="25" t="str">
        <f>IF('Sensor Detail'!F47=0,"","=" &amp; 'Sensor Detail'!F47)</f>
        <v/>
      </c>
      <c r="AE45" s="25" t="str">
        <f>IF('Sensor Detail'!H47=0,"",'Sensor Detail'!H47)</f>
        <v/>
      </c>
      <c r="AF45" s="27" t="str">
        <f>IF('Sensor Detail'!G47=0,"","-" &amp; 'Sensor Detail'!G47)</f>
        <v/>
      </c>
      <c r="AG45" s="27" t="str">
        <f>IF('Sensor Detail'!I47=0,"",'Sensor Detail'!I47)</f>
        <v/>
      </c>
      <c r="AH45" s="27" t="str">
        <f>IF('Sensor Detail'!E47=0,"","+" &amp; 'Sensor Detail'!E47)</f>
        <v/>
      </c>
      <c r="AI45" s="27" t="str">
        <f t="shared" si="12"/>
        <v/>
      </c>
      <c r="AJ45" s="27" t="str">
        <f>IF('Sensor Detail'!J47=0,"",'Sensor Detail'!J47)</f>
        <v/>
      </c>
      <c r="AK45" s="27" t="str">
        <f>IF('Sensor Detail'!K47=0,"",'Sensor Detail'!K47)</f>
        <v/>
      </c>
      <c r="AL45" s="27" t="str">
        <f>IF('Sensor Detail'!L47=0,"",'Sensor Detail'!L47)</f>
        <v/>
      </c>
      <c r="AM45" s="27" t="str">
        <f>IF('Sensor Detail'!M47=0,"",'Sensor Detail'!M47)</f>
        <v/>
      </c>
      <c r="AN45" s="27" t="str">
        <f>IF('Sensor Detail'!N47=0,"",'Sensor Detail'!N47)</f>
        <v/>
      </c>
      <c r="AO45" s="27" t="str">
        <f>IF('Sensor Detail'!O47=0,"",'Sensor Detail'!O47)</f>
        <v/>
      </c>
      <c r="AP45" s="15" t="str">
        <f t="shared" si="13"/>
        <v/>
      </c>
      <c r="AQ45" s="15" t="str">
        <f t="shared" si="14"/>
        <v/>
      </c>
    </row>
    <row r="46" spans="1:43">
      <c r="A46" s="13" t="str">
        <f t="shared" si="0"/>
        <v/>
      </c>
      <c r="B46" s="13" t="str">
        <f t="shared" si="1"/>
        <v/>
      </c>
      <c r="C46" s="15" t="str">
        <f t="shared" si="2"/>
        <v/>
      </c>
      <c r="D46" s="15" t="str">
        <f t="shared" si="3"/>
        <v/>
      </c>
      <c r="E46" s="15" t="str">
        <f t="shared" si="4"/>
        <v/>
      </c>
      <c r="F46" s="15" t="str">
        <f t="shared" si="5"/>
        <v/>
      </c>
      <c r="G46" s="15" t="str">
        <f t="shared" si="6"/>
        <v/>
      </c>
      <c r="H46" s="15" t="str">
        <f t="shared" si="7"/>
        <v/>
      </c>
      <c r="I46" s="15" t="str">
        <f t="shared" si="8"/>
        <v/>
      </c>
      <c r="J46" s="15" t="str">
        <f t="shared" si="9"/>
        <v/>
      </c>
      <c r="K46" s="13" t="str">
        <f>IF('Cylinder Detail'!U48=0,"",'Cylinder Detail'!U48)</f>
        <v/>
      </c>
      <c r="L46" s="13" t="str">
        <f>IF('Cylinder Detail'!Z48=0,"",_xlfn.TEXTBEFORE('Cylinder Detail'!Z48, ","))</f>
        <v/>
      </c>
      <c r="M46" s="13" t="str">
        <f t="shared" si="10"/>
        <v/>
      </c>
      <c r="N46" s="17" t="str">
        <f>IF('Cylinder Detail'!V48=0,"",'Cylinder Detail'!V48)</f>
        <v/>
      </c>
      <c r="O46" s="17" t="str">
        <f>IF('Cylinder Detail'!Z48=0,"",_xlfn.TEXTAFTER('Cylinder Detail'!Z48, ", "))</f>
        <v/>
      </c>
      <c r="P46" s="17" t="str">
        <f>IF('Cylinder Detail'!AA48=0,"",'Cylinder Detail'!AA48)</f>
        <v/>
      </c>
      <c r="Q46" s="19" t="str">
        <f>IF('Cylinder Detail'!W48=0,"",'Cylinder Detail'!W48)</f>
        <v/>
      </c>
      <c r="R46" s="19" t="str">
        <f>IF('Cylinder Detail'!Y48=0,"",'Cylinder Detail'!Y48)</f>
        <v/>
      </c>
      <c r="S46" s="21" t="str">
        <f>IF('Cylinder Detail'!X48=0,"",'Cylinder Detail'!X48)</f>
        <v/>
      </c>
      <c r="T46" s="21" t="str">
        <f>IF('Cylinder Detail'!F48=0,"",'Cylinder Detail'!F48)</f>
        <v/>
      </c>
      <c r="U46" s="21" t="str">
        <f>IF('Cylinder Detail'!R48=0,"",'Cylinder Detail'!R48)</f>
        <v/>
      </c>
      <c r="V46" s="21" t="str">
        <f>IF('Cylinder Detail'!Q48=0,"",'Cylinder Detail'!Q48)</f>
        <v/>
      </c>
      <c r="W46" s="21" t="str">
        <f>IF('Cylinder Detail'!E48=0,"","+" &amp; 'Cylinder Detail'!E48)</f>
        <v/>
      </c>
      <c r="X46" s="21" t="str">
        <f t="shared" si="11"/>
        <v/>
      </c>
      <c r="Y46" s="21" t="str">
        <f>IF('Cylinder Detail'!S48=0,"",'Cylinder Detail'!S48)</f>
        <v/>
      </c>
      <c r="Z46" s="21" t="str">
        <f>IF('Cylinder Detail'!T48=0,"",'Cylinder Detail'!T48)</f>
        <v/>
      </c>
      <c r="AA46" s="21" t="str">
        <f>IF('Cylinder Detail'!H48=0,"",'Cylinder Detail'!H48)</f>
        <v/>
      </c>
      <c r="AB46" s="21" t="str">
        <f>IF('Cylinder Detail'!I48=0,"",'Cylinder Detail'!I48)</f>
        <v/>
      </c>
      <c r="AC46" s="22" t="str">
        <f>IF('Cylinder Detail'!AB48=0,"",'Cylinder Detail'!AB48)</f>
        <v/>
      </c>
      <c r="AD46" s="25" t="str">
        <f>IF('Sensor Detail'!F48=0,"","=" &amp; 'Sensor Detail'!F48)</f>
        <v/>
      </c>
      <c r="AE46" s="25" t="str">
        <f>IF('Sensor Detail'!H48=0,"",'Sensor Detail'!H48)</f>
        <v/>
      </c>
      <c r="AF46" s="27" t="str">
        <f>IF('Sensor Detail'!G48=0,"","-" &amp; 'Sensor Detail'!G48)</f>
        <v/>
      </c>
      <c r="AG46" s="27" t="str">
        <f>IF('Sensor Detail'!I48=0,"",'Sensor Detail'!I48)</f>
        <v/>
      </c>
      <c r="AH46" s="27" t="str">
        <f>IF('Sensor Detail'!E48=0,"","+" &amp; 'Sensor Detail'!E48)</f>
        <v/>
      </c>
      <c r="AI46" s="27" t="str">
        <f t="shared" si="12"/>
        <v/>
      </c>
      <c r="AJ46" s="27" t="str">
        <f>IF('Sensor Detail'!J48=0,"",'Sensor Detail'!J48)</f>
        <v/>
      </c>
      <c r="AK46" s="27" t="str">
        <f>IF('Sensor Detail'!K48=0,"",'Sensor Detail'!K48)</f>
        <v/>
      </c>
      <c r="AL46" s="27" t="str">
        <f>IF('Sensor Detail'!L48=0,"",'Sensor Detail'!L48)</f>
        <v/>
      </c>
      <c r="AM46" s="27" t="str">
        <f>IF('Sensor Detail'!M48=0,"",'Sensor Detail'!M48)</f>
        <v/>
      </c>
      <c r="AN46" s="27" t="str">
        <f>IF('Sensor Detail'!N48=0,"",'Sensor Detail'!N48)</f>
        <v/>
      </c>
      <c r="AO46" s="27" t="str">
        <f>IF('Sensor Detail'!O48=0,"",'Sensor Detail'!O48)</f>
        <v/>
      </c>
      <c r="AP46" s="15" t="str">
        <f t="shared" si="13"/>
        <v/>
      </c>
      <c r="AQ46" s="15" t="str">
        <f t="shared" si="14"/>
        <v/>
      </c>
    </row>
    <row r="47" spans="1:43">
      <c r="A47" s="13" t="str">
        <f t="shared" si="0"/>
        <v/>
      </c>
      <c r="B47" s="13" t="str">
        <f t="shared" si="1"/>
        <v/>
      </c>
      <c r="C47" s="15" t="str">
        <f t="shared" si="2"/>
        <v/>
      </c>
      <c r="D47" s="15" t="str">
        <f t="shared" si="3"/>
        <v/>
      </c>
      <c r="E47" s="15" t="str">
        <f t="shared" si="4"/>
        <v/>
      </c>
      <c r="F47" s="15" t="str">
        <f t="shared" si="5"/>
        <v/>
      </c>
      <c r="G47" s="15" t="str">
        <f t="shared" si="6"/>
        <v/>
      </c>
      <c r="H47" s="15" t="str">
        <f t="shared" si="7"/>
        <v/>
      </c>
      <c r="I47" s="15" t="str">
        <f t="shared" si="8"/>
        <v/>
      </c>
      <c r="J47" s="15" t="str">
        <f t="shared" si="9"/>
        <v/>
      </c>
      <c r="K47" s="13" t="str">
        <f>IF('Cylinder Detail'!U49=0,"",'Cylinder Detail'!U49)</f>
        <v/>
      </c>
      <c r="L47" s="13" t="str">
        <f>IF('Cylinder Detail'!Z49=0,"",_xlfn.TEXTBEFORE('Cylinder Detail'!Z49, ","))</f>
        <v/>
      </c>
      <c r="M47" s="13" t="str">
        <f t="shared" si="10"/>
        <v/>
      </c>
      <c r="N47" s="17" t="str">
        <f>IF('Cylinder Detail'!V49=0,"",'Cylinder Detail'!V49)</f>
        <v/>
      </c>
      <c r="O47" s="17" t="str">
        <f>IF('Cylinder Detail'!Z49=0,"",_xlfn.TEXTAFTER('Cylinder Detail'!Z49, ", "))</f>
        <v/>
      </c>
      <c r="P47" s="17" t="str">
        <f>IF('Cylinder Detail'!AA49=0,"",'Cylinder Detail'!AA49)</f>
        <v/>
      </c>
      <c r="Q47" s="19" t="str">
        <f>IF('Cylinder Detail'!W49=0,"",'Cylinder Detail'!W49)</f>
        <v/>
      </c>
      <c r="R47" s="19" t="str">
        <f>IF('Cylinder Detail'!Y49=0,"",'Cylinder Detail'!Y49)</f>
        <v/>
      </c>
      <c r="S47" s="21" t="str">
        <f>IF('Cylinder Detail'!X49=0,"",'Cylinder Detail'!X49)</f>
        <v/>
      </c>
      <c r="T47" s="21" t="str">
        <f>IF('Cylinder Detail'!F49=0,"",'Cylinder Detail'!F49)</f>
        <v/>
      </c>
      <c r="U47" s="21" t="str">
        <f>IF('Cylinder Detail'!R49=0,"",'Cylinder Detail'!R49)</f>
        <v/>
      </c>
      <c r="V47" s="21" t="str">
        <f>IF('Cylinder Detail'!Q49=0,"",'Cylinder Detail'!Q49)</f>
        <v/>
      </c>
      <c r="W47" s="21" t="str">
        <f>IF('Cylinder Detail'!E49=0,"","+" &amp; 'Cylinder Detail'!E49)</f>
        <v/>
      </c>
      <c r="X47" s="21" t="str">
        <f t="shared" si="11"/>
        <v/>
      </c>
      <c r="Y47" s="21" t="str">
        <f>IF('Cylinder Detail'!S49=0,"",'Cylinder Detail'!S49)</f>
        <v/>
      </c>
      <c r="Z47" s="21" t="str">
        <f>IF('Cylinder Detail'!T49=0,"",'Cylinder Detail'!T49)</f>
        <v/>
      </c>
      <c r="AA47" s="21" t="str">
        <f>IF('Cylinder Detail'!H49=0,"",'Cylinder Detail'!H49)</f>
        <v/>
      </c>
      <c r="AB47" s="21" t="str">
        <f>IF('Cylinder Detail'!I49=0,"",'Cylinder Detail'!I49)</f>
        <v/>
      </c>
      <c r="AC47" s="22" t="str">
        <f>IF('Cylinder Detail'!AB49=0,"",'Cylinder Detail'!AB49)</f>
        <v/>
      </c>
      <c r="AD47" s="25" t="str">
        <f>IF('Sensor Detail'!F49=0,"","=" &amp; 'Sensor Detail'!F49)</f>
        <v/>
      </c>
      <c r="AE47" s="25" t="str">
        <f>IF('Sensor Detail'!H49=0,"",'Sensor Detail'!H49)</f>
        <v/>
      </c>
      <c r="AF47" s="27" t="str">
        <f>IF('Sensor Detail'!G49=0,"","-" &amp; 'Sensor Detail'!G49)</f>
        <v/>
      </c>
      <c r="AG47" s="27" t="str">
        <f>IF('Sensor Detail'!I49=0,"",'Sensor Detail'!I49)</f>
        <v/>
      </c>
      <c r="AH47" s="27" t="str">
        <f>IF('Sensor Detail'!E49=0,"","+" &amp; 'Sensor Detail'!E49)</f>
        <v/>
      </c>
      <c r="AI47" s="27" t="str">
        <f t="shared" si="12"/>
        <v/>
      </c>
      <c r="AJ47" s="27" t="str">
        <f>IF('Sensor Detail'!J49=0,"",'Sensor Detail'!J49)</f>
        <v/>
      </c>
      <c r="AK47" s="27" t="str">
        <f>IF('Sensor Detail'!K49=0,"",'Sensor Detail'!K49)</f>
        <v/>
      </c>
      <c r="AL47" s="27" t="str">
        <f>IF('Sensor Detail'!L49=0,"",'Sensor Detail'!L49)</f>
        <v/>
      </c>
      <c r="AM47" s="27" t="str">
        <f>IF('Sensor Detail'!M49=0,"",'Sensor Detail'!M49)</f>
        <v/>
      </c>
      <c r="AN47" s="27" t="str">
        <f>IF('Sensor Detail'!N49=0,"",'Sensor Detail'!N49)</f>
        <v/>
      </c>
      <c r="AO47" s="27" t="str">
        <f>IF('Sensor Detail'!O49=0,"",'Sensor Detail'!O49)</f>
        <v/>
      </c>
      <c r="AP47" s="15" t="str">
        <f t="shared" si="13"/>
        <v/>
      </c>
      <c r="AQ47" s="15" t="str">
        <f t="shared" si="14"/>
        <v/>
      </c>
    </row>
    <row r="48" spans="1:43">
      <c r="A48" s="13" t="str">
        <f t="shared" si="0"/>
        <v/>
      </c>
      <c r="B48" s="13" t="str">
        <f t="shared" si="1"/>
        <v/>
      </c>
      <c r="C48" s="15" t="str">
        <f t="shared" si="2"/>
        <v/>
      </c>
      <c r="D48" s="15" t="str">
        <f t="shared" si="3"/>
        <v/>
      </c>
      <c r="E48" s="15" t="str">
        <f t="shared" si="4"/>
        <v/>
      </c>
      <c r="F48" s="15" t="str">
        <f t="shared" si="5"/>
        <v/>
      </c>
      <c r="G48" s="15" t="str">
        <f t="shared" si="6"/>
        <v/>
      </c>
      <c r="H48" s="15" t="str">
        <f t="shared" si="7"/>
        <v/>
      </c>
      <c r="I48" s="15" t="str">
        <f t="shared" si="8"/>
        <v/>
      </c>
      <c r="J48" s="15" t="str">
        <f t="shared" si="9"/>
        <v/>
      </c>
      <c r="K48" s="13" t="str">
        <f>IF('Cylinder Detail'!U50=0,"",'Cylinder Detail'!U50)</f>
        <v/>
      </c>
      <c r="L48" s="13" t="str">
        <f>IF('Cylinder Detail'!Z50=0,"",_xlfn.TEXTBEFORE('Cylinder Detail'!Z50, ","))</f>
        <v/>
      </c>
      <c r="M48" s="13" t="str">
        <f t="shared" si="10"/>
        <v/>
      </c>
      <c r="N48" s="17" t="str">
        <f>IF('Cylinder Detail'!V50=0,"",'Cylinder Detail'!V50)</f>
        <v/>
      </c>
      <c r="O48" s="17" t="str">
        <f>IF('Cylinder Detail'!Z50=0,"",_xlfn.TEXTAFTER('Cylinder Detail'!Z50, ", "))</f>
        <v/>
      </c>
      <c r="P48" s="17" t="str">
        <f>IF('Cylinder Detail'!AA50=0,"",'Cylinder Detail'!AA50)</f>
        <v/>
      </c>
      <c r="Q48" s="19" t="str">
        <f>IF('Cylinder Detail'!W50=0,"",'Cylinder Detail'!W50)</f>
        <v/>
      </c>
      <c r="R48" s="19" t="str">
        <f>IF('Cylinder Detail'!Y50=0,"",'Cylinder Detail'!Y50)</f>
        <v/>
      </c>
      <c r="S48" s="21" t="str">
        <f>IF('Cylinder Detail'!X50=0,"",'Cylinder Detail'!X50)</f>
        <v/>
      </c>
      <c r="T48" s="21" t="str">
        <f>IF('Cylinder Detail'!F50=0,"",'Cylinder Detail'!F50)</f>
        <v/>
      </c>
      <c r="U48" s="21" t="str">
        <f>IF('Cylinder Detail'!R50=0,"",'Cylinder Detail'!R50)</f>
        <v/>
      </c>
      <c r="V48" s="21" t="str">
        <f>IF('Cylinder Detail'!Q50=0,"",'Cylinder Detail'!Q50)</f>
        <v/>
      </c>
      <c r="W48" s="21" t="str">
        <f>IF('Cylinder Detail'!E50=0,"","+" &amp; 'Cylinder Detail'!E50)</f>
        <v/>
      </c>
      <c r="X48" s="21" t="str">
        <f t="shared" si="11"/>
        <v/>
      </c>
      <c r="Y48" s="21" t="str">
        <f>IF('Cylinder Detail'!S50=0,"",'Cylinder Detail'!S50)</f>
        <v/>
      </c>
      <c r="Z48" s="21" t="str">
        <f>IF('Cylinder Detail'!T50=0,"",'Cylinder Detail'!T50)</f>
        <v/>
      </c>
      <c r="AA48" s="21" t="str">
        <f>IF('Cylinder Detail'!H50=0,"",'Cylinder Detail'!H50)</f>
        <v/>
      </c>
      <c r="AB48" s="21" t="str">
        <f>IF('Cylinder Detail'!I50=0,"",'Cylinder Detail'!I50)</f>
        <v/>
      </c>
      <c r="AC48" s="22" t="str">
        <f>IF('Cylinder Detail'!AB50=0,"",'Cylinder Detail'!AB50)</f>
        <v/>
      </c>
      <c r="AD48" s="25" t="str">
        <f>IF('Sensor Detail'!F50=0,"","=" &amp; 'Sensor Detail'!F50)</f>
        <v/>
      </c>
      <c r="AE48" s="25" t="str">
        <f>IF('Sensor Detail'!H50=0,"",'Sensor Detail'!H50)</f>
        <v/>
      </c>
      <c r="AF48" s="27" t="str">
        <f>IF('Sensor Detail'!G50=0,"","-" &amp; 'Sensor Detail'!G50)</f>
        <v/>
      </c>
      <c r="AG48" s="27" t="str">
        <f>IF('Sensor Detail'!I50=0,"",'Sensor Detail'!I50)</f>
        <v/>
      </c>
      <c r="AH48" s="27" t="str">
        <f>IF('Sensor Detail'!E50=0,"","+" &amp; 'Sensor Detail'!E50)</f>
        <v/>
      </c>
      <c r="AI48" s="27" t="str">
        <f t="shared" si="12"/>
        <v/>
      </c>
      <c r="AJ48" s="27" t="str">
        <f>IF('Sensor Detail'!J50=0,"",'Sensor Detail'!J50)</f>
        <v/>
      </c>
      <c r="AK48" s="27" t="str">
        <f>IF('Sensor Detail'!K50=0,"",'Sensor Detail'!K50)</f>
        <v/>
      </c>
      <c r="AL48" s="27" t="str">
        <f>IF('Sensor Detail'!L50=0,"",'Sensor Detail'!L50)</f>
        <v/>
      </c>
      <c r="AM48" s="27" t="str">
        <f>IF('Sensor Detail'!M50=0,"",'Sensor Detail'!M50)</f>
        <v/>
      </c>
      <c r="AN48" s="27" t="str">
        <f>IF('Sensor Detail'!N50=0,"",'Sensor Detail'!N50)</f>
        <v/>
      </c>
      <c r="AO48" s="27" t="str">
        <f>IF('Sensor Detail'!O50=0,"",'Sensor Detail'!O50)</f>
        <v/>
      </c>
      <c r="AP48" s="15" t="str">
        <f t="shared" si="13"/>
        <v/>
      </c>
      <c r="AQ48" s="15" t="str">
        <f t="shared" si="14"/>
        <v/>
      </c>
    </row>
    <row r="49" spans="1:43">
      <c r="A49" s="13" t="str">
        <f t="shared" si="0"/>
        <v/>
      </c>
      <c r="B49" s="13" t="str">
        <f t="shared" si="1"/>
        <v/>
      </c>
      <c r="C49" s="15" t="str">
        <f t="shared" si="2"/>
        <v/>
      </c>
      <c r="D49" s="15" t="str">
        <f t="shared" si="3"/>
        <v/>
      </c>
      <c r="E49" s="15" t="str">
        <f t="shared" si="4"/>
        <v/>
      </c>
      <c r="F49" s="15" t="str">
        <f t="shared" si="5"/>
        <v/>
      </c>
      <c r="G49" s="15" t="str">
        <f t="shared" si="6"/>
        <v/>
      </c>
      <c r="H49" s="15" t="str">
        <f t="shared" si="7"/>
        <v/>
      </c>
      <c r="I49" s="15" t="str">
        <f t="shared" si="8"/>
        <v/>
      </c>
      <c r="J49" s="15" t="str">
        <f t="shared" si="9"/>
        <v/>
      </c>
      <c r="K49" s="13" t="str">
        <f>IF('Cylinder Detail'!U51=0,"",'Cylinder Detail'!U51)</f>
        <v/>
      </c>
      <c r="L49" s="13" t="str">
        <f>IF('Cylinder Detail'!Z51=0,"",_xlfn.TEXTBEFORE('Cylinder Detail'!Z51, ","))</f>
        <v/>
      </c>
      <c r="M49" s="13" t="str">
        <f t="shared" si="10"/>
        <v/>
      </c>
      <c r="N49" s="17" t="str">
        <f>IF('Cylinder Detail'!V51=0,"",'Cylinder Detail'!V51)</f>
        <v/>
      </c>
      <c r="O49" s="17" t="str">
        <f>IF('Cylinder Detail'!Z51=0,"",_xlfn.TEXTAFTER('Cylinder Detail'!Z51, ", "))</f>
        <v/>
      </c>
      <c r="P49" s="17" t="str">
        <f>IF('Cylinder Detail'!AA51=0,"",'Cylinder Detail'!AA51)</f>
        <v/>
      </c>
      <c r="Q49" s="19" t="str">
        <f>IF('Cylinder Detail'!W51=0,"",'Cylinder Detail'!W51)</f>
        <v/>
      </c>
      <c r="R49" s="19" t="str">
        <f>IF('Cylinder Detail'!Y51=0,"",'Cylinder Detail'!Y51)</f>
        <v/>
      </c>
      <c r="S49" s="21" t="str">
        <f>IF('Cylinder Detail'!X51=0,"",'Cylinder Detail'!X51)</f>
        <v/>
      </c>
      <c r="T49" s="21" t="str">
        <f>IF('Cylinder Detail'!F51=0,"",'Cylinder Detail'!F51)</f>
        <v/>
      </c>
      <c r="U49" s="21" t="str">
        <f>IF('Cylinder Detail'!R51=0,"",'Cylinder Detail'!R51)</f>
        <v/>
      </c>
      <c r="V49" s="21" t="str">
        <f>IF('Cylinder Detail'!Q51=0,"",'Cylinder Detail'!Q51)</f>
        <v/>
      </c>
      <c r="W49" s="21" t="str">
        <f>IF('Cylinder Detail'!E51=0,"","+" &amp; 'Cylinder Detail'!E51)</f>
        <v/>
      </c>
      <c r="X49" s="21" t="str">
        <f t="shared" si="11"/>
        <v/>
      </c>
      <c r="Y49" s="21" t="str">
        <f>IF('Cylinder Detail'!S51=0,"",'Cylinder Detail'!S51)</f>
        <v/>
      </c>
      <c r="Z49" s="21" t="str">
        <f>IF('Cylinder Detail'!T51=0,"",'Cylinder Detail'!T51)</f>
        <v/>
      </c>
      <c r="AA49" s="21" t="str">
        <f>IF('Cylinder Detail'!H51=0,"",'Cylinder Detail'!H51)</f>
        <v/>
      </c>
      <c r="AB49" s="21" t="str">
        <f>IF('Cylinder Detail'!I51=0,"",'Cylinder Detail'!I51)</f>
        <v/>
      </c>
      <c r="AC49" s="22" t="str">
        <f>IF('Cylinder Detail'!AB51=0,"",'Cylinder Detail'!AB51)</f>
        <v/>
      </c>
      <c r="AD49" s="25" t="str">
        <f>IF('Sensor Detail'!F51=0,"","=" &amp; 'Sensor Detail'!F51)</f>
        <v/>
      </c>
      <c r="AE49" s="25" t="str">
        <f>IF('Sensor Detail'!H51=0,"",'Sensor Detail'!H51)</f>
        <v/>
      </c>
      <c r="AF49" s="27" t="str">
        <f>IF('Sensor Detail'!G51=0,"","-" &amp; 'Sensor Detail'!G51)</f>
        <v/>
      </c>
      <c r="AG49" s="27" t="str">
        <f>IF('Sensor Detail'!I51=0,"",'Sensor Detail'!I51)</f>
        <v/>
      </c>
      <c r="AH49" s="27" t="str">
        <f>IF('Sensor Detail'!E51=0,"","+" &amp; 'Sensor Detail'!E51)</f>
        <v/>
      </c>
      <c r="AI49" s="27" t="str">
        <f t="shared" si="12"/>
        <v/>
      </c>
      <c r="AJ49" s="27" t="str">
        <f>IF('Sensor Detail'!J51=0,"",'Sensor Detail'!J51)</f>
        <v/>
      </c>
      <c r="AK49" s="27" t="str">
        <f>IF('Sensor Detail'!K51=0,"",'Sensor Detail'!K51)</f>
        <v/>
      </c>
      <c r="AL49" s="27" t="str">
        <f>IF('Sensor Detail'!L51=0,"",'Sensor Detail'!L51)</f>
        <v/>
      </c>
      <c r="AM49" s="27" t="str">
        <f>IF('Sensor Detail'!M51=0,"",'Sensor Detail'!M51)</f>
        <v/>
      </c>
      <c r="AN49" s="27" t="str">
        <f>IF('Sensor Detail'!N51=0,"",'Sensor Detail'!N51)</f>
        <v/>
      </c>
      <c r="AO49" s="27" t="str">
        <f>IF('Sensor Detail'!O51=0,"",'Sensor Detail'!O51)</f>
        <v/>
      </c>
      <c r="AP49" s="15" t="str">
        <f t="shared" si="13"/>
        <v/>
      </c>
      <c r="AQ49" s="15" t="str">
        <f t="shared" si="14"/>
        <v/>
      </c>
    </row>
    <row r="50" spans="1:43">
      <c r="A50" s="13" t="str">
        <f t="shared" si="0"/>
        <v/>
      </c>
      <c r="B50" s="13" t="str">
        <f t="shared" si="1"/>
        <v/>
      </c>
      <c r="C50" s="15" t="str">
        <f t="shared" si="2"/>
        <v/>
      </c>
      <c r="D50" s="15" t="str">
        <f t="shared" si="3"/>
        <v/>
      </c>
      <c r="E50" s="15" t="str">
        <f t="shared" si="4"/>
        <v/>
      </c>
      <c r="F50" s="15" t="str">
        <f t="shared" si="5"/>
        <v/>
      </c>
      <c r="G50" s="15" t="str">
        <f t="shared" si="6"/>
        <v/>
      </c>
      <c r="H50" s="15" t="str">
        <f t="shared" si="7"/>
        <v/>
      </c>
      <c r="I50" s="15" t="str">
        <f t="shared" si="8"/>
        <v/>
      </c>
      <c r="J50" s="15" t="str">
        <f t="shared" si="9"/>
        <v/>
      </c>
      <c r="K50" s="13" t="str">
        <f>IF('Cylinder Detail'!U52=0,"",'Cylinder Detail'!U52)</f>
        <v/>
      </c>
      <c r="L50" s="13" t="str">
        <f>IF('Cylinder Detail'!Z52=0,"",_xlfn.TEXTBEFORE('Cylinder Detail'!Z52, ","))</f>
        <v/>
      </c>
      <c r="M50" s="13" t="str">
        <f t="shared" si="10"/>
        <v/>
      </c>
      <c r="N50" s="17" t="str">
        <f>IF('Cylinder Detail'!V52=0,"",'Cylinder Detail'!V52)</f>
        <v/>
      </c>
      <c r="O50" s="17" t="str">
        <f>IF('Cylinder Detail'!Z52=0,"",_xlfn.TEXTAFTER('Cylinder Detail'!Z52, ", "))</f>
        <v/>
      </c>
      <c r="P50" s="17" t="str">
        <f>IF('Cylinder Detail'!AA52=0,"",'Cylinder Detail'!AA52)</f>
        <v/>
      </c>
      <c r="Q50" s="19" t="str">
        <f>IF('Cylinder Detail'!W52=0,"",'Cylinder Detail'!W52)</f>
        <v/>
      </c>
      <c r="R50" s="19" t="str">
        <f>IF('Cylinder Detail'!Y52=0,"",'Cylinder Detail'!Y52)</f>
        <v/>
      </c>
      <c r="S50" s="21" t="str">
        <f>IF('Cylinder Detail'!X52=0,"",'Cylinder Detail'!X52)</f>
        <v/>
      </c>
      <c r="T50" s="21" t="str">
        <f>IF('Cylinder Detail'!F52=0,"",'Cylinder Detail'!F52)</f>
        <v/>
      </c>
      <c r="U50" s="21" t="str">
        <f>IF('Cylinder Detail'!R52=0,"",'Cylinder Detail'!R52)</f>
        <v/>
      </c>
      <c r="V50" s="21" t="str">
        <f>IF('Cylinder Detail'!Q52=0,"",'Cylinder Detail'!Q52)</f>
        <v/>
      </c>
      <c r="W50" s="21" t="str">
        <f>IF('Cylinder Detail'!E52=0,"","+" &amp; 'Cylinder Detail'!E52)</f>
        <v/>
      </c>
      <c r="X50" s="21" t="str">
        <f t="shared" si="11"/>
        <v/>
      </c>
      <c r="Y50" s="21" t="str">
        <f>IF('Cylinder Detail'!S52=0,"",'Cylinder Detail'!S52)</f>
        <v/>
      </c>
      <c r="Z50" s="21" t="str">
        <f>IF('Cylinder Detail'!T52=0,"",'Cylinder Detail'!T52)</f>
        <v/>
      </c>
      <c r="AA50" s="21" t="str">
        <f>IF('Cylinder Detail'!H52=0,"",'Cylinder Detail'!H52)</f>
        <v/>
      </c>
      <c r="AB50" s="21" t="str">
        <f>IF('Cylinder Detail'!I52=0,"",'Cylinder Detail'!I52)</f>
        <v/>
      </c>
      <c r="AC50" s="22" t="str">
        <f>IF('Cylinder Detail'!AB52=0,"",'Cylinder Detail'!AB52)</f>
        <v/>
      </c>
      <c r="AD50" s="25" t="str">
        <f>IF('Sensor Detail'!F52=0,"","=" &amp; 'Sensor Detail'!F52)</f>
        <v/>
      </c>
      <c r="AE50" s="25" t="str">
        <f>IF('Sensor Detail'!H52=0,"",'Sensor Detail'!H52)</f>
        <v/>
      </c>
      <c r="AF50" s="27" t="str">
        <f>IF('Sensor Detail'!G52=0,"","-" &amp; 'Sensor Detail'!G52)</f>
        <v/>
      </c>
      <c r="AG50" s="27" t="str">
        <f>IF('Sensor Detail'!I52=0,"",'Sensor Detail'!I52)</f>
        <v/>
      </c>
      <c r="AH50" s="27" t="str">
        <f>IF('Sensor Detail'!E52=0,"","+" &amp; 'Sensor Detail'!E52)</f>
        <v/>
      </c>
      <c r="AI50" s="27" t="str">
        <f t="shared" si="12"/>
        <v/>
      </c>
      <c r="AJ50" s="27" t="str">
        <f>IF('Sensor Detail'!J52=0,"",'Sensor Detail'!J52)</f>
        <v/>
      </c>
      <c r="AK50" s="27" t="str">
        <f>IF('Sensor Detail'!K52=0,"",'Sensor Detail'!K52)</f>
        <v/>
      </c>
      <c r="AL50" s="27" t="str">
        <f>IF('Sensor Detail'!L52=0,"",'Sensor Detail'!L52)</f>
        <v/>
      </c>
      <c r="AM50" s="27" t="str">
        <f>IF('Sensor Detail'!M52=0,"",'Sensor Detail'!M52)</f>
        <v/>
      </c>
      <c r="AN50" s="27" t="str">
        <f>IF('Sensor Detail'!N52=0,"",'Sensor Detail'!N52)</f>
        <v/>
      </c>
      <c r="AO50" s="27" t="str">
        <f>IF('Sensor Detail'!O52=0,"",'Sensor Detail'!O52)</f>
        <v/>
      </c>
      <c r="AP50" s="15" t="str">
        <f t="shared" si="13"/>
        <v/>
      </c>
      <c r="AQ50" s="15" t="str">
        <f t="shared" si="14"/>
        <v/>
      </c>
    </row>
    <row r="51" spans="1:43">
      <c r="A51" s="13" t="str">
        <f t="shared" si="0"/>
        <v/>
      </c>
      <c r="B51" s="13" t="str">
        <f t="shared" si="1"/>
        <v/>
      </c>
      <c r="C51" s="15" t="str">
        <f t="shared" si="2"/>
        <v/>
      </c>
      <c r="D51" s="15" t="str">
        <f t="shared" si="3"/>
        <v/>
      </c>
      <c r="E51" s="15" t="str">
        <f t="shared" si="4"/>
        <v/>
      </c>
      <c r="F51" s="15" t="str">
        <f t="shared" si="5"/>
        <v/>
      </c>
      <c r="G51" s="15" t="str">
        <f t="shared" si="6"/>
        <v/>
      </c>
      <c r="H51" s="15" t="str">
        <f t="shared" si="7"/>
        <v/>
      </c>
      <c r="I51" s="15" t="str">
        <f t="shared" si="8"/>
        <v/>
      </c>
      <c r="J51" s="15" t="str">
        <f t="shared" si="9"/>
        <v/>
      </c>
      <c r="K51" s="13" t="str">
        <f>IF('Cylinder Detail'!U53=0,"",'Cylinder Detail'!U53)</f>
        <v/>
      </c>
      <c r="L51" s="13" t="str">
        <f>IF('Cylinder Detail'!Z53=0,"",_xlfn.TEXTBEFORE('Cylinder Detail'!Z53, ","))</f>
        <v/>
      </c>
      <c r="M51" s="13" t="str">
        <f t="shared" si="10"/>
        <v/>
      </c>
      <c r="N51" s="17" t="str">
        <f>IF('Cylinder Detail'!V53=0,"",'Cylinder Detail'!V53)</f>
        <v/>
      </c>
      <c r="O51" s="17" t="str">
        <f>IF('Cylinder Detail'!Z53=0,"",_xlfn.TEXTAFTER('Cylinder Detail'!Z53, ", "))</f>
        <v/>
      </c>
      <c r="P51" s="17" t="str">
        <f>IF('Cylinder Detail'!AA53=0,"",'Cylinder Detail'!AA53)</f>
        <v/>
      </c>
      <c r="Q51" s="19" t="str">
        <f>IF('Cylinder Detail'!W53=0,"",'Cylinder Detail'!W53)</f>
        <v/>
      </c>
      <c r="R51" s="19" t="str">
        <f>IF('Cylinder Detail'!Y53=0,"",'Cylinder Detail'!Y53)</f>
        <v/>
      </c>
      <c r="S51" s="21" t="str">
        <f>IF('Cylinder Detail'!X53=0,"",'Cylinder Detail'!X53)</f>
        <v/>
      </c>
      <c r="T51" s="21" t="str">
        <f>IF('Cylinder Detail'!F53=0,"",'Cylinder Detail'!F53)</f>
        <v/>
      </c>
      <c r="U51" s="21" t="str">
        <f>IF('Cylinder Detail'!R53=0,"",'Cylinder Detail'!R53)</f>
        <v/>
      </c>
      <c r="V51" s="21" t="str">
        <f>IF('Cylinder Detail'!Q53=0,"",'Cylinder Detail'!Q53)</f>
        <v/>
      </c>
      <c r="W51" s="21" t="str">
        <f>IF('Cylinder Detail'!E53=0,"","+" &amp; 'Cylinder Detail'!E53)</f>
        <v/>
      </c>
      <c r="X51" s="21" t="str">
        <f t="shared" si="11"/>
        <v/>
      </c>
      <c r="Y51" s="21" t="str">
        <f>IF('Cylinder Detail'!S53=0,"",'Cylinder Detail'!S53)</f>
        <v/>
      </c>
      <c r="Z51" s="21" t="str">
        <f>IF('Cylinder Detail'!T53=0,"",'Cylinder Detail'!T53)</f>
        <v/>
      </c>
      <c r="AA51" s="21" t="str">
        <f>IF('Cylinder Detail'!H53=0,"",'Cylinder Detail'!H53)</f>
        <v/>
      </c>
      <c r="AB51" s="21" t="str">
        <f>IF('Cylinder Detail'!I53=0,"",'Cylinder Detail'!I53)</f>
        <v/>
      </c>
      <c r="AC51" s="22" t="str">
        <f>IF('Cylinder Detail'!AB53=0,"",'Cylinder Detail'!AB53)</f>
        <v/>
      </c>
      <c r="AD51" s="25" t="str">
        <f>IF('Sensor Detail'!F53=0,"","=" &amp; 'Sensor Detail'!F53)</f>
        <v/>
      </c>
      <c r="AE51" s="25" t="str">
        <f>IF('Sensor Detail'!H53=0,"",'Sensor Detail'!H53)</f>
        <v/>
      </c>
      <c r="AF51" s="27" t="str">
        <f>IF('Sensor Detail'!G53=0,"","-" &amp; 'Sensor Detail'!G53)</f>
        <v/>
      </c>
      <c r="AG51" s="27" t="str">
        <f>IF('Sensor Detail'!I53=0,"",'Sensor Detail'!I53)</f>
        <v/>
      </c>
      <c r="AH51" s="27" t="str">
        <f>IF('Sensor Detail'!E53=0,"","+" &amp; 'Sensor Detail'!E53)</f>
        <v/>
      </c>
      <c r="AI51" s="27" t="str">
        <f t="shared" si="12"/>
        <v/>
      </c>
      <c r="AJ51" s="27" t="str">
        <f>IF('Sensor Detail'!J53=0,"",'Sensor Detail'!J53)</f>
        <v/>
      </c>
      <c r="AK51" s="27" t="str">
        <f>IF('Sensor Detail'!K53=0,"",'Sensor Detail'!K53)</f>
        <v/>
      </c>
      <c r="AL51" s="27" t="str">
        <f>IF('Sensor Detail'!L53=0,"",'Sensor Detail'!L53)</f>
        <v/>
      </c>
      <c r="AM51" s="27" t="str">
        <f>IF('Sensor Detail'!M53=0,"",'Sensor Detail'!M53)</f>
        <v/>
      </c>
      <c r="AN51" s="27" t="str">
        <f>IF('Sensor Detail'!N53=0,"",'Sensor Detail'!N53)</f>
        <v/>
      </c>
      <c r="AO51" s="27" t="str">
        <f>IF('Sensor Detail'!O53=0,"",'Sensor Detail'!O53)</f>
        <v/>
      </c>
      <c r="AP51" s="15" t="str">
        <f t="shared" si="13"/>
        <v/>
      </c>
      <c r="AQ51" s="15" t="str">
        <f t="shared" si="14"/>
        <v/>
      </c>
    </row>
    <row r="52" spans="1:43">
      <c r="A52" s="13" t="str">
        <f t="shared" si="0"/>
        <v/>
      </c>
      <c r="B52" s="13" t="str">
        <f t="shared" si="1"/>
        <v/>
      </c>
      <c r="C52" s="15" t="str">
        <f t="shared" si="2"/>
        <v/>
      </c>
      <c r="D52" s="15" t="str">
        <f t="shared" si="3"/>
        <v/>
      </c>
      <c r="E52" s="15" t="str">
        <f t="shared" si="4"/>
        <v/>
      </c>
      <c r="F52" s="15" t="str">
        <f t="shared" si="5"/>
        <v/>
      </c>
      <c r="G52" s="15" t="str">
        <f t="shared" si="6"/>
        <v/>
      </c>
      <c r="H52" s="15" t="str">
        <f t="shared" si="7"/>
        <v/>
      </c>
      <c r="I52" s="15" t="str">
        <f t="shared" si="8"/>
        <v/>
      </c>
      <c r="J52" s="15" t="str">
        <f t="shared" si="9"/>
        <v/>
      </c>
      <c r="K52" s="13" t="str">
        <f>IF('Cylinder Detail'!U54=0,"",'Cylinder Detail'!U54)</f>
        <v/>
      </c>
      <c r="L52" s="13" t="str">
        <f>IF('Cylinder Detail'!Z54=0,"",_xlfn.TEXTBEFORE('Cylinder Detail'!Z54, ","))</f>
        <v/>
      </c>
      <c r="M52" s="13" t="str">
        <f t="shared" si="10"/>
        <v/>
      </c>
      <c r="N52" s="17" t="str">
        <f>IF('Cylinder Detail'!V54=0,"",'Cylinder Detail'!V54)</f>
        <v/>
      </c>
      <c r="O52" s="17" t="str">
        <f>IF('Cylinder Detail'!Z54=0,"",_xlfn.TEXTAFTER('Cylinder Detail'!Z54, ", "))</f>
        <v/>
      </c>
      <c r="P52" s="17" t="str">
        <f>IF('Cylinder Detail'!AA54=0,"",'Cylinder Detail'!AA54)</f>
        <v/>
      </c>
      <c r="Q52" s="19" t="str">
        <f>IF('Cylinder Detail'!W54=0,"",'Cylinder Detail'!W54)</f>
        <v/>
      </c>
      <c r="R52" s="19" t="str">
        <f>IF('Cylinder Detail'!Y54=0,"",'Cylinder Detail'!Y54)</f>
        <v/>
      </c>
      <c r="S52" s="21" t="str">
        <f>IF('Cylinder Detail'!X54=0,"",'Cylinder Detail'!X54)</f>
        <v/>
      </c>
      <c r="T52" s="21" t="str">
        <f>IF('Cylinder Detail'!F54=0,"",'Cylinder Detail'!F54)</f>
        <v/>
      </c>
      <c r="U52" s="21" t="str">
        <f>IF('Cylinder Detail'!R54=0,"",'Cylinder Detail'!R54)</f>
        <v/>
      </c>
      <c r="V52" s="21" t="str">
        <f>IF('Cylinder Detail'!Q54=0,"",'Cylinder Detail'!Q54)</f>
        <v/>
      </c>
      <c r="W52" s="21" t="str">
        <f>IF('Cylinder Detail'!E54=0,"","+" &amp; 'Cylinder Detail'!E54)</f>
        <v/>
      </c>
      <c r="X52" s="21" t="str">
        <f t="shared" si="11"/>
        <v/>
      </c>
      <c r="Y52" s="21" t="str">
        <f>IF('Cylinder Detail'!S54=0,"",'Cylinder Detail'!S54)</f>
        <v/>
      </c>
      <c r="Z52" s="21" t="str">
        <f>IF('Cylinder Detail'!T54=0,"",'Cylinder Detail'!T54)</f>
        <v/>
      </c>
      <c r="AA52" s="21" t="str">
        <f>IF('Cylinder Detail'!H54=0,"",'Cylinder Detail'!H54)</f>
        <v/>
      </c>
      <c r="AB52" s="21" t="str">
        <f>IF('Cylinder Detail'!I54=0,"",'Cylinder Detail'!I54)</f>
        <v/>
      </c>
      <c r="AC52" s="22" t="str">
        <f>IF('Cylinder Detail'!AB54=0,"",'Cylinder Detail'!AB54)</f>
        <v/>
      </c>
      <c r="AD52" s="25" t="str">
        <f>IF('Sensor Detail'!F54=0,"","=" &amp; 'Sensor Detail'!F54)</f>
        <v/>
      </c>
      <c r="AE52" s="25" t="str">
        <f>IF('Sensor Detail'!H54=0,"",'Sensor Detail'!H54)</f>
        <v/>
      </c>
      <c r="AF52" s="27" t="str">
        <f>IF('Sensor Detail'!G54=0,"","-" &amp; 'Sensor Detail'!G54)</f>
        <v/>
      </c>
      <c r="AG52" s="27" t="str">
        <f>IF('Sensor Detail'!I54=0,"",'Sensor Detail'!I54)</f>
        <v/>
      </c>
      <c r="AH52" s="27" t="str">
        <f>IF('Sensor Detail'!E54=0,"","+" &amp; 'Sensor Detail'!E54)</f>
        <v/>
      </c>
      <c r="AI52" s="27" t="str">
        <f t="shared" si="12"/>
        <v/>
      </c>
      <c r="AJ52" s="27" t="str">
        <f>IF('Sensor Detail'!J54=0,"",'Sensor Detail'!J54)</f>
        <v/>
      </c>
      <c r="AK52" s="27" t="str">
        <f>IF('Sensor Detail'!K54=0,"",'Sensor Detail'!K54)</f>
        <v/>
      </c>
      <c r="AL52" s="27" t="str">
        <f>IF('Sensor Detail'!L54=0,"",'Sensor Detail'!L54)</f>
        <v/>
      </c>
      <c r="AM52" s="27" t="str">
        <f>IF('Sensor Detail'!M54=0,"",'Sensor Detail'!M54)</f>
        <v/>
      </c>
      <c r="AN52" s="27" t="str">
        <f>IF('Sensor Detail'!N54=0,"",'Sensor Detail'!N54)</f>
        <v/>
      </c>
      <c r="AO52" s="27" t="str">
        <f>IF('Sensor Detail'!O54=0,"",'Sensor Detail'!O54)</f>
        <v/>
      </c>
      <c r="AP52" s="15" t="str">
        <f t="shared" si="13"/>
        <v/>
      </c>
      <c r="AQ52" s="15" t="str">
        <f t="shared" si="14"/>
        <v/>
      </c>
    </row>
    <row r="53" spans="1:43">
      <c r="A53" s="13" t="str">
        <f t="shared" si="0"/>
        <v/>
      </c>
      <c r="B53" s="13" t="str">
        <f t="shared" si="1"/>
        <v/>
      </c>
      <c r="C53" s="15" t="str">
        <f t="shared" si="2"/>
        <v/>
      </c>
      <c r="D53" s="15" t="str">
        <f t="shared" si="3"/>
        <v/>
      </c>
      <c r="E53" s="15" t="str">
        <f t="shared" si="4"/>
        <v/>
      </c>
      <c r="F53" s="15" t="str">
        <f t="shared" si="5"/>
        <v/>
      </c>
      <c r="G53" s="15" t="str">
        <f t="shared" si="6"/>
        <v/>
      </c>
      <c r="H53" s="15" t="str">
        <f t="shared" si="7"/>
        <v/>
      </c>
      <c r="I53" s="15" t="str">
        <f t="shared" si="8"/>
        <v/>
      </c>
      <c r="J53" s="15" t="str">
        <f t="shared" si="9"/>
        <v/>
      </c>
      <c r="K53" s="13" t="str">
        <f>IF('Cylinder Detail'!U55=0,"",'Cylinder Detail'!U55)</f>
        <v/>
      </c>
      <c r="L53" s="13" t="str">
        <f>IF('Cylinder Detail'!Z55=0,"",_xlfn.TEXTBEFORE('Cylinder Detail'!Z55, ","))</f>
        <v/>
      </c>
      <c r="M53" s="13" t="str">
        <f t="shared" si="10"/>
        <v/>
      </c>
      <c r="N53" s="17" t="str">
        <f>IF('Cylinder Detail'!V55=0,"",'Cylinder Detail'!V55)</f>
        <v/>
      </c>
      <c r="O53" s="17" t="str">
        <f>IF('Cylinder Detail'!Z55=0,"",_xlfn.TEXTAFTER('Cylinder Detail'!Z55, ", "))</f>
        <v/>
      </c>
      <c r="P53" s="17" t="str">
        <f>IF('Cylinder Detail'!AA55=0,"",'Cylinder Detail'!AA55)</f>
        <v/>
      </c>
      <c r="Q53" s="19" t="str">
        <f>IF('Cylinder Detail'!W55=0,"",'Cylinder Detail'!W55)</f>
        <v/>
      </c>
      <c r="R53" s="19" t="str">
        <f>IF('Cylinder Detail'!Y55=0,"",'Cylinder Detail'!Y55)</f>
        <v/>
      </c>
      <c r="S53" s="21" t="str">
        <f>IF('Cylinder Detail'!X55=0,"",'Cylinder Detail'!X55)</f>
        <v/>
      </c>
      <c r="T53" s="21" t="str">
        <f>IF('Cylinder Detail'!F55=0,"",'Cylinder Detail'!F55)</f>
        <v/>
      </c>
      <c r="U53" s="21" t="str">
        <f>IF('Cylinder Detail'!R55=0,"",'Cylinder Detail'!R55)</f>
        <v/>
      </c>
      <c r="V53" s="21" t="str">
        <f>IF('Cylinder Detail'!Q55=0,"",'Cylinder Detail'!Q55)</f>
        <v/>
      </c>
      <c r="W53" s="21" t="str">
        <f>IF('Cylinder Detail'!E55=0,"","+" &amp; 'Cylinder Detail'!E55)</f>
        <v/>
      </c>
      <c r="X53" s="21" t="str">
        <f t="shared" si="11"/>
        <v/>
      </c>
      <c r="Y53" s="21" t="str">
        <f>IF('Cylinder Detail'!S55=0,"",'Cylinder Detail'!S55)</f>
        <v/>
      </c>
      <c r="Z53" s="21" t="str">
        <f>IF('Cylinder Detail'!T55=0,"",'Cylinder Detail'!T55)</f>
        <v/>
      </c>
      <c r="AA53" s="21" t="str">
        <f>IF('Cylinder Detail'!H55=0,"",'Cylinder Detail'!H55)</f>
        <v/>
      </c>
      <c r="AB53" s="21" t="str">
        <f>IF('Cylinder Detail'!I55=0,"",'Cylinder Detail'!I55)</f>
        <v/>
      </c>
      <c r="AC53" s="22" t="str">
        <f>IF('Cylinder Detail'!AB55=0,"",'Cylinder Detail'!AB55)</f>
        <v/>
      </c>
      <c r="AD53" s="25" t="str">
        <f>IF('Sensor Detail'!F55=0,"","=" &amp; 'Sensor Detail'!F55)</f>
        <v/>
      </c>
      <c r="AE53" s="25" t="str">
        <f>IF('Sensor Detail'!H55=0,"",'Sensor Detail'!H55)</f>
        <v/>
      </c>
      <c r="AF53" s="27" t="str">
        <f>IF('Sensor Detail'!G55=0,"","-" &amp; 'Sensor Detail'!G55)</f>
        <v/>
      </c>
      <c r="AG53" s="27" t="str">
        <f>IF('Sensor Detail'!I55=0,"",'Sensor Detail'!I55)</f>
        <v/>
      </c>
      <c r="AH53" s="27" t="str">
        <f>IF('Sensor Detail'!E55=0,"","+" &amp; 'Sensor Detail'!E55)</f>
        <v/>
      </c>
      <c r="AI53" s="27" t="str">
        <f t="shared" si="12"/>
        <v/>
      </c>
      <c r="AJ53" s="27" t="str">
        <f>IF('Sensor Detail'!J55=0,"",'Sensor Detail'!J55)</f>
        <v/>
      </c>
      <c r="AK53" s="27" t="str">
        <f>IF('Sensor Detail'!K55=0,"",'Sensor Detail'!K55)</f>
        <v/>
      </c>
      <c r="AL53" s="27" t="str">
        <f>IF('Sensor Detail'!L55=0,"",'Sensor Detail'!L55)</f>
        <v/>
      </c>
      <c r="AM53" s="27" t="str">
        <f>IF('Sensor Detail'!M55=0,"",'Sensor Detail'!M55)</f>
        <v/>
      </c>
      <c r="AN53" s="27" t="str">
        <f>IF('Sensor Detail'!N55=0,"",'Sensor Detail'!N55)</f>
        <v/>
      </c>
      <c r="AO53" s="27" t="str">
        <f>IF('Sensor Detail'!O55=0,"",'Sensor Detail'!O55)</f>
        <v/>
      </c>
      <c r="AP53" s="15" t="str">
        <f t="shared" si="13"/>
        <v/>
      </c>
      <c r="AQ53" s="15" t="str">
        <f t="shared" si="14"/>
        <v/>
      </c>
    </row>
    <row r="54" spans="1:43">
      <c r="A54" s="13" t="str">
        <f t="shared" si="0"/>
        <v/>
      </c>
      <c r="B54" s="13" t="str">
        <f t="shared" si="1"/>
        <v/>
      </c>
      <c r="C54" s="15" t="str">
        <f t="shared" si="2"/>
        <v/>
      </c>
      <c r="D54" s="15" t="str">
        <f t="shared" si="3"/>
        <v/>
      </c>
      <c r="E54" s="15" t="str">
        <f t="shared" si="4"/>
        <v/>
      </c>
      <c r="F54" s="15" t="str">
        <f t="shared" si="5"/>
        <v/>
      </c>
      <c r="G54" s="15" t="str">
        <f t="shared" si="6"/>
        <v/>
      </c>
      <c r="H54" s="15" t="str">
        <f t="shared" si="7"/>
        <v/>
      </c>
      <c r="I54" s="15" t="str">
        <f t="shared" si="8"/>
        <v/>
      </c>
      <c r="J54" s="15" t="str">
        <f t="shared" si="9"/>
        <v/>
      </c>
      <c r="K54" s="13" t="str">
        <f>IF('Cylinder Detail'!U56=0,"",'Cylinder Detail'!U56)</f>
        <v/>
      </c>
      <c r="L54" s="13" t="str">
        <f>IF('Cylinder Detail'!Z56=0,"",_xlfn.TEXTBEFORE('Cylinder Detail'!Z56, ","))</f>
        <v/>
      </c>
      <c r="M54" s="13" t="str">
        <f t="shared" si="10"/>
        <v/>
      </c>
      <c r="N54" s="17" t="str">
        <f>IF('Cylinder Detail'!V56=0,"",'Cylinder Detail'!V56)</f>
        <v/>
      </c>
      <c r="O54" s="17" t="str">
        <f>IF('Cylinder Detail'!Z56=0,"",_xlfn.TEXTAFTER('Cylinder Detail'!Z56, ", "))</f>
        <v/>
      </c>
      <c r="P54" s="17" t="str">
        <f>IF('Cylinder Detail'!AA56=0,"",'Cylinder Detail'!AA56)</f>
        <v/>
      </c>
      <c r="Q54" s="19" t="str">
        <f>IF('Cylinder Detail'!W56=0,"",'Cylinder Detail'!W56)</f>
        <v/>
      </c>
      <c r="R54" s="19" t="str">
        <f>IF('Cylinder Detail'!Y56=0,"",'Cylinder Detail'!Y56)</f>
        <v/>
      </c>
      <c r="S54" s="21" t="str">
        <f>IF('Cylinder Detail'!X56=0,"",'Cylinder Detail'!X56)</f>
        <v/>
      </c>
      <c r="T54" s="21" t="str">
        <f>IF('Cylinder Detail'!F56=0,"",'Cylinder Detail'!F56)</f>
        <v/>
      </c>
      <c r="U54" s="21" t="str">
        <f>IF('Cylinder Detail'!R56=0,"",'Cylinder Detail'!R56)</f>
        <v/>
      </c>
      <c r="V54" s="21" t="str">
        <f>IF('Cylinder Detail'!Q56=0,"",'Cylinder Detail'!Q56)</f>
        <v/>
      </c>
      <c r="W54" s="21" t="str">
        <f>IF('Cylinder Detail'!E56=0,"","+" &amp; 'Cylinder Detail'!E56)</f>
        <v/>
      </c>
      <c r="X54" s="21" t="str">
        <f t="shared" si="11"/>
        <v/>
      </c>
      <c r="Y54" s="21" t="str">
        <f>IF('Cylinder Detail'!S56=0,"",'Cylinder Detail'!S56)</f>
        <v/>
      </c>
      <c r="Z54" s="21" t="str">
        <f>IF('Cylinder Detail'!T56=0,"",'Cylinder Detail'!T56)</f>
        <v/>
      </c>
      <c r="AA54" s="21" t="str">
        <f>IF('Cylinder Detail'!H56=0,"",'Cylinder Detail'!H56)</f>
        <v/>
      </c>
      <c r="AB54" s="21" t="str">
        <f>IF('Cylinder Detail'!I56=0,"",'Cylinder Detail'!I56)</f>
        <v/>
      </c>
      <c r="AC54" s="22" t="str">
        <f>IF('Cylinder Detail'!AB56=0,"",'Cylinder Detail'!AB56)</f>
        <v/>
      </c>
      <c r="AD54" s="25" t="str">
        <f>IF('Sensor Detail'!F56=0,"","=" &amp; 'Sensor Detail'!F56)</f>
        <v/>
      </c>
      <c r="AE54" s="25" t="str">
        <f>IF('Sensor Detail'!H56=0,"",'Sensor Detail'!H56)</f>
        <v/>
      </c>
      <c r="AF54" s="27" t="str">
        <f>IF('Sensor Detail'!G56=0,"","-" &amp; 'Sensor Detail'!G56)</f>
        <v/>
      </c>
      <c r="AG54" s="27" t="str">
        <f>IF('Sensor Detail'!I56=0,"",'Sensor Detail'!I56)</f>
        <v/>
      </c>
      <c r="AH54" s="27" t="str">
        <f>IF('Sensor Detail'!E56=0,"","+" &amp; 'Sensor Detail'!E56)</f>
        <v/>
      </c>
      <c r="AI54" s="27" t="str">
        <f t="shared" si="12"/>
        <v/>
      </c>
      <c r="AJ54" s="27" t="str">
        <f>IF('Sensor Detail'!J56=0,"",'Sensor Detail'!J56)</f>
        <v/>
      </c>
      <c r="AK54" s="27" t="str">
        <f>IF('Sensor Detail'!K56=0,"",'Sensor Detail'!K56)</f>
        <v/>
      </c>
      <c r="AL54" s="27" t="str">
        <f>IF('Sensor Detail'!L56=0,"",'Sensor Detail'!L56)</f>
        <v/>
      </c>
      <c r="AM54" s="27" t="str">
        <f>IF('Sensor Detail'!M56=0,"",'Sensor Detail'!M56)</f>
        <v/>
      </c>
      <c r="AN54" s="27" t="str">
        <f>IF('Sensor Detail'!N56=0,"",'Sensor Detail'!N56)</f>
        <v/>
      </c>
      <c r="AO54" s="27" t="str">
        <f>IF('Sensor Detail'!O56=0,"",'Sensor Detail'!O56)</f>
        <v/>
      </c>
      <c r="AP54" s="15" t="str">
        <f t="shared" si="13"/>
        <v/>
      </c>
      <c r="AQ54" s="15" t="str">
        <f t="shared" si="14"/>
        <v/>
      </c>
    </row>
    <row r="55" spans="1:43">
      <c r="A55" s="13" t="str">
        <f t="shared" si="0"/>
        <v/>
      </c>
      <c r="B55" s="13" t="str">
        <f t="shared" si="1"/>
        <v/>
      </c>
      <c r="C55" s="15" t="str">
        <f t="shared" si="2"/>
        <v/>
      </c>
      <c r="D55" s="15" t="str">
        <f t="shared" si="3"/>
        <v/>
      </c>
      <c r="E55" s="15" t="str">
        <f t="shared" si="4"/>
        <v/>
      </c>
      <c r="F55" s="15" t="str">
        <f t="shared" si="5"/>
        <v/>
      </c>
      <c r="G55" s="15" t="str">
        <f t="shared" si="6"/>
        <v/>
      </c>
      <c r="H55" s="15" t="str">
        <f t="shared" si="7"/>
        <v/>
      </c>
      <c r="I55" s="15" t="str">
        <f t="shared" si="8"/>
        <v/>
      </c>
      <c r="J55" s="15" t="str">
        <f t="shared" si="9"/>
        <v/>
      </c>
      <c r="K55" s="13" t="str">
        <f>IF('Cylinder Detail'!U57=0,"",'Cylinder Detail'!U57)</f>
        <v/>
      </c>
      <c r="L55" s="13" t="str">
        <f>IF('Cylinder Detail'!Z57=0,"",_xlfn.TEXTBEFORE('Cylinder Detail'!Z57, ","))</f>
        <v/>
      </c>
      <c r="M55" s="13" t="str">
        <f t="shared" si="10"/>
        <v/>
      </c>
      <c r="N55" s="17" t="str">
        <f>IF('Cylinder Detail'!V57=0,"",'Cylinder Detail'!V57)</f>
        <v/>
      </c>
      <c r="O55" s="17" t="str">
        <f>IF('Cylinder Detail'!Z57=0,"",_xlfn.TEXTAFTER('Cylinder Detail'!Z57, ", "))</f>
        <v/>
      </c>
      <c r="P55" s="17" t="str">
        <f>IF('Cylinder Detail'!AA57=0,"",'Cylinder Detail'!AA57)</f>
        <v/>
      </c>
      <c r="Q55" s="19" t="str">
        <f>IF('Cylinder Detail'!W57=0,"",'Cylinder Detail'!W57)</f>
        <v/>
      </c>
      <c r="R55" s="19" t="str">
        <f>IF('Cylinder Detail'!Y57=0,"",'Cylinder Detail'!Y57)</f>
        <v/>
      </c>
      <c r="S55" s="21" t="str">
        <f>IF('Cylinder Detail'!X57=0,"",'Cylinder Detail'!X57)</f>
        <v/>
      </c>
      <c r="T55" s="21" t="str">
        <f>IF('Cylinder Detail'!F57=0,"",'Cylinder Detail'!F57)</f>
        <v/>
      </c>
      <c r="U55" s="21" t="str">
        <f>IF('Cylinder Detail'!R57=0,"",'Cylinder Detail'!R57)</f>
        <v/>
      </c>
      <c r="V55" s="21" t="str">
        <f>IF('Cylinder Detail'!Q57=0,"",'Cylinder Detail'!Q57)</f>
        <v/>
      </c>
      <c r="W55" s="21" t="str">
        <f>IF('Cylinder Detail'!E57=0,"","+" &amp; 'Cylinder Detail'!E57)</f>
        <v/>
      </c>
      <c r="X55" s="21" t="str">
        <f t="shared" si="11"/>
        <v/>
      </c>
      <c r="Y55" s="21" t="str">
        <f>IF('Cylinder Detail'!S57=0,"",'Cylinder Detail'!S57)</f>
        <v/>
      </c>
      <c r="Z55" s="21" t="str">
        <f>IF('Cylinder Detail'!T57=0,"",'Cylinder Detail'!T57)</f>
        <v/>
      </c>
      <c r="AA55" s="21" t="str">
        <f>IF('Cylinder Detail'!H57=0,"",'Cylinder Detail'!H57)</f>
        <v/>
      </c>
      <c r="AB55" s="21" t="str">
        <f>IF('Cylinder Detail'!I57=0,"",'Cylinder Detail'!I57)</f>
        <v/>
      </c>
      <c r="AC55" s="22" t="str">
        <f>IF('Cylinder Detail'!AB57=0,"",'Cylinder Detail'!AB57)</f>
        <v/>
      </c>
      <c r="AD55" s="25" t="str">
        <f>IF('Sensor Detail'!F57=0,"","=" &amp; 'Sensor Detail'!F57)</f>
        <v/>
      </c>
      <c r="AE55" s="25" t="str">
        <f>IF('Sensor Detail'!H57=0,"",'Sensor Detail'!H57)</f>
        <v/>
      </c>
      <c r="AF55" s="27" t="str">
        <f>IF('Sensor Detail'!G57=0,"","-" &amp; 'Sensor Detail'!G57)</f>
        <v/>
      </c>
      <c r="AG55" s="27" t="str">
        <f>IF('Sensor Detail'!I57=0,"",'Sensor Detail'!I57)</f>
        <v/>
      </c>
      <c r="AH55" s="27" t="str">
        <f>IF('Sensor Detail'!E57=0,"","+" &amp; 'Sensor Detail'!E57)</f>
        <v/>
      </c>
      <c r="AI55" s="27" t="str">
        <f t="shared" si="12"/>
        <v/>
      </c>
      <c r="AJ55" s="27" t="str">
        <f>IF('Sensor Detail'!J57=0,"",'Sensor Detail'!J57)</f>
        <v/>
      </c>
      <c r="AK55" s="27" t="str">
        <f>IF('Sensor Detail'!K57=0,"",'Sensor Detail'!K57)</f>
        <v/>
      </c>
      <c r="AL55" s="27" t="str">
        <f>IF('Sensor Detail'!L57=0,"",'Sensor Detail'!L57)</f>
        <v/>
      </c>
      <c r="AM55" s="27" t="str">
        <f>IF('Sensor Detail'!M57=0,"",'Sensor Detail'!M57)</f>
        <v/>
      </c>
      <c r="AN55" s="27" t="str">
        <f>IF('Sensor Detail'!N57=0,"",'Sensor Detail'!N57)</f>
        <v/>
      </c>
      <c r="AO55" s="27" t="str">
        <f>IF('Sensor Detail'!O57=0,"",'Sensor Detail'!O57)</f>
        <v/>
      </c>
      <c r="AP55" s="15" t="str">
        <f t="shared" si="13"/>
        <v/>
      </c>
      <c r="AQ55" s="15" t="str">
        <f t="shared" si="14"/>
        <v/>
      </c>
    </row>
    <row r="56" spans="1:43">
      <c r="A56" s="13" t="str">
        <f t="shared" si="0"/>
        <v/>
      </c>
      <c r="B56" s="13" t="str">
        <f t="shared" si="1"/>
        <v/>
      </c>
      <c r="C56" s="15" t="str">
        <f t="shared" si="2"/>
        <v/>
      </c>
      <c r="D56" s="15" t="str">
        <f t="shared" si="3"/>
        <v/>
      </c>
      <c r="E56" s="15" t="str">
        <f t="shared" si="4"/>
        <v/>
      </c>
      <c r="F56" s="15" t="str">
        <f t="shared" si="5"/>
        <v/>
      </c>
      <c r="G56" s="15" t="str">
        <f t="shared" si="6"/>
        <v/>
      </c>
      <c r="H56" s="15" t="str">
        <f t="shared" si="7"/>
        <v/>
      </c>
      <c r="I56" s="15" t="str">
        <f t="shared" si="8"/>
        <v/>
      </c>
      <c r="J56" s="15" t="str">
        <f t="shared" si="9"/>
        <v/>
      </c>
      <c r="K56" s="13" t="str">
        <f>IF('Cylinder Detail'!U58=0,"",'Cylinder Detail'!U58)</f>
        <v/>
      </c>
      <c r="L56" s="13" t="str">
        <f>IF('Cylinder Detail'!Z58=0,"",_xlfn.TEXTBEFORE('Cylinder Detail'!Z58, ","))</f>
        <v/>
      </c>
      <c r="M56" s="13" t="str">
        <f t="shared" si="10"/>
        <v/>
      </c>
      <c r="N56" s="17" t="str">
        <f>IF('Cylinder Detail'!V58=0,"",'Cylinder Detail'!V58)</f>
        <v/>
      </c>
      <c r="O56" s="17" t="str">
        <f>IF('Cylinder Detail'!Z58=0,"",_xlfn.TEXTAFTER('Cylinder Detail'!Z58, ", "))</f>
        <v/>
      </c>
      <c r="P56" s="17" t="str">
        <f>IF('Cylinder Detail'!AA58=0,"",'Cylinder Detail'!AA58)</f>
        <v/>
      </c>
      <c r="Q56" s="19" t="str">
        <f>IF('Cylinder Detail'!W58=0,"",'Cylinder Detail'!W58)</f>
        <v/>
      </c>
      <c r="R56" s="19" t="str">
        <f>IF('Cylinder Detail'!Y58=0,"",'Cylinder Detail'!Y58)</f>
        <v/>
      </c>
      <c r="S56" s="21" t="str">
        <f>IF('Cylinder Detail'!X58=0,"",'Cylinder Detail'!X58)</f>
        <v/>
      </c>
      <c r="T56" s="21" t="str">
        <f>IF('Cylinder Detail'!F58=0,"",'Cylinder Detail'!F58)</f>
        <v/>
      </c>
      <c r="U56" s="21" t="str">
        <f>IF('Cylinder Detail'!R58=0,"",'Cylinder Detail'!R58)</f>
        <v/>
      </c>
      <c r="V56" s="21" t="str">
        <f>IF('Cylinder Detail'!Q58=0,"",'Cylinder Detail'!Q58)</f>
        <v/>
      </c>
      <c r="W56" s="21" t="str">
        <f>IF('Cylinder Detail'!E58=0,"","+" &amp; 'Cylinder Detail'!E58)</f>
        <v/>
      </c>
      <c r="X56" s="21" t="str">
        <f t="shared" si="11"/>
        <v/>
      </c>
      <c r="Y56" s="21" t="str">
        <f>IF('Cylinder Detail'!S58=0,"",'Cylinder Detail'!S58)</f>
        <v/>
      </c>
      <c r="Z56" s="21" t="str">
        <f>IF('Cylinder Detail'!T58=0,"",'Cylinder Detail'!T58)</f>
        <v/>
      </c>
      <c r="AA56" s="21" t="str">
        <f>IF('Cylinder Detail'!H58=0,"",'Cylinder Detail'!H58)</f>
        <v/>
      </c>
      <c r="AB56" s="21" t="str">
        <f>IF('Cylinder Detail'!I58=0,"",'Cylinder Detail'!I58)</f>
        <v/>
      </c>
      <c r="AC56" s="22" t="str">
        <f>IF('Cylinder Detail'!AB58=0,"",'Cylinder Detail'!AB58)</f>
        <v/>
      </c>
      <c r="AD56" s="25" t="str">
        <f>IF('Sensor Detail'!F58=0,"","=" &amp; 'Sensor Detail'!F58)</f>
        <v/>
      </c>
      <c r="AE56" s="25" t="str">
        <f>IF('Sensor Detail'!H58=0,"",'Sensor Detail'!H58)</f>
        <v/>
      </c>
      <c r="AF56" s="27" t="str">
        <f>IF('Sensor Detail'!G58=0,"","-" &amp; 'Sensor Detail'!G58)</f>
        <v/>
      </c>
      <c r="AG56" s="27" t="str">
        <f>IF('Sensor Detail'!I58=0,"",'Sensor Detail'!I58)</f>
        <v/>
      </c>
      <c r="AH56" s="27" t="str">
        <f>IF('Sensor Detail'!E58=0,"","+" &amp; 'Sensor Detail'!E58)</f>
        <v/>
      </c>
      <c r="AI56" s="27" t="str">
        <f t="shared" si="12"/>
        <v/>
      </c>
      <c r="AJ56" s="27" t="str">
        <f>IF('Sensor Detail'!J58=0,"",'Sensor Detail'!J58)</f>
        <v/>
      </c>
      <c r="AK56" s="27" t="str">
        <f>IF('Sensor Detail'!K58=0,"",'Sensor Detail'!K58)</f>
        <v/>
      </c>
      <c r="AL56" s="27" t="str">
        <f>IF('Sensor Detail'!L58=0,"",'Sensor Detail'!L58)</f>
        <v/>
      </c>
      <c r="AM56" s="27" t="str">
        <f>IF('Sensor Detail'!M58=0,"",'Sensor Detail'!M58)</f>
        <v/>
      </c>
      <c r="AN56" s="27" t="str">
        <f>IF('Sensor Detail'!N58=0,"",'Sensor Detail'!N58)</f>
        <v/>
      </c>
      <c r="AO56" s="27" t="str">
        <f>IF('Sensor Detail'!O58=0,"",'Sensor Detail'!O58)</f>
        <v/>
      </c>
      <c r="AP56" s="15" t="str">
        <f t="shared" si="13"/>
        <v/>
      </c>
      <c r="AQ56" s="15" t="str">
        <f t="shared" si="14"/>
        <v/>
      </c>
    </row>
    <row r="57" spans="1:43">
      <c r="A57" s="13" t="str">
        <f t="shared" si="0"/>
        <v/>
      </c>
      <c r="B57" s="13" t="str">
        <f t="shared" si="1"/>
        <v/>
      </c>
      <c r="C57" s="15" t="str">
        <f t="shared" si="2"/>
        <v/>
      </c>
      <c r="D57" s="15" t="str">
        <f t="shared" si="3"/>
        <v/>
      </c>
      <c r="E57" s="15" t="str">
        <f t="shared" si="4"/>
        <v/>
      </c>
      <c r="F57" s="15" t="str">
        <f t="shared" si="5"/>
        <v/>
      </c>
      <c r="G57" s="15" t="str">
        <f t="shared" si="6"/>
        <v/>
      </c>
      <c r="H57" s="15" t="str">
        <f t="shared" si="7"/>
        <v/>
      </c>
      <c r="I57" s="15" t="str">
        <f t="shared" si="8"/>
        <v/>
      </c>
      <c r="J57" s="15" t="str">
        <f t="shared" si="9"/>
        <v/>
      </c>
      <c r="K57" s="13" t="str">
        <f>IF('Cylinder Detail'!U59=0,"",'Cylinder Detail'!U59)</f>
        <v/>
      </c>
      <c r="L57" s="13" t="str">
        <f>IF('Cylinder Detail'!Z59=0,"",_xlfn.TEXTBEFORE('Cylinder Detail'!Z59, ","))</f>
        <v/>
      </c>
      <c r="M57" s="13" t="str">
        <f t="shared" si="10"/>
        <v/>
      </c>
      <c r="N57" s="17" t="str">
        <f>IF('Cylinder Detail'!V59=0,"",'Cylinder Detail'!V59)</f>
        <v/>
      </c>
      <c r="O57" s="17" t="str">
        <f>IF('Cylinder Detail'!Z59=0,"",_xlfn.TEXTAFTER('Cylinder Detail'!Z59, ", "))</f>
        <v/>
      </c>
      <c r="P57" s="17" t="str">
        <f>IF('Cylinder Detail'!AA59=0,"",'Cylinder Detail'!AA59)</f>
        <v/>
      </c>
      <c r="Q57" s="19" t="str">
        <f>IF('Cylinder Detail'!W59=0,"",'Cylinder Detail'!W59)</f>
        <v/>
      </c>
      <c r="R57" s="19" t="str">
        <f>IF('Cylinder Detail'!Y59=0,"",'Cylinder Detail'!Y59)</f>
        <v/>
      </c>
      <c r="S57" s="21" t="str">
        <f>IF('Cylinder Detail'!X59=0,"",'Cylinder Detail'!X59)</f>
        <v/>
      </c>
      <c r="T57" s="21" t="str">
        <f>IF('Cylinder Detail'!F59=0,"",'Cylinder Detail'!F59)</f>
        <v/>
      </c>
      <c r="U57" s="21" t="str">
        <f>IF('Cylinder Detail'!R59=0,"",'Cylinder Detail'!R59)</f>
        <v/>
      </c>
      <c r="V57" s="21" t="str">
        <f>IF('Cylinder Detail'!Q59=0,"",'Cylinder Detail'!Q59)</f>
        <v/>
      </c>
      <c r="W57" s="21" t="str">
        <f>IF('Cylinder Detail'!E59=0,"","+" &amp; 'Cylinder Detail'!E59)</f>
        <v/>
      </c>
      <c r="X57" s="21" t="str">
        <f t="shared" si="11"/>
        <v/>
      </c>
      <c r="Y57" s="21" t="str">
        <f>IF('Cylinder Detail'!S59=0,"",'Cylinder Detail'!S59)</f>
        <v/>
      </c>
      <c r="Z57" s="21" t="str">
        <f>IF('Cylinder Detail'!T59=0,"",'Cylinder Detail'!T59)</f>
        <v/>
      </c>
      <c r="AA57" s="21" t="str">
        <f>IF('Cylinder Detail'!H59=0,"",'Cylinder Detail'!H59)</f>
        <v/>
      </c>
      <c r="AB57" s="21" t="str">
        <f>IF('Cylinder Detail'!I59=0,"",'Cylinder Detail'!I59)</f>
        <v/>
      </c>
      <c r="AC57" s="22" t="str">
        <f>IF('Cylinder Detail'!AB59=0,"",'Cylinder Detail'!AB59)</f>
        <v/>
      </c>
      <c r="AD57" s="25" t="str">
        <f>IF('Sensor Detail'!F59=0,"","=" &amp; 'Sensor Detail'!F59)</f>
        <v/>
      </c>
      <c r="AE57" s="25" t="str">
        <f>IF('Sensor Detail'!H59=0,"",'Sensor Detail'!H59)</f>
        <v/>
      </c>
      <c r="AF57" s="27" t="str">
        <f>IF('Sensor Detail'!G59=0,"","-" &amp; 'Sensor Detail'!G59)</f>
        <v/>
      </c>
      <c r="AG57" s="27" t="str">
        <f>IF('Sensor Detail'!I59=0,"",'Sensor Detail'!I59)</f>
        <v/>
      </c>
      <c r="AH57" s="27" t="str">
        <f>IF('Sensor Detail'!E59=0,"","+" &amp; 'Sensor Detail'!E59)</f>
        <v/>
      </c>
      <c r="AI57" s="27" t="str">
        <f t="shared" si="12"/>
        <v/>
      </c>
      <c r="AJ57" s="27" t="str">
        <f>IF('Sensor Detail'!J59=0,"",'Sensor Detail'!J59)</f>
        <v/>
      </c>
      <c r="AK57" s="27" t="str">
        <f>IF('Sensor Detail'!K59=0,"",'Sensor Detail'!K59)</f>
        <v/>
      </c>
      <c r="AL57" s="27" t="str">
        <f>IF('Sensor Detail'!L59=0,"",'Sensor Detail'!L59)</f>
        <v/>
      </c>
      <c r="AM57" s="27" t="str">
        <f>IF('Sensor Detail'!M59=0,"",'Sensor Detail'!M59)</f>
        <v/>
      </c>
      <c r="AN57" s="27" t="str">
        <f>IF('Sensor Detail'!N59=0,"",'Sensor Detail'!N59)</f>
        <v/>
      </c>
      <c r="AO57" s="27" t="str">
        <f>IF('Sensor Detail'!O59=0,"",'Sensor Detail'!O59)</f>
        <v/>
      </c>
      <c r="AP57" s="15" t="str">
        <f t="shared" si="13"/>
        <v/>
      </c>
      <c r="AQ57" s="15" t="str">
        <f t="shared" si="14"/>
        <v/>
      </c>
    </row>
    <row r="58" spans="1:43">
      <c r="A58" s="13" t="str">
        <f t="shared" si="0"/>
        <v/>
      </c>
      <c r="B58" s="13" t="str">
        <f t="shared" si="1"/>
        <v/>
      </c>
      <c r="C58" s="15" t="str">
        <f t="shared" si="2"/>
        <v/>
      </c>
      <c r="D58" s="15" t="str">
        <f t="shared" si="3"/>
        <v/>
      </c>
      <c r="E58" s="15" t="str">
        <f t="shared" si="4"/>
        <v/>
      </c>
      <c r="F58" s="15" t="str">
        <f t="shared" si="5"/>
        <v/>
      </c>
      <c r="G58" s="15" t="str">
        <f t="shared" si="6"/>
        <v/>
      </c>
      <c r="H58" s="15" t="str">
        <f t="shared" si="7"/>
        <v/>
      </c>
      <c r="I58" s="15" t="str">
        <f t="shared" si="8"/>
        <v/>
      </c>
      <c r="J58" s="15" t="str">
        <f t="shared" si="9"/>
        <v/>
      </c>
      <c r="K58" s="13" t="str">
        <f>IF('Cylinder Detail'!U60=0,"",'Cylinder Detail'!U60)</f>
        <v/>
      </c>
      <c r="L58" s="13" t="str">
        <f>IF('Cylinder Detail'!Z60=0,"",_xlfn.TEXTBEFORE('Cylinder Detail'!Z60, ","))</f>
        <v/>
      </c>
      <c r="M58" s="13" t="str">
        <f t="shared" si="10"/>
        <v/>
      </c>
      <c r="N58" s="17" t="str">
        <f>IF('Cylinder Detail'!V60=0,"",'Cylinder Detail'!V60)</f>
        <v/>
      </c>
      <c r="O58" s="17" t="str">
        <f>IF('Cylinder Detail'!Z60=0,"",_xlfn.TEXTAFTER('Cylinder Detail'!Z60, ", "))</f>
        <v/>
      </c>
      <c r="P58" s="17" t="str">
        <f>IF('Cylinder Detail'!AA60=0,"",'Cylinder Detail'!AA60)</f>
        <v/>
      </c>
      <c r="Q58" s="19" t="str">
        <f>IF('Cylinder Detail'!W60=0,"",'Cylinder Detail'!W60)</f>
        <v/>
      </c>
      <c r="R58" s="19" t="str">
        <f>IF('Cylinder Detail'!Y60=0,"",'Cylinder Detail'!Y60)</f>
        <v/>
      </c>
      <c r="S58" s="21" t="str">
        <f>IF('Cylinder Detail'!X60=0,"",'Cylinder Detail'!X60)</f>
        <v/>
      </c>
      <c r="T58" s="21" t="str">
        <f>IF('Cylinder Detail'!F60=0,"",'Cylinder Detail'!F60)</f>
        <v/>
      </c>
      <c r="U58" s="21" t="str">
        <f>IF('Cylinder Detail'!R60=0,"",'Cylinder Detail'!R60)</f>
        <v/>
      </c>
      <c r="V58" s="21" t="str">
        <f>IF('Cylinder Detail'!Q60=0,"",'Cylinder Detail'!Q60)</f>
        <v/>
      </c>
      <c r="W58" s="21" t="str">
        <f>IF('Cylinder Detail'!E60=0,"","+" &amp; 'Cylinder Detail'!E60)</f>
        <v/>
      </c>
      <c r="X58" s="21" t="str">
        <f t="shared" si="11"/>
        <v/>
      </c>
      <c r="Y58" s="21" t="str">
        <f>IF('Cylinder Detail'!S60=0,"",'Cylinder Detail'!S60)</f>
        <v/>
      </c>
      <c r="Z58" s="21" t="str">
        <f>IF('Cylinder Detail'!T60=0,"",'Cylinder Detail'!T60)</f>
        <v/>
      </c>
      <c r="AA58" s="21" t="str">
        <f>IF('Cylinder Detail'!H60=0,"",'Cylinder Detail'!H60)</f>
        <v/>
      </c>
      <c r="AB58" s="21" t="str">
        <f>IF('Cylinder Detail'!I60=0,"",'Cylinder Detail'!I60)</f>
        <v/>
      </c>
      <c r="AC58" s="22" t="str">
        <f>IF('Cylinder Detail'!AB60=0,"",'Cylinder Detail'!AB60)</f>
        <v/>
      </c>
      <c r="AD58" s="25" t="str">
        <f>IF('Sensor Detail'!F60=0,"","=" &amp; 'Sensor Detail'!F60)</f>
        <v/>
      </c>
      <c r="AE58" s="25" t="str">
        <f>IF('Sensor Detail'!H60=0,"",'Sensor Detail'!H60)</f>
        <v/>
      </c>
      <c r="AF58" s="27" t="str">
        <f>IF('Sensor Detail'!G60=0,"","-" &amp; 'Sensor Detail'!G60)</f>
        <v/>
      </c>
      <c r="AG58" s="27" t="str">
        <f>IF('Sensor Detail'!I60=0,"",'Sensor Detail'!I60)</f>
        <v/>
      </c>
      <c r="AH58" s="27" t="str">
        <f>IF('Sensor Detail'!E60=0,"","+" &amp; 'Sensor Detail'!E60)</f>
        <v/>
      </c>
      <c r="AI58" s="27" t="str">
        <f t="shared" si="12"/>
        <v/>
      </c>
      <c r="AJ58" s="27" t="str">
        <f>IF('Sensor Detail'!J60=0,"",'Sensor Detail'!J60)</f>
        <v/>
      </c>
      <c r="AK58" s="27" t="str">
        <f>IF('Sensor Detail'!K60=0,"",'Sensor Detail'!K60)</f>
        <v/>
      </c>
      <c r="AL58" s="27" t="str">
        <f>IF('Sensor Detail'!L60=0,"",'Sensor Detail'!L60)</f>
        <v/>
      </c>
      <c r="AM58" s="27" t="str">
        <f>IF('Sensor Detail'!M60=0,"",'Sensor Detail'!M60)</f>
        <v/>
      </c>
      <c r="AN58" s="27" t="str">
        <f>IF('Sensor Detail'!N60=0,"",'Sensor Detail'!N60)</f>
        <v/>
      </c>
      <c r="AO58" s="27" t="str">
        <f>IF('Sensor Detail'!O60=0,"",'Sensor Detail'!O60)</f>
        <v/>
      </c>
      <c r="AP58" s="15" t="str">
        <f t="shared" si="13"/>
        <v/>
      </c>
      <c r="AQ58" s="15" t="str">
        <f t="shared" si="14"/>
        <v/>
      </c>
    </row>
    <row r="59" spans="1:43">
      <c r="A59" s="13" t="str">
        <f t="shared" si="0"/>
        <v/>
      </c>
      <c r="B59" s="13" t="str">
        <f t="shared" si="1"/>
        <v/>
      </c>
      <c r="C59" s="15" t="str">
        <f t="shared" si="2"/>
        <v/>
      </c>
      <c r="D59" s="15" t="str">
        <f t="shared" si="3"/>
        <v/>
      </c>
      <c r="E59" s="15" t="str">
        <f t="shared" si="4"/>
        <v/>
      </c>
      <c r="F59" s="15" t="str">
        <f t="shared" si="5"/>
        <v/>
      </c>
      <c r="G59" s="15" t="str">
        <f t="shared" si="6"/>
        <v/>
      </c>
      <c r="H59" s="15" t="str">
        <f t="shared" si="7"/>
        <v/>
      </c>
      <c r="I59" s="15" t="str">
        <f t="shared" si="8"/>
        <v/>
      </c>
      <c r="J59" s="15" t="str">
        <f t="shared" si="9"/>
        <v/>
      </c>
      <c r="K59" s="13" t="str">
        <f>IF('Cylinder Detail'!U61=0,"",'Cylinder Detail'!U61)</f>
        <v/>
      </c>
      <c r="L59" s="13" t="str">
        <f>IF('Cylinder Detail'!Z61=0,"",_xlfn.TEXTBEFORE('Cylinder Detail'!Z61, ","))</f>
        <v/>
      </c>
      <c r="M59" s="13" t="str">
        <f t="shared" si="10"/>
        <v/>
      </c>
      <c r="N59" s="17" t="str">
        <f>IF('Cylinder Detail'!V61=0,"",'Cylinder Detail'!V61)</f>
        <v/>
      </c>
      <c r="O59" s="17" t="str">
        <f>IF('Cylinder Detail'!Z61=0,"",_xlfn.TEXTAFTER('Cylinder Detail'!Z61, ", "))</f>
        <v/>
      </c>
      <c r="P59" s="17" t="str">
        <f>IF('Cylinder Detail'!AA61=0,"",'Cylinder Detail'!AA61)</f>
        <v/>
      </c>
      <c r="Q59" s="19" t="str">
        <f>IF('Cylinder Detail'!W61=0,"",'Cylinder Detail'!W61)</f>
        <v/>
      </c>
      <c r="R59" s="19" t="str">
        <f>IF('Cylinder Detail'!Y61=0,"",'Cylinder Detail'!Y61)</f>
        <v/>
      </c>
      <c r="S59" s="21" t="str">
        <f>IF('Cylinder Detail'!X61=0,"",'Cylinder Detail'!X61)</f>
        <v/>
      </c>
      <c r="T59" s="21" t="str">
        <f>IF('Cylinder Detail'!F61=0,"",'Cylinder Detail'!F61)</f>
        <v/>
      </c>
      <c r="U59" s="21" t="str">
        <f>IF('Cylinder Detail'!R61=0,"",'Cylinder Detail'!R61)</f>
        <v/>
      </c>
      <c r="V59" s="21" t="str">
        <f>IF('Cylinder Detail'!Q61=0,"",'Cylinder Detail'!Q61)</f>
        <v/>
      </c>
      <c r="W59" s="21" t="str">
        <f>IF('Cylinder Detail'!E61=0,"","+" &amp; 'Cylinder Detail'!E61)</f>
        <v/>
      </c>
      <c r="X59" s="21" t="str">
        <f t="shared" si="11"/>
        <v/>
      </c>
      <c r="Y59" s="21" t="str">
        <f>IF('Cylinder Detail'!S61=0,"",'Cylinder Detail'!S61)</f>
        <v/>
      </c>
      <c r="Z59" s="21" t="str">
        <f>IF('Cylinder Detail'!T61=0,"",'Cylinder Detail'!T61)</f>
        <v/>
      </c>
      <c r="AA59" s="21" t="str">
        <f>IF('Cylinder Detail'!H61=0,"",'Cylinder Detail'!H61)</f>
        <v/>
      </c>
      <c r="AB59" s="21" t="str">
        <f>IF('Cylinder Detail'!I61=0,"",'Cylinder Detail'!I61)</f>
        <v/>
      </c>
      <c r="AC59" s="22" t="str">
        <f>IF('Cylinder Detail'!AB61=0,"",'Cylinder Detail'!AB61)</f>
        <v/>
      </c>
      <c r="AD59" s="25" t="str">
        <f>IF('Sensor Detail'!F61=0,"","=" &amp; 'Sensor Detail'!F61)</f>
        <v/>
      </c>
      <c r="AE59" s="25" t="str">
        <f>IF('Sensor Detail'!H61=0,"",'Sensor Detail'!H61)</f>
        <v/>
      </c>
      <c r="AF59" s="27" t="str">
        <f>IF('Sensor Detail'!G61=0,"","-" &amp; 'Sensor Detail'!G61)</f>
        <v/>
      </c>
      <c r="AG59" s="27" t="str">
        <f>IF('Sensor Detail'!I61=0,"",'Sensor Detail'!I61)</f>
        <v/>
      </c>
      <c r="AH59" s="27" t="str">
        <f>IF('Sensor Detail'!E61=0,"","+" &amp; 'Sensor Detail'!E61)</f>
        <v/>
      </c>
      <c r="AI59" s="27" t="str">
        <f t="shared" si="12"/>
        <v/>
      </c>
      <c r="AJ59" s="27" t="str">
        <f>IF('Sensor Detail'!J61=0,"",'Sensor Detail'!J61)</f>
        <v/>
      </c>
      <c r="AK59" s="27" t="str">
        <f>IF('Sensor Detail'!K61=0,"",'Sensor Detail'!K61)</f>
        <v/>
      </c>
      <c r="AL59" s="27" t="str">
        <f>IF('Sensor Detail'!L61=0,"",'Sensor Detail'!L61)</f>
        <v/>
      </c>
      <c r="AM59" s="27" t="str">
        <f>IF('Sensor Detail'!M61=0,"",'Sensor Detail'!M61)</f>
        <v/>
      </c>
      <c r="AN59" s="27" t="str">
        <f>IF('Sensor Detail'!N61=0,"",'Sensor Detail'!N61)</f>
        <v/>
      </c>
      <c r="AO59" s="27" t="str">
        <f>IF('Sensor Detail'!O61=0,"",'Sensor Detail'!O61)</f>
        <v/>
      </c>
      <c r="AP59" s="15" t="str">
        <f t="shared" si="13"/>
        <v/>
      </c>
      <c r="AQ59" s="15" t="str">
        <f t="shared" si="14"/>
        <v/>
      </c>
    </row>
    <row r="60" spans="1:43">
      <c r="A60" s="13" t="str">
        <f t="shared" si="0"/>
        <v/>
      </c>
      <c r="B60" s="13" t="str">
        <f t="shared" si="1"/>
        <v/>
      </c>
      <c r="C60" s="15" t="str">
        <f t="shared" si="2"/>
        <v/>
      </c>
      <c r="D60" s="15" t="str">
        <f t="shared" si="3"/>
        <v/>
      </c>
      <c r="E60" s="15" t="str">
        <f t="shared" si="4"/>
        <v/>
      </c>
      <c r="F60" s="15" t="str">
        <f t="shared" si="5"/>
        <v/>
      </c>
      <c r="G60" s="15" t="str">
        <f t="shared" si="6"/>
        <v/>
      </c>
      <c r="H60" s="15" t="str">
        <f t="shared" si="7"/>
        <v/>
      </c>
      <c r="I60" s="15" t="str">
        <f t="shared" si="8"/>
        <v/>
      </c>
      <c r="J60" s="15" t="str">
        <f t="shared" si="9"/>
        <v/>
      </c>
      <c r="K60" s="13" t="str">
        <f>IF('Cylinder Detail'!U62=0,"",'Cylinder Detail'!U62)</f>
        <v/>
      </c>
      <c r="L60" s="13" t="str">
        <f>IF('Cylinder Detail'!Z62=0,"",_xlfn.TEXTBEFORE('Cylinder Detail'!Z62, ","))</f>
        <v/>
      </c>
      <c r="M60" s="13" t="str">
        <f t="shared" si="10"/>
        <v/>
      </c>
      <c r="N60" s="17" t="str">
        <f>IF('Cylinder Detail'!V62=0,"",'Cylinder Detail'!V62)</f>
        <v/>
      </c>
      <c r="O60" s="17" t="str">
        <f>IF('Cylinder Detail'!Z62=0,"",_xlfn.TEXTAFTER('Cylinder Detail'!Z62, ", "))</f>
        <v/>
      </c>
      <c r="P60" s="17" t="str">
        <f>IF('Cylinder Detail'!AA62=0,"",'Cylinder Detail'!AA62)</f>
        <v/>
      </c>
      <c r="Q60" s="19" t="str">
        <f>IF('Cylinder Detail'!W62=0,"",'Cylinder Detail'!W62)</f>
        <v/>
      </c>
      <c r="R60" s="19" t="str">
        <f>IF('Cylinder Detail'!Y62=0,"",'Cylinder Detail'!Y62)</f>
        <v/>
      </c>
      <c r="S60" s="21" t="str">
        <f>IF('Cylinder Detail'!X62=0,"",'Cylinder Detail'!X62)</f>
        <v/>
      </c>
      <c r="T60" s="21" t="str">
        <f>IF('Cylinder Detail'!F62=0,"",'Cylinder Detail'!F62)</f>
        <v/>
      </c>
      <c r="U60" s="21" t="str">
        <f>IF('Cylinder Detail'!R62=0,"",'Cylinder Detail'!R62)</f>
        <v/>
      </c>
      <c r="V60" s="21" t="str">
        <f>IF('Cylinder Detail'!Q62=0,"",'Cylinder Detail'!Q62)</f>
        <v/>
      </c>
      <c r="W60" s="21" t="str">
        <f>IF('Cylinder Detail'!E62=0,"","+" &amp; 'Cylinder Detail'!E62)</f>
        <v/>
      </c>
      <c r="X60" s="21" t="str">
        <f t="shared" si="11"/>
        <v/>
      </c>
      <c r="Y60" s="21" t="str">
        <f>IF('Cylinder Detail'!S62=0,"",'Cylinder Detail'!S62)</f>
        <v/>
      </c>
      <c r="Z60" s="21" t="str">
        <f>IF('Cylinder Detail'!T62=0,"",'Cylinder Detail'!T62)</f>
        <v/>
      </c>
      <c r="AA60" s="21" t="str">
        <f>IF('Cylinder Detail'!H62=0,"",'Cylinder Detail'!H62)</f>
        <v/>
      </c>
      <c r="AB60" s="21" t="str">
        <f>IF('Cylinder Detail'!I62=0,"",'Cylinder Detail'!I62)</f>
        <v/>
      </c>
      <c r="AC60" s="22" t="str">
        <f>IF('Cylinder Detail'!AB62=0,"",'Cylinder Detail'!AB62)</f>
        <v/>
      </c>
      <c r="AD60" s="25" t="str">
        <f>IF('Sensor Detail'!F62=0,"","=" &amp; 'Sensor Detail'!F62)</f>
        <v/>
      </c>
      <c r="AE60" s="25" t="str">
        <f>IF('Sensor Detail'!H62=0,"",'Sensor Detail'!H62)</f>
        <v/>
      </c>
      <c r="AF60" s="27" t="str">
        <f>IF('Sensor Detail'!G62=0,"","-" &amp; 'Sensor Detail'!G62)</f>
        <v/>
      </c>
      <c r="AG60" s="27" t="str">
        <f>IF('Sensor Detail'!I62=0,"",'Sensor Detail'!I62)</f>
        <v/>
      </c>
      <c r="AH60" s="27" t="str">
        <f>IF('Sensor Detail'!E62=0,"","+" &amp; 'Sensor Detail'!E62)</f>
        <v/>
      </c>
      <c r="AI60" s="27" t="str">
        <f t="shared" si="12"/>
        <v/>
      </c>
      <c r="AJ60" s="27" t="str">
        <f>IF('Sensor Detail'!J62=0,"",'Sensor Detail'!J62)</f>
        <v/>
      </c>
      <c r="AK60" s="27" t="str">
        <f>IF('Sensor Detail'!K62=0,"",'Sensor Detail'!K62)</f>
        <v/>
      </c>
      <c r="AL60" s="27" t="str">
        <f>IF('Sensor Detail'!L62=0,"",'Sensor Detail'!L62)</f>
        <v/>
      </c>
      <c r="AM60" s="27" t="str">
        <f>IF('Sensor Detail'!M62=0,"",'Sensor Detail'!M62)</f>
        <v/>
      </c>
      <c r="AN60" s="27" t="str">
        <f>IF('Sensor Detail'!N62=0,"",'Sensor Detail'!N62)</f>
        <v/>
      </c>
      <c r="AO60" s="27" t="str">
        <f>IF('Sensor Detail'!O62=0,"",'Sensor Detail'!O62)</f>
        <v/>
      </c>
      <c r="AP60" s="15" t="str">
        <f t="shared" si="13"/>
        <v/>
      </c>
      <c r="AQ60" s="15" t="str">
        <f t="shared" si="14"/>
        <v/>
      </c>
    </row>
    <row r="61" spans="1:43">
      <c r="A61" s="13" t="str">
        <f t="shared" si="0"/>
        <v/>
      </c>
      <c r="B61" s="13" t="str">
        <f t="shared" si="1"/>
        <v/>
      </c>
      <c r="C61" s="15" t="str">
        <f t="shared" si="2"/>
        <v/>
      </c>
      <c r="D61" s="15" t="str">
        <f t="shared" si="3"/>
        <v/>
      </c>
      <c r="E61" s="15" t="str">
        <f t="shared" si="4"/>
        <v/>
      </c>
      <c r="F61" s="15" t="str">
        <f t="shared" si="5"/>
        <v/>
      </c>
      <c r="G61" s="15" t="str">
        <f t="shared" si="6"/>
        <v/>
      </c>
      <c r="H61" s="15" t="str">
        <f t="shared" si="7"/>
        <v/>
      </c>
      <c r="I61" s="15" t="str">
        <f t="shared" si="8"/>
        <v/>
      </c>
      <c r="J61" s="15" t="str">
        <f t="shared" si="9"/>
        <v/>
      </c>
      <c r="K61" s="13" t="str">
        <f>IF('Cylinder Detail'!U63=0,"",'Cylinder Detail'!U63)</f>
        <v/>
      </c>
      <c r="L61" s="13" t="str">
        <f>IF('Cylinder Detail'!Z63=0,"",_xlfn.TEXTBEFORE('Cylinder Detail'!Z63, ","))</f>
        <v/>
      </c>
      <c r="M61" s="13" t="str">
        <f t="shared" si="10"/>
        <v/>
      </c>
      <c r="N61" s="17" t="str">
        <f>IF('Cylinder Detail'!V63=0,"",'Cylinder Detail'!V63)</f>
        <v/>
      </c>
      <c r="O61" s="17" t="str">
        <f>IF('Cylinder Detail'!Z63=0,"",_xlfn.TEXTAFTER('Cylinder Detail'!Z63, ", "))</f>
        <v/>
      </c>
      <c r="P61" s="17" t="str">
        <f>IF('Cylinder Detail'!AA63=0,"",'Cylinder Detail'!AA63)</f>
        <v/>
      </c>
      <c r="Q61" s="19" t="str">
        <f>IF('Cylinder Detail'!W63=0,"",'Cylinder Detail'!W63)</f>
        <v/>
      </c>
      <c r="R61" s="19" t="str">
        <f>IF('Cylinder Detail'!Y63=0,"",'Cylinder Detail'!Y63)</f>
        <v/>
      </c>
      <c r="S61" s="21" t="str">
        <f>IF('Cylinder Detail'!X63=0,"",'Cylinder Detail'!X63)</f>
        <v/>
      </c>
      <c r="T61" s="21" t="str">
        <f>IF('Cylinder Detail'!F63=0,"",'Cylinder Detail'!F63)</f>
        <v/>
      </c>
      <c r="U61" s="21" t="str">
        <f>IF('Cylinder Detail'!R63=0,"",'Cylinder Detail'!R63)</f>
        <v/>
      </c>
      <c r="V61" s="21" t="str">
        <f>IF('Cylinder Detail'!Q63=0,"",'Cylinder Detail'!Q63)</f>
        <v/>
      </c>
      <c r="W61" s="21" t="str">
        <f>IF('Cylinder Detail'!E63=0,"","+" &amp; 'Cylinder Detail'!E63)</f>
        <v/>
      </c>
      <c r="X61" s="21" t="str">
        <f t="shared" si="11"/>
        <v/>
      </c>
      <c r="Y61" s="21" t="str">
        <f>IF('Cylinder Detail'!S63=0,"",'Cylinder Detail'!S63)</f>
        <v/>
      </c>
      <c r="Z61" s="21" t="str">
        <f>IF('Cylinder Detail'!T63=0,"",'Cylinder Detail'!T63)</f>
        <v/>
      </c>
      <c r="AA61" s="21" t="str">
        <f>IF('Cylinder Detail'!H63=0,"",'Cylinder Detail'!H63)</f>
        <v/>
      </c>
      <c r="AB61" s="21" t="str">
        <f>IF('Cylinder Detail'!I63=0,"",'Cylinder Detail'!I63)</f>
        <v/>
      </c>
      <c r="AC61" s="22" t="str">
        <f>IF('Cylinder Detail'!AB63=0,"",'Cylinder Detail'!AB63)</f>
        <v/>
      </c>
      <c r="AD61" s="25" t="str">
        <f>IF('Sensor Detail'!F63=0,"","=" &amp; 'Sensor Detail'!F63)</f>
        <v/>
      </c>
      <c r="AE61" s="25" t="str">
        <f>IF('Sensor Detail'!H63=0,"",'Sensor Detail'!H63)</f>
        <v/>
      </c>
      <c r="AF61" s="27" t="str">
        <f>IF('Sensor Detail'!G63=0,"","-" &amp; 'Sensor Detail'!G63)</f>
        <v/>
      </c>
      <c r="AG61" s="27" t="str">
        <f>IF('Sensor Detail'!I63=0,"",'Sensor Detail'!I63)</f>
        <v/>
      </c>
      <c r="AH61" s="27" t="str">
        <f>IF('Sensor Detail'!E63=0,"","+" &amp; 'Sensor Detail'!E63)</f>
        <v/>
      </c>
      <c r="AI61" s="27" t="str">
        <f t="shared" si="12"/>
        <v/>
      </c>
      <c r="AJ61" s="27" t="str">
        <f>IF('Sensor Detail'!J63=0,"",'Sensor Detail'!J63)</f>
        <v/>
      </c>
      <c r="AK61" s="27" t="str">
        <f>IF('Sensor Detail'!K63=0,"",'Sensor Detail'!K63)</f>
        <v/>
      </c>
      <c r="AL61" s="27" t="str">
        <f>IF('Sensor Detail'!L63=0,"",'Sensor Detail'!L63)</f>
        <v/>
      </c>
      <c r="AM61" s="27" t="str">
        <f>IF('Sensor Detail'!M63=0,"",'Sensor Detail'!M63)</f>
        <v/>
      </c>
      <c r="AN61" s="27" t="str">
        <f>IF('Sensor Detail'!N63=0,"",'Sensor Detail'!N63)</f>
        <v/>
      </c>
      <c r="AO61" s="27" t="str">
        <f>IF('Sensor Detail'!O63=0,"",'Sensor Detail'!O63)</f>
        <v/>
      </c>
      <c r="AP61" s="15" t="str">
        <f t="shared" si="13"/>
        <v/>
      </c>
      <c r="AQ61" s="15" t="str">
        <f t="shared" si="14"/>
        <v/>
      </c>
    </row>
    <row r="62" spans="1:43">
      <c r="A62" s="13" t="str">
        <f t="shared" si="0"/>
        <v/>
      </c>
      <c r="B62" s="13" t="str">
        <f t="shared" si="1"/>
        <v/>
      </c>
      <c r="C62" s="15" t="str">
        <f t="shared" si="2"/>
        <v/>
      </c>
      <c r="D62" s="15" t="str">
        <f t="shared" si="3"/>
        <v/>
      </c>
      <c r="E62" s="15" t="str">
        <f t="shared" si="4"/>
        <v/>
      </c>
      <c r="F62" s="15" t="str">
        <f t="shared" si="5"/>
        <v/>
      </c>
      <c r="G62" s="15" t="str">
        <f t="shared" si="6"/>
        <v/>
      </c>
      <c r="H62" s="15" t="str">
        <f t="shared" si="7"/>
        <v/>
      </c>
      <c r="I62" s="15" t="str">
        <f t="shared" si="8"/>
        <v/>
      </c>
      <c r="J62" s="15" t="str">
        <f t="shared" si="9"/>
        <v/>
      </c>
      <c r="K62" s="13" t="str">
        <f>IF('Cylinder Detail'!U64=0,"",'Cylinder Detail'!U64)</f>
        <v/>
      </c>
      <c r="L62" s="13" t="str">
        <f>IF('Cylinder Detail'!Z64=0,"",_xlfn.TEXTBEFORE('Cylinder Detail'!Z64, ","))</f>
        <v/>
      </c>
      <c r="M62" s="13" t="str">
        <f t="shared" si="10"/>
        <v/>
      </c>
      <c r="N62" s="17" t="str">
        <f>IF('Cylinder Detail'!V64=0,"",'Cylinder Detail'!V64)</f>
        <v/>
      </c>
      <c r="O62" s="17" t="str">
        <f>IF('Cylinder Detail'!Z64=0,"",_xlfn.TEXTAFTER('Cylinder Detail'!Z64, ", "))</f>
        <v/>
      </c>
      <c r="P62" s="17" t="str">
        <f>IF('Cylinder Detail'!AA64=0,"",'Cylinder Detail'!AA64)</f>
        <v/>
      </c>
      <c r="Q62" s="19" t="str">
        <f>IF('Cylinder Detail'!W64=0,"",'Cylinder Detail'!W64)</f>
        <v/>
      </c>
      <c r="R62" s="19" t="str">
        <f>IF('Cylinder Detail'!Y64=0,"",'Cylinder Detail'!Y64)</f>
        <v/>
      </c>
      <c r="S62" s="21" t="str">
        <f>IF('Cylinder Detail'!X64=0,"",'Cylinder Detail'!X64)</f>
        <v/>
      </c>
      <c r="T62" s="21" t="str">
        <f>IF('Cylinder Detail'!F64=0,"",'Cylinder Detail'!F64)</f>
        <v/>
      </c>
      <c r="U62" s="21" t="str">
        <f>IF('Cylinder Detail'!R64=0,"",'Cylinder Detail'!R64)</f>
        <v/>
      </c>
      <c r="V62" s="21" t="str">
        <f>IF('Cylinder Detail'!Q64=0,"",'Cylinder Detail'!Q64)</f>
        <v/>
      </c>
      <c r="W62" s="21" t="str">
        <f>IF('Cylinder Detail'!E64=0,"","+" &amp; 'Cylinder Detail'!E64)</f>
        <v/>
      </c>
      <c r="X62" s="21" t="str">
        <f t="shared" si="11"/>
        <v/>
      </c>
      <c r="Y62" s="21" t="str">
        <f>IF('Cylinder Detail'!S64=0,"",'Cylinder Detail'!S64)</f>
        <v/>
      </c>
      <c r="Z62" s="21" t="str">
        <f>IF('Cylinder Detail'!T64=0,"",'Cylinder Detail'!T64)</f>
        <v/>
      </c>
      <c r="AA62" s="21" t="str">
        <f>IF('Cylinder Detail'!H64=0,"",'Cylinder Detail'!H64)</f>
        <v/>
      </c>
      <c r="AB62" s="21" t="str">
        <f>IF('Cylinder Detail'!I64=0,"",'Cylinder Detail'!I64)</f>
        <v/>
      </c>
      <c r="AC62" s="22" t="str">
        <f>IF('Cylinder Detail'!AB64=0,"",'Cylinder Detail'!AB64)</f>
        <v/>
      </c>
      <c r="AD62" s="25" t="str">
        <f>IF('Sensor Detail'!F64=0,"","=" &amp; 'Sensor Detail'!F64)</f>
        <v/>
      </c>
      <c r="AE62" s="25" t="str">
        <f>IF('Sensor Detail'!H64=0,"",'Sensor Detail'!H64)</f>
        <v/>
      </c>
      <c r="AF62" s="27" t="str">
        <f>IF('Sensor Detail'!G64=0,"","-" &amp; 'Sensor Detail'!G64)</f>
        <v/>
      </c>
      <c r="AG62" s="27" t="str">
        <f>IF('Sensor Detail'!I64=0,"",'Sensor Detail'!I64)</f>
        <v/>
      </c>
      <c r="AH62" s="27" t="str">
        <f>IF('Sensor Detail'!E64=0,"","+" &amp; 'Sensor Detail'!E64)</f>
        <v/>
      </c>
      <c r="AI62" s="27" t="str">
        <f t="shared" si="12"/>
        <v/>
      </c>
      <c r="AJ62" s="27" t="str">
        <f>IF('Sensor Detail'!J64=0,"",'Sensor Detail'!J64)</f>
        <v/>
      </c>
      <c r="AK62" s="27" t="str">
        <f>IF('Sensor Detail'!K64=0,"",'Sensor Detail'!K64)</f>
        <v/>
      </c>
      <c r="AL62" s="27" t="str">
        <f>IF('Sensor Detail'!L64=0,"",'Sensor Detail'!L64)</f>
        <v/>
      </c>
      <c r="AM62" s="27" t="str">
        <f>IF('Sensor Detail'!M64=0,"",'Sensor Detail'!M64)</f>
        <v/>
      </c>
      <c r="AN62" s="27" t="str">
        <f>IF('Sensor Detail'!N64=0,"",'Sensor Detail'!N64)</f>
        <v/>
      </c>
      <c r="AO62" s="27" t="str">
        <f>IF('Sensor Detail'!O64=0,"",'Sensor Detail'!O64)</f>
        <v/>
      </c>
      <c r="AP62" s="15" t="str">
        <f t="shared" si="13"/>
        <v/>
      </c>
      <c r="AQ62" s="15" t="str">
        <f t="shared" si="14"/>
        <v/>
      </c>
    </row>
    <row r="63" spans="1:43">
      <c r="A63" s="13" t="str">
        <f t="shared" si="0"/>
        <v/>
      </c>
      <c r="B63" s="13" t="str">
        <f t="shared" si="1"/>
        <v/>
      </c>
      <c r="C63" s="15" t="str">
        <f t="shared" si="2"/>
        <v/>
      </c>
      <c r="D63" s="15" t="str">
        <f t="shared" si="3"/>
        <v/>
      </c>
      <c r="E63" s="15" t="str">
        <f t="shared" si="4"/>
        <v/>
      </c>
      <c r="F63" s="15" t="str">
        <f t="shared" si="5"/>
        <v/>
      </c>
      <c r="G63" s="15" t="str">
        <f t="shared" si="6"/>
        <v/>
      </c>
      <c r="H63" s="15" t="str">
        <f t="shared" si="7"/>
        <v/>
      </c>
      <c r="I63" s="15" t="str">
        <f t="shared" si="8"/>
        <v/>
      </c>
      <c r="J63" s="15" t="str">
        <f t="shared" si="9"/>
        <v/>
      </c>
      <c r="K63" s="13" t="str">
        <f>IF('Cylinder Detail'!U65=0,"",'Cylinder Detail'!U65)</f>
        <v/>
      </c>
      <c r="L63" s="13" t="str">
        <f>IF('Cylinder Detail'!Z65=0,"",_xlfn.TEXTBEFORE('Cylinder Detail'!Z65, ","))</f>
        <v/>
      </c>
      <c r="M63" s="13" t="str">
        <f t="shared" si="10"/>
        <v/>
      </c>
      <c r="N63" s="17" t="str">
        <f>IF('Cylinder Detail'!V65=0,"",'Cylinder Detail'!V65)</f>
        <v/>
      </c>
      <c r="O63" s="17" t="str">
        <f>IF('Cylinder Detail'!Z65=0,"",_xlfn.TEXTAFTER('Cylinder Detail'!Z65, ", "))</f>
        <v/>
      </c>
      <c r="P63" s="17" t="str">
        <f>IF('Cylinder Detail'!AA65=0,"",'Cylinder Detail'!AA65)</f>
        <v/>
      </c>
      <c r="Q63" s="19" t="str">
        <f>IF('Cylinder Detail'!W65=0,"",'Cylinder Detail'!W65)</f>
        <v/>
      </c>
      <c r="R63" s="19" t="str">
        <f>IF('Cylinder Detail'!Y65=0,"",'Cylinder Detail'!Y65)</f>
        <v/>
      </c>
      <c r="S63" s="21" t="str">
        <f>IF('Cylinder Detail'!X65=0,"",'Cylinder Detail'!X65)</f>
        <v/>
      </c>
      <c r="T63" s="21" t="str">
        <f>IF('Cylinder Detail'!F65=0,"",'Cylinder Detail'!F65)</f>
        <v/>
      </c>
      <c r="U63" s="21" t="str">
        <f>IF('Cylinder Detail'!R65=0,"",'Cylinder Detail'!R65)</f>
        <v/>
      </c>
      <c r="V63" s="21" t="str">
        <f>IF('Cylinder Detail'!Q65=0,"",'Cylinder Detail'!Q65)</f>
        <v/>
      </c>
      <c r="W63" s="21" t="str">
        <f>IF('Cylinder Detail'!E65=0,"","+" &amp; 'Cylinder Detail'!E65)</f>
        <v/>
      </c>
      <c r="X63" s="21" t="str">
        <f t="shared" si="11"/>
        <v/>
      </c>
      <c r="Y63" s="21" t="str">
        <f>IF('Cylinder Detail'!S65=0,"",'Cylinder Detail'!S65)</f>
        <v/>
      </c>
      <c r="Z63" s="21" t="str">
        <f>IF('Cylinder Detail'!T65=0,"",'Cylinder Detail'!T65)</f>
        <v/>
      </c>
      <c r="AA63" s="21" t="str">
        <f>IF('Cylinder Detail'!H65=0,"",'Cylinder Detail'!H65)</f>
        <v/>
      </c>
      <c r="AB63" s="21" t="str">
        <f>IF('Cylinder Detail'!I65=0,"",'Cylinder Detail'!I65)</f>
        <v/>
      </c>
      <c r="AC63" s="22" t="str">
        <f>IF('Cylinder Detail'!AB65=0,"",'Cylinder Detail'!AB65)</f>
        <v/>
      </c>
      <c r="AD63" s="25" t="str">
        <f>IF('Sensor Detail'!F65=0,"","=" &amp; 'Sensor Detail'!F65)</f>
        <v/>
      </c>
      <c r="AE63" s="25" t="str">
        <f>IF('Sensor Detail'!H65=0,"",'Sensor Detail'!H65)</f>
        <v/>
      </c>
      <c r="AF63" s="27" t="str">
        <f>IF('Sensor Detail'!G65=0,"","-" &amp; 'Sensor Detail'!G65)</f>
        <v/>
      </c>
      <c r="AG63" s="27" t="str">
        <f>IF('Sensor Detail'!I65=0,"",'Sensor Detail'!I65)</f>
        <v/>
      </c>
      <c r="AH63" s="27" t="str">
        <f>IF('Sensor Detail'!E65=0,"","+" &amp; 'Sensor Detail'!E65)</f>
        <v/>
      </c>
      <c r="AI63" s="27" t="str">
        <f t="shared" si="12"/>
        <v/>
      </c>
      <c r="AJ63" s="27" t="str">
        <f>IF('Sensor Detail'!J65=0,"",'Sensor Detail'!J65)</f>
        <v/>
      </c>
      <c r="AK63" s="27" t="str">
        <f>IF('Sensor Detail'!K65=0,"",'Sensor Detail'!K65)</f>
        <v/>
      </c>
      <c r="AL63" s="27" t="str">
        <f>IF('Sensor Detail'!L65=0,"",'Sensor Detail'!L65)</f>
        <v/>
      </c>
      <c r="AM63" s="27" t="str">
        <f>IF('Sensor Detail'!M65=0,"",'Sensor Detail'!M65)</f>
        <v/>
      </c>
      <c r="AN63" s="27" t="str">
        <f>IF('Sensor Detail'!N65=0,"",'Sensor Detail'!N65)</f>
        <v/>
      </c>
      <c r="AO63" s="27" t="str">
        <f>IF('Sensor Detail'!O65=0,"",'Sensor Detail'!O65)</f>
        <v/>
      </c>
      <c r="AP63" s="15" t="str">
        <f t="shared" si="13"/>
        <v/>
      </c>
      <c r="AQ63" s="15" t="str">
        <f t="shared" si="14"/>
        <v/>
      </c>
    </row>
    <row r="64" spans="1:43">
      <c r="A64" s="13" t="str">
        <f t="shared" si="0"/>
        <v/>
      </c>
      <c r="B64" s="13" t="str">
        <f t="shared" si="1"/>
        <v/>
      </c>
      <c r="C64" s="15" t="str">
        <f t="shared" si="2"/>
        <v/>
      </c>
      <c r="D64" s="15" t="str">
        <f t="shared" si="3"/>
        <v/>
      </c>
      <c r="E64" s="15" t="str">
        <f t="shared" si="4"/>
        <v/>
      </c>
      <c r="F64" s="15" t="str">
        <f t="shared" si="5"/>
        <v/>
      </c>
      <c r="G64" s="15" t="str">
        <f t="shared" si="6"/>
        <v/>
      </c>
      <c r="H64" s="15" t="str">
        <f t="shared" si="7"/>
        <v/>
      </c>
      <c r="I64" s="15" t="str">
        <f t="shared" si="8"/>
        <v/>
      </c>
      <c r="J64" s="15" t="str">
        <f t="shared" si="9"/>
        <v/>
      </c>
      <c r="K64" s="13" t="str">
        <f>IF('Cylinder Detail'!U66=0,"",'Cylinder Detail'!U66)</f>
        <v/>
      </c>
      <c r="L64" s="13" t="str">
        <f>IF('Cylinder Detail'!Z66=0,"",_xlfn.TEXTBEFORE('Cylinder Detail'!Z66, ","))</f>
        <v/>
      </c>
      <c r="M64" s="13" t="str">
        <f t="shared" si="10"/>
        <v/>
      </c>
      <c r="N64" s="17" t="str">
        <f>IF('Cylinder Detail'!V66=0,"",'Cylinder Detail'!V66)</f>
        <v/>
      </c>
      <c r="O64" s="17" t="str">
        <f>IF('Cylinder Detail'!Z66=0,"",_xlfn.TEXTAFTER('Cylinder Detail'!Z66, ", "))</f>
        <v/>
      </c>
      <c r="P64" s="17" t="str">
        <f>IF('Cylinder Detail'!AA66=0,"",'Cylinder Detail'!AA66)</f>
        <v/>
      </c>
      <c r="Q64" s="19" t="str">
        <f>IF('Cylinder Detail'!W66=0,"",'Cylinder Detail'!W66)</f>
        <v/>
      </c>
      <c r="R64" s="19" t="str">
        <f>IF('Cylinder Detail'!Y66=0,"",'Cylinder Detail'!Y66)</f>
        <v/>
      </c>
      <c r="S64" s="21" t="str">
        <f>IF('Cylinder Detail'!X66=0,"",'Cylinder Detail'!X66)</f>
        <v/>
      </c>
      <c r="T64" s="21" t="str">
        <f>IF('Cylinder Detail'!F66=0,"",'Cylinder Detail'!F66)</f>
        <v/>
      </c>
      <c r="U64" s="21" t="str">
        <f>IF('Cylinder Detail'!R66=0,"",'Cylinder Detail'!R66)</f>
        <v/>
      </c>
      <c r="V64" s="21" t="str">
        <f>IF('Cylinder Detail'!Q66=0,"",'Cylinder Detail'!Q66)</f>
        <v/>
      </c>
      <c r="W64" s="21" t="str">
        <f>IF('Cylinder Detail'!E66=0,"","+" &amp; 'Cylinder Detail'!E66)</f>
        <v/>
      </c>
      <c r="X64" s="21" t="str">
        <f t="shared" si="11"/>
        <v/>
      </c>
      <c r="Y64" s="21" t="str">
        <f>IF('Cylinder Detail'!S66=0,"",'Cylinder Detail'!S66)</f>
        <v/>
      </c>
      <c r="Z64" s="21" t="str">
        <f>IF('Cylinder Detail'!T66=0,"",'Cylinder Detail'!T66)</f>
        <v/>
      </c>
      <c r="AA64" s="21" t="str">
        <f>IF('Cylinder Detail'!H66=0,"",'Cylinder Detail'!H66)</f>
        <v/>
      </c>
      <c r="AB64" s="21" t="str">
        <f>IF('Cylinder Detail'!I66=0,"",'Cylinder Detail'!I66)</f>
        <v/>
      </c>
      <c r="AC64" s="22" t="str">
        <f>IF('Cylinder Detail'!AB66=0,"",'Cylinder Detail'!AB66)</f>
        <v/>
      </c>
      <c r="AD64" s="25" t="str">
        <f>IF('Sensor Detail'!F66=0,"","=" &amp; 'Sensor Detail'!F66)</f>
        <v/>
      </c>
      <c r="AE64" s="25" t="str">
        <f>IF('Sensor Detail'!H66=0,"",'Sensor Detail'!H66)</f>
        <v/>
      </c>
      <c r="AF64" s="27" t="str">
        <f>IF('Sensor Detail'!G66=0,"","-" &amp; 'Sensor Detail'!G66)</f>
        <v/>
      </c>
      <c r="AG64" s="27" t="str">
        <f>IF('Sensor Detail'!I66=0,"",'Sensor Detail'!I66)</f>
        <v/>
      </c>
      <c r="AH64" s="27" t="str">
        <f>IF('Sensor Detail'!E66=0,"","+" &amp; 'Sensor Detail'!E66)</f>
        <v/>
      </c>
      <c r="AI64" s="27" t="str">
        <f t="shared" si="12"/>
        <v/>
      </c>
      <c r="AJ64" s="27" t="str">
        <f>IF('Sensor Detail'!J66=0,"",'Sensor Detail'!J66)</f>
        <v/>
      </c>
      <c r="AK64" s="27" t="str">
        <f>IF('Sensor Detail'!K66=0,"",'Sensor Detail'!K66)</f>
        <v/>
      </c>
      <c r="AL64" s="27" t="str">
        <f>IF('Sensor Detail'!L66=0,"",'Sensor Detail'!L66)</f>
        <v/>
      </c>
      <c r="AM64" s="27" t="str">
        <f>IF('Sensor Detail'!M66=0,"",'Sensor Detail'!M66)</f>
        <v/>
      </c>
      <c r="AN64" s="27" t="str">
        <f>IF('Sensor Detail'!N66=0,"",'Sensor Detail'!N66)</f>
        <v/>
      </c>
      <c r="AO64" s="27" t="str">
        <f>IF('Sensor Detail'!O66=0,"",'Sensor Detail'!O66)</f>
        <v/>
      </c>
      <c r="AP64" s="15" t="str">
        <f t="shared" si="13"/>
        <v/>
      </c>
      <c r="AQ64" s="15" t="str">
        <f t="shared" si="14"/>
        <v/>
      </c>
    </row>
    <row r="65" spans="1:43">
      <c r="A65" s="13" t="str">
        <f t="shared" si="0"/>
        <v/>
      </c>
      <c r="B65" s="13" t="str">
        <f t="shared" si="1"/>
        <v/>
      </c>
      <c r="C65" s="15" t="str">
        <f t="shared" si="2"/>
        <v/>
      </c>
      <c r="D65" s="15" t="str">
        <f t="shared" si="3"/>
        <v/>
      </c>
      <c r="E65" s="15" t="str">
        <f t="shared" si="4"/>
        <v/>
      </c>
      <c r="F65" s="15" t="str">
        <f t="shared" si="5"/>
        <v/>
      </c>
      <c r="G65" s="15" t="str">
        <f t="shared" si="6"/>
        <v/>
      </c>
      <c r="H65" s="15" t="str">
        <f t="shared" si="7"/>
        <v/>
      </c>
      <c r="I65" s="15" t="str">
        <f t="shared" si="8"/>
        <v/>
      </c>
      <c r="J65" s="15" t="str">
        <f t="shared" si="9"/>
        <v/>
      </c>
      <c r="K65" s="13" t="str">
        <f>IF('Cylinder Detail'!U67=0,"",'Cylinder Detail'!U67)</f>
        <v/>
      </c>
      <c r="L65" s="13" t="str">
        <f>IF('Cylinder Detail'!Z67=0,"",_xlfn.TEXTBEFORE('Cylinder Detail'!Z67, ","))</f>
        <v/>
      </c>
      <c r="M65" s="13" t="str">
        <f t="shared" si="10"/>
        <v/>
      </c>
      <c r="N65" s="17" t="str">
        <f>IF('Cylinder Detail'!V67=0,"",'Cylinder Detail'!V67)</f>
        <v/>
      </c>
      <c r="O65" s="17" t="str">
        <f>IF('Cylinder Detail'!Z67=0,"",_xlfn.TEXTAFTER('Cylinder Detail'!Z67, ", "))</f>
        <v/>
      </c>
      <c r="P65" s="17" t="str">
        <f>IF('Cylinder Detail'!AA67=0,"",'Cylinder Detail'!AA67)</f>
        <v/>
      </c>
      <c r="Q65" s="19" t="str">
        <f>IF('Cylinder Detail'!W67=0,"",'Cylinder Detail'!W67)</f>
        <v/>
      </c>
      <c r="R65" s="19" t="str">
        <f>IF('Cylinder Detail'!Y67=0,"",'Cylinder Detail'!Y67)</f>
        <v/>
      </c>
      <c r="S65" s="21" t="str">
        <f>IF('Cylinder Detail'!X67=0,"",'Cylinder Detail'!X67)</f>
        <v/>
      </c>
      <c r="T65" s="21" t="str">
        <f>IF('Cylinder Detail'!F67=0,"",'Cylinder Detail'!F67)</f>
        <v/>
      </c>
      <c r="U65" s="21" t="str">
        <f>IF('Cylinder Detail'!R67=0,"",'Cylinder Detail'!R67)</f>
        <v/>
      </c>
      <c r="V65" s="21" t="str">
        <f>IF('Cylinder Detail'!Q67=0,"",'Cylinder Detail'!Q67)</f>
        <v/>
      </c>
      <c r="W65" s="21" t="str">
        <f>IF('Cylinder Detail'!E67=0,"","+" &amp; 'Cylinder Detail'!E67)</f>
        <v/>
      </c>
      <c r="X65" s="21" t="str">
        <f t="shared" si="11"/>
        <v/>
      </c>
      <c r="Y65" s="21" t="str">
        <f>IF('Cylinder Detail'!S67=0,"",'Cylinder Detail'!S67)</f>
        <v/>
      </c>
      <c r="Z65" s="21" t="str">
        <f>IF('Cylinder Detail'!T67=0,"",'Cylinder Detail'!T67)</f>
        <v/>
      </c>
      <c r="AA65" s="21" t="str">
        <f>IF('Cylinder Detail'!H67=0,"",'Cylinder Detail'!H67)</f>
        <v/>
      </c>
      <c r="AB65" s="21" t="str">
        <f>IF('Cylinder Detail'!I67=0,"",'Cylinder Detail'!I67)</f>
        <v/>
      </c>
      <c r="AC65" s="22" t="str">
        <f>IF('Cylinder Detail'!AB67=0,"",'Cylinder Detail'!AB67)</f>
        <v/>
      </c>
      <c r="AD65" s="25" t="str">
        <f>IF('Sensor Detail'!F67=0,"","=" &amp; 'Sensor Detail'!F67)</f>
        <v/>
      </c>
      <c r="AE65" s="25" t="str">
        <f>IF('Sensor Detail'!H67=0,"",'Sensor Detail'!H67)</f>
        <v/>
      </c>
      <c r="AF65" s="27" t="str">
        <f>IF('Sensor Detail'!G67=0,"","-" &amp; 'Sensor Detail'!G67)</f>
        <v/>
      </c>
      <c r="AG65" s="27" t="str">
        <f>IF('Sensor Detail'!I67=0,"",'Sensor Detail'!I67)</f>
        <v/>
      </c>
      <c r="AH65" s="27" t="str">
        <f>IF('Sensor Detail'!E67=0,"","+" &amp; 'Sensor Detail'!E67)</f>
        <v/>
      </c>
      <c r="AI65" s="27" t="str">
        <f t="shared" si="12"/>
        <v/>
      </c>
      <c r="AJ65" s="27" t="str">
        <f>IF('Sensor Detail'!J67=0,"",'Sensor Detail'!J67)</f>
        <v/>
      </c>
      <c r="AK65" s="27" t="str">
        <f>IF('Sensor Detail'!K67=0,"",'Sensor Detail'!K67)</f>
        <v/>
      </c>
      <c r="AL65" s="27" t="str">
        <f>IF('Sensor Detail'!L67=0,"",'Sensor Detail'!L67)</f>
        <v/>
      </c>
      <c r="AM65" s="27" t="str">
        <f>IF('Sensor Detail'!M67=0,"",'Sensor Detail'!M67)</f>
        <v/>
      </c>
      <c r="AN65" s="27" t="str">
        <f>IF('Sensor Detail'!N67=0,"",'Sensor Detail'!N67)</f>
        <v/>
      </c>
      <c r="AO65" s="27" t="str">
        <f>IF('Sensor Detail'!O67=0,"",'Sensor Detail'!O67)</f>
        <v/>
      </c>
      <c r="AP65" s="15" t="str">
        <f t="shared" si="13"/>
        <v/>
      </c>
      <c r="AQ65" s="15" t="str">
        <f t="shared" si="14"/>
        <v/>
      </c>
    </row>
    <row r="66" spans="1:43">
      <c r="A66" s="13" t="str">
        <f t="shared" si="0"/>
        <v/>
      </c>
      <c r="B66" s="13" t="str">
        <f t="shared" si="1"/>
        <v/>
      </c>
      <c r="C66" s="15" t="str">
        <f t="shared" si="2"/>
        <v/>
      </c>
      <c r="D66" s="15" t="str">
        <f t="shared" si="3"/>
        <v/>
      </c>
      <c r="E66" s="15" t="str">
        <f t="shared" si="4"/>
        <v/>
      </c>
      <c r="F66" s="15" t="str">
        <f t="shared" si="5"/>
        <v/>
      </c>
      <c r="G66" s="15" t="str">
        <f t="shared" si="6"/>
        <v/>
      </c>
      <c r="H66" s="15" t="str">
        <f t="shared" si="7"/>
        <v/>
      </c>
      <c r="I66" s="15" t="str">
        <f t="shared" si="8"/>
        <v/>
      </c>
      <c r="J66" s="15" t="str">
        <f t="shared" si="9"/>
        <v/>
      </c>
      <c r="K66" s="13" t="str">
        <f>IF('Cylinder Detail'!U68=0,"",'Cylinder Detail'!U68)</f>
        <v/>
      </c>
      <c r="L66" s="13" t="str">
        <f>IF('Cylinder Detail'!Z68=0,"",_xlfn.TEXTBEFORE('Cylinder Detail'!Z68, ","))</f>
        <v/>
      </c>
      <c r="M66" s="13" t="str">
        <f t="shared" si="10"/>
        <v/>
      </c>
      <c r="N66" s="17" t="str">
        <f>IF('Cylinder Detail'!V68=0,"",'Cylinder Detail'!V68)</f>
        <v/>
      </c>
      <c r="O66" s="17" t="str">
        <f>IF('Cylinder Detail'!Z68=0,"",_xlfn.TEXTAFTER('Cylinder Detail'!Z68, ", "))</f>
        <v/>
      </c>
      <c r="P66" s="17" t="str">
        <f>IF('Cylinder Detail'!AA68=0,"",'Cylinder Detail'!AA68)</f>
        <v/>
      </c>
      <c r="Q66" s="19" t="str">
        <f>IF('Cylinder Detail'!W68=0,"",'Cylinder Detail'!W68)</f>
        <v/>
      </c>
      <c r="R66" s="19" t="str">
        <f>IF('Cylinder Detail'!Y68=0,"",'Cylinder Detail'!Y68)</f>
        <v/>
      </c>
      <c r="S66" s="21" t="str">
        <f>IF('Cylinder Detail'!X68=0,"",'Cylinder Detail'!X68)</f>
        <v/>
      </c>
      <c r="T66" s="21" t="str">
        <f>IF('Cylinder Detail'!F68=0,"",'Cylinder Detail'!F68)</f>
        <v/>
      </c>
      <c r="U66" s="21" t="str">
        <f>IF('Cylinder Detail'!R68=0,"",'Cylinder Detail'!R68)</f>
        <v/>
      </c>
      <c r="V66" s="21" t="str">
        <f>IF('Cylinder Detail'!Q68=0,"",'Cylinder Detail'!Q68)</f>
        <v/>
      </c>
      <c r="W66" s="21" t="str">
        <f>IF('Cylinder Detail'!E68=0,"","+" &amp; 'Cylinder Detail'!E68)</f>
        <v/>
      </c>
      <c r="X66" s="21" t="str">
        <f t="shared" si="11"/>
        <v/>
      </c>
      <c r="Y66" s="21" t="str">
        <f>IF('Cylinder Detail'!S68=0,"",'Cylinder Detail'!S68)</f>
        <v/>
      </c>
      <c r="Z66" s="21" t="str">
        <f>IF('Cylinder Detail'!T68=0,"",'Cylinder Detail'!T68)</f>
        <v/>
      </c>
      <c r="AA66" s="21" t="str">
        <f>IF('Cylinder Detail'!H68=0,"",'Cylinder Detail'!H68)</f>
        <v/>
      </c>
      <c r="AB66" s="21" t="str">
        <f>IF('Cylinder Detail'!I68=0,"",'Cylinder Detail'!I68)</f>
        <v/>
      </c>
      <c r="AC66" s="22" t="str">
        <f>IF('Cylinder Detail'!AB68=0,"",'Cylinder Detail'!AB68)</f>
        <v/>
      </c>
      <c r="AD66" s="25" t="str">
        <f>IF('Sensor Detail'!F68=0,"","=" &amp; 'Sensor Detail'!F68)</f>
        <v/>
      </c>
      <c r="AE66" s="25" t="str">
        <f>IF('Sensor Detail'!H68=0,"",'Sensor Detail'!H68)</f>
        <v/>
      </c>
      <c r="AF66" s="27" t="str">
        <f>IF('Sensor Detail'!G68=0,"","-" &amp; 'Sensor Detail'!G68)</f>
        <v/>
      </c>
      <c r="AG66" s="27" t="str">
        <f>IF('Sensor Detail'!I68=0,"",'Sensor Detail'!I68)</f>
        <v/>
      </c>
      <c r="AH66" s="27" t="str">
        <f>IF('Sensor Detail'!E68=0,"","+" &amp; 'Sensor Detail'!E68)</f>
        <v/>
      </c>
      <c r="AI66" s="27" t="str">
        <f t="shared" si="12"/>
        <v/>
      </c>
      <c r="AJ66" s="27" t="str">
        <f>IF('Sensor Detail'!J68=0,"",'Sensor Detail'!J68)</f>
        <v/>
      </c>
      <c r="AK66" s="27" t="str">
        <f>IF('Sensor Detail'!K68=0,"",'Sensor Detail'!K68)</f>
        <v/>
      </c>
      <c r="AL66" s="27" t="str">
        <f>IF('Sensor Detail'!L68=0,"",'Sensor Detail'!L68)</f>
        <v/>
      </c>
      <c r="AM66" s="27" t="str">
        <f>IF('Sensor Detail'!M68=0,"",'Sensor Detail'!M68)</f>
        <v/>
      </c>
      <c r="AN66" s="27" t="str">
        <f>IF('Sensor Detail'!N68=0,"",'Sensor Detail'!N68)</f>
        <v/>
      </c>
      <c r="AO66" s="27" t="str">
        <f>IF('Sensor Detail'!O68=0,"",'Sensor Detail'!O68)</f>
        <v/>
      </c>
      <c r="AP66" s="15" t="str">
        <f t="shared" si="13"/>
        <v/>
      </c>
      <c r="AQ66" s="15" t="str">
        <f t="shared" si="14"/>
        <v/>
      </c>
    </row>
    <row r="67" spans="1:43">
      <c r="A67" s="13" t="str">
        <f t="shared" ref="A67:A130" si="15">IF(K67 = "","",Integrator)</f>
        <v/>
      </c>
      <c r="B67" s="13" t="str">
        <f t="shared" ref="B67:B130" si="16">IF(K67 = "","",IntegratorResponsibleEngineer)</f>
        <v/>
      </c>
      <c r="C67" s="15" t="str">
        <f t="shared" ref="C67:C130" si="17">IF(K67 = "","","++" &amp; Shop)</f>
        <v/>
      </c>
      <c r="D67" s="15" t="str">
        <f t="shared" ref="D67:D130" si="18">IF(K67 = "","","++" &amp; Line)</f>
        <v/>
      </c>
      <c r="E67" s="15" t="str">
        <f t="shared" ref="E67:E130" si="19">IF(K67 = "","",LineDescription)</f>
        <v/>
      </c>
      <c r="F67" s="15" t="str">
        <f t="shared" ref="F67:F130" si="20">IF(K67 = "","","+" &amp; Station)</f>
        <v/>
      </c>
      <c r="G67" s="15" t="str">
        <f t="shared" ref="G67:G130" si="21">IF(K67 = "","",StationDescription)</f>
        <v/>
      </c>
      <c r="H67" s="15" t="str">
        <f t="shared" ref="H67:H130" si="22">IF(K67 = "","",IF(System = "", "", "+" &amp; System) &amp; IF(Tool = "", "", "+" &amp; Tool))</f>
        <v/>
      </c>
      <c r="I67" s="15" t="str">
        <f t="shared" ref="I67:I130" si="23">IF(K67 = "","",ToolDescription)</f>
        <v/>
      </c>
      <c r="J67" s="15" t="str">
        <f t="shared" ref="J67:J130" si="24">IF(K67 = "","",ToolType)</f>
        <v/>
      </c>
      <c r="K67" s="13" t="str">
        <f>IF('Cylinder Detail'!U69=0,"",'Cylinder Detail'!U69)</f>
        <v/>
      </c>
      <c r="L67" s="13" t="str">
        <f>IF('Cylinder Detail'!Z69=0,"",_xlfn.TEXTBEFORE('Cylinder Detail'!Z69, ","))</f>
        <v/>
      </c>
      <c r="M67" s="13" t="str">
        <f t="shared" ref="M67:M130" si="25">IF(K67 = "","",ManifoldConnection)</f>
        <v/>
      </c>
      <c r="N67" s="17" t="str">
        <f>IF('Cylinder Detail'!V69=0,"",'Cylinder Detail'!V69)</f>
        <v/>
      </c>
      <c r="O67" s="17" t="str">
        <f>IF('Cylinder Detail'!Z69=0,"",_xlfn.TEXTAFTER('Cylinder Detail'!Z69, ", "))</f>
        <v/>
      </c>
      <c r="P67" s="17" t="str">
        <f>IF('Cylinder Detail'!AA69=0,"",'Cylinder Detail'!AA69)</f>
        <v/>
      </c>
      <c r="Q67" s="19" t="str">
        <f>IF('Cylinder Detail'!W69=0,"",'Cylinder Detail'!W69)</f>
        <v/>
      </c>
      <c r="R67" s="19" t="str">
        <f>IF('Cylinder Detail'!Y69=0,"",'Cylinder Detail'!Y69)</f>
        <v/>
      </c>
      <c r="S67" s="21" t="str">
        <f>IF('Cylinder Detail'!X69=0,"",'Cylinder Detail'!X69)</f>
        <v/>
      </c>
      <c r="T67" s="21" t="str">
        <f>IF('Cylinder Detail'!F69=0,"",'Cylinder Detail'!F69)</f>
        <v/>
      </c>
      <c r="U67" s="21" t="str">
        <f>IF('Cylinder Detail'!R69=0,"",'Cylinder Detail'!R69)</f>
        <v/>
      </c>
      <c r="V67" s="21" t="str">
        <f>IF('Cylinder Detail'!Q69=0,"",'Cylinder Detail'!Q69)</f>
        <v/>
      </c>
      <c r="W67" s="21" t="str">
        <f>IF('Cylinder Detail'!E69=0,"","+" &amp; 'Cylinder Detail'!E69)</f>
        <v/>
      </c>
      <c r="X67" s="21" t="str">
        <f t="shared" ref="X67:X130" si="26">IF(W67 = "", "","Unit ") &amp;W67</f>
        <v/>
      </c>
      <c r="Y67" s="21" t="str">
        <f>IF('Cylinder Detail'!S69=0,"",'Cylinder Detail'!S69)</f>
        <v/>
      </c>
      <c r="Z67" s="21" t="str">
        <f>IF('Cylinder Detail'!T69=0,"",'Cylinder Detail'!T69)</f>
        <v/>
      </c>
      <c r="AA67" s="21" t="str">
        <f>IF('Cylinder Detail'!H69=0,"",'Cylinder Detail'!H69)</f>
        <v/>
      </c>
      <c r="AB67" s="21" t="str">
        <f>IF('Cylinder Detail'!I69=0,"",'Cylinder Detail'!I69)</f>
        <v/>
      </c>
      <c r="AC67" s="22" t="str">
        <f>IF('Cylinder Detail'!AB69=0,"",'Cylinder Detail'!AB69)</f>
        <v/>
      </c>
      <c r="AD67" s="25" t="str">
        <f>IF('Sensor Detail'!F69=0,"","=" &amp; 'Sensor Detail'!F69)</f>
        <v/>
      </c>
      <c r="AE67" s="25" t="str">
        <f>IF('Sensor Detail'!H69=0,"",'Sensor Detail'!H69)</f>
        <v/>
      </c>
      <c r="AF67" s="27" t="str">
        <f>IF('Sensor Detail'!G69=0,"","-" &amp; 'Sensor Detail'!G69)</f>
        <v/>
      </c>
      <c r="AG67" s="27" t="str">
        <f>IF('Sensor Detail'!I69=0,"",'Sensor Detail'!I69)</f>
        <v/>
      </c>
      <c r="AH67" s="27" t="str">
        <f>IF('Sensor Detail'!E69=0,"","+" &amp; 'Sensor Detail'!E69)</f>
        <v/>
      </c>
      <c r="AI67" s="27" t="str">
        <f t="shared" ref="AI67:AI130" si="27">IF(AH67 = "", "","Unit ") &amp;AH67</f>
        <v/>
      </c>
      <c r="AJ67" s="27" t="str">
        <f>IF('Sensor Detail'!J69=0,"",'Sensor Detail'!J69)</f>
        <v/>
      </c>
      <c r="AK67" s="27" t="str">
        <f>IF('Sensor Detail'!K69=0,"",'Sensor Detail'!K69)</f>
        <v/>
      </c>
      <c r="AL67" s="27" t="str">
        <f>IF('Sensor Detail'!L69=0,"",'Sensor Detail'!L69)</f>
        <v/>
      </c>
      <c r="AM67" s="27" t="str">
        <f>IF('Sensor Detail'!M69=0,"",'Sensor Detail'!M69)</f>
        <v/>
      </c>
      <c r="AN67" s="27" t="str">
        <f>IF('Sensor Detail'!N69=0,"",'Sensor Detail'!N69)</f>
        <v/>
      </c>
      <c r="AO67" s="27" t="str">
        <f>IF('Sensor Detail'!O69=0,"",'Sensor Detail'!O69)</f>
        <v/>
      </c>
      <c r="AP67" s="15" t="str">
        <f t="shared" ref="AP67:AP130" si="28">IF(K67 = "","",System)</f>
        <v/>
      </c>
      <c r="AQ67" s="15" t="str">
        <f t="shared" ref="AQ67:AQ130" si="29">IF(K67 = "","",SystemDescription)</f>
        <v/>
      </c>
    </row>
    <row r="68" spans="1:43">
      <c r="A68" s="13" t="str">
        <f t="shared" si="15"/>
        <v/>
      </c>
      <c r="B68" s="13" t="str">
        <f t="shared" si="16"/>
        <v/>
      </c>
      <c r="C68" s="15" t="str">
        <f t="shared" si="17"/>
        <v/>
      </c>
      <c r="D68" s="15" t="str">
        <f t="shared" si="18"/>
        <v/>
      </c>
      <c r="E68" s="15" t="str">
        <f t="shared" si="19"/>
        <v/>
      </c>
      <c r="F68" s="15" t="str">
        <f t="shared" si="20"/>
        <v/>
      </c>
      <c r="G68" s="15" t="str">
        <f t="shared" si="21"/>
        <v/>
      </c>
      <c r="H68" s="15" t="str">
        <f t="shared" si="22"/>
        <v/>
      </c>
      <c r="I68" s="15" t="str">
        <f t="shared" si="23"/>
        <v/>
      </c>
      <c r="J68" s="15" t="str">
        <f t="shared" si="24"/>
        <v/>
      </c>
      <c r="K68" s="13" t="str">
        <f>IF('Cylinder Detail'!U70=0,"",'Cylinder Detail'!U70)</f>
        <v/>
      </c>
      <c r="L68" s="13" t="str">
        <f>IF('Cylinder Detail'!Z70=0,"",_xlfn.TEXTBEFORE('Cylinder Detail'!Z70, ","))</f>
        <v/>
      </c>
      <c r="M68" s="13" t="str">
        <f t="shared" si="25"/>
        <v/>
      </c>
      <c r="N68" s="17" t="str">
        <f>IF('Cylinder Detail'!V70=0,"",'Cylinder Detail'!V70)</f>
        <v/>
      </c>
      <c r="O68" s="17" t="str">
        <f>IF('Cylinder Detail'!Z70=0,"",_xlfn.TEXTAFTER('Cylinder Detail'!Z70, ", "))</f>
        <v/>
      </c>
      <c r="P68" s="17" t="str">
        <f>IF('Cylinder Detail'!AA70=0,"",'Cylinder Detail'!AA70)</f>
        <v/>
      </c>
      <c r="Q68" s="19" t="str">
        <f>IF('Cylinder Detail'!W70=0,"",'Cylinder Detail'!W70)</f>
        <v/>
      </c>
      <c r="R68" s="19" t="str">
        <f>IF('Cylinder Detail'!Y70=0,"",'Cylinder Detail'!Y70)</f>
        <v/>
      </c>
      <c r="S68" s="21" t="str">
        <f>IF('Cylinder Detail'!X70=0,"",'Cylinder Detail'!X70)</f>
        <v/>
      </c>
      <c r="T68" s="21" t="str">
        <f>IF('Cylinder Detail'!F70=0,"",'Cylinder Detail'!F70)</f>
        <v/>
      </c>
      <c r="U68" s="21" t="str">
        <f>IF('Cylinder Detail'!R70=0,"",'Cylinder Detail'!R70)</f>
        <v/>
      </c>
      <c r="V68" s="21" t="str">
        <f>IF('Cylinder Detail'!Q70=0,"",'Cylinder Detail'!Q70)</f>
        <v/>
      </c>
      <c r="W68" s="21" t="str">
        <f>IF('Cylinder Detail'!E70=0,"","+" &amp; 'Cylinder Detail'!E70)</f>
        <v/>
      </c>
      <c r="X68" s="21" t="str">
        <f t="shared" si="26"/>
        <v/>
      </c>
      <c r="Y68" s="21" t="str">
        <f>IF('Cylinder Detail'!S70=0,"",'Cylinder Detail'!S70)</f>
        <v/>
      </c>
      <c r="Z68" s="21" t="str">
        <f>IF('Cylinder Detail'!T70=0,"",'Cylinder Detail'!T70)</f>
        <v/>
      </c>
      <c r="AA68" s="21" t="str">
        <f>IF('Cylinder Detail'!H70=0,"",'Cylinder Detail'!H70)</f>
        <v/>
      </c>
      <c r="AB68" s="21" t="str">
        <f>IF('Cylinder Detail'!I70=0,"",'Cylinder Detail'!I70)</f>
        <v/>
      </c>
      <c r="AC68" s="22" t="str">
        <f>IF('Cylinder Detail'!AB70=0,"",'Cylinder Detail'!AB70)</f>
        <v/>
      </c>
      <c r="AD68" s="25" t="str">
        <f>IF('Sensor Detail'!F70=0,"","=" &amp; 'Sensor Detail'!F70)</f>
        <v/>
      </c>
      <c r="AE68" s="25" t="str">
        <f>IF('Sensor Detail'!H70=0,"",'Sensor Detail'!H70)</f>
        <v/>
      </c>
      <c r="AF68" s="27" t="str">
        <f>IF('Sensor Detail'!G70=0,"","-" &amp; 'Sensor Detail'!G70)</f>
        <v/>
      </c>
      <c r="AG68" s="27" t="str">
        <f>IF('Sensor Detail'!I70=0,"",'Sensor Detail'!I70)</f>
        <v/>
      </c>
      <c r="AH68" s="27" t="str">
        <f>IF('Sensor Detail'!E70=0,"","+" &amp; 'Sensor Detail'!E70)</f>
        <v/>
      </c>
      <c r="AI68" s="27" t="str">
        <f t="shared" si="27"/>
        <v/>
      </c>
      <c r="AJ68" s="27" t="str">
        <f>IF('Sensor Detail'!J70=0,"",'Sensor Detail'!J70)</f>
        <v/>
      </c>
      <c r="AK68" s="27" t="str">
        <f>IF('Sensor Detail'!K70=0,"",'Sensor Detail'!K70)</f>
        <v/>
      </c>
      <c r="AL68" s="27" t="str">
        <f>IF('Sensor Detail'!L70=0,"",'Sensor Detail'!L70)</f>
        <v/>
      </c>
      <c r="AM68" s="27" t="str">
        <f>IF('Sensor Detail'!M70=0,"",'Sensor Detail'!M70)</f>
        <v/>
      </c>
      <c r="AN68" s="27" t="str">
        <f>IF('Sensor Detail'!N70=0,"",'Sensor Detail'!N70)</f>
        <v/>
      </c>
      <c r="AO68" s="27" t="str">
        <f>IF('Sensor Detail'!O70=0,"",'Sensor Detail'!O70)</f>
        <v/>
      </c>
      <c r="AP68" s="15" t="str">
        <f t="shared" si="28"/>
        <v/>
      </c>
      <c r="AQ68" s="15" t="str">
        <f t="shared" si="29"/>
        <v/>
      </c>
    </row>
    <row r="69" spans="1:43">
      <c r="A69" s="13" t="str">
        <f t="shared" si="15"/>
        <v/>
      </c>
      <c r="B69" s="13" t="str">
        <f t="shared" si="16"/>
        <v/>
      </c>
      <c r="C69" s="15" t="str">
        <f t="shared" si="17"/>
        <v/>
      </c>
      <c r="D69" s="15" t="str">
        <f t="shared" si="18"/>
        <v/>
      </c>
      <c r="E69" s="15" t="str">
        <f t="shared" si="19"/>
        <v/>
      </c>
      <c r="F69" s="15" t="str">
        <f t="shared" si="20"/>
        <v/>
      </c>
      <c r="G69" s="15" t="str">
        <f t="shared" si="21"/>
        <v/>
      </c>
      <c r="H69" s="15" t="str">
        <f t="shared" si="22"/>
        <v/>
      </c>
      <c r="I69" s="15" t="str">
        <f t="shared" si="23"/>
        <v/>
      </c>
      <c r="J69" s="15" t="str">
        <f t="shared" si="24"/>
        <v/>
      </c>
      <c r="K69" s="13" t="str">
        <f>IF('Cylinder Detail'!U71=0,"",'Cylinder Detail'!U71)</f>
        <v/>
      </c>
      <c r="L69" s="13" t="str">
        <f>IF('Cylinder Detail'!Z71=0,"",_xlfn.TEXTBEFORE('Cylinder Detail'!Z71, ","))</f>
        <v/>
      </c>
      <c r="M69" s="13" t="str">
        <f t="shared" si="25"/>
        <v/>
      </c>
      <c r="N69" s="17" t="str">
        <f>IF('Cylinder Detail'!V71=0,"",'Cylinder Detail'!V71)</f>
        <v/>
      </c>
      <c r="O69" s="17" t="str">
        <f>IF('Cylinder Detail'!Z71=0,"",_xlfn.TEXTAFTER('Cylinder Detail'!Z71, ", "))</f>
        <v/>
      </c>
      <c r="P69" s="17" t="str">
        <f>IF('Cylinder Detail'!AA71=0,"",'Cylinder Detail'!AA71)</f>
        <v/>
      </c>
      <c r="Q69" s="19" t="str">
        <f>IF('Cylinder Detail'!W71=0,"",'Cylinder Detail'!W71)</f>
        <v/>
      </c>
      <c r="R69" s="19" t="str">
        <f>IF('Cylinder Detail'!Y71=0,"",'Cylinder Detail'!Y71)</f>
        <v/>
      </c>
      <c r="S69" s="21" t="str">
        <f>IF('Cylinder Detail'!X71=0,"",'Cylinder Detail'!X71)</f>
        <v/>
      </c>
      <c r="T69" s="21" t="str">
        <f>IF('Cylinder Detail'!F71=0,"",'Cylinder Detail'!F71)</f>
        <v/>
      </c>
      <c r="U69" s="21" t="str">
        <f>IF('Cylinder Detail'!R71=0,"",'Cylinder Detail'!R71)</f>
        <v/>
      </c>
      <c r="V69" s="21" t="str">
        <f>IF('Cylinder Detail'!Q71=0,"",'Cylinder Detail'!Q71)</f>
        <v/>
      </c>
      <c r="W69" s="21" t="str">
        <f>IF('Cylinder Detail'!E71=0,"","+" &amp; 'Cylinder Detail'!E71)</f>
        <v/>
      </c>
      <c r="X69" s="21" t="str">
        <f t="shared" si="26"/>
        <v/>
      </c>
      <c r="Y69" s="21" t="str">
        <f>IF('Cylinder Detail'!S71=0,"",'Cylinder Detail'!S71)</f>
        <v/>
      </c>
      <c r="Z69" s="21" t="str">
        <f>IF('Cylinder Detail'!T71=0,"",'Cylinder Detail'!T71)</f>
        <v/>
      </c>
      <c r="AA69" s="21" t="str">
        <f>IF('Cylinder Detail'!H71=0,"",'Cylinder Detail'!H71)</f>
        <v/>
      </c>
      <c r="AB69" s="21" t="str">
        <f>IF('Cylinder Detail'!I71=0,"",'Cylinder Detail'!I71)</f>
        <v/>
      </c>
      <c r="AC69" s="22" t="str">
        <f>IF('Cylinder Detail'!AB71=0,"",'Cylinder Detail'!AB71)</f>
        <v/>
      </c>
      <c r="AD69" s="25" t="str">
        <f>IF('Sensor Detail'!F71=0,"","=" &amp; 'Sensor Detail'!F71)</f>
        <v/>
      </c>
      <c r="AE69" s="25" t="str">
        <f>IF('Sensor Detail'!H71=0,"",'Sensor Detail'!H71)</f>
        <v/>
      </c>
      <c r="AF69" s="27" t="str">
        <f>IF('Sensor Detail'!G71=0,"","-" &amp; 'Sensor Detail'!G71)</f>
        <v/>
      </c>
      <c r="AG69" s="27" t="str">
        <f>IF('Sensor Detail'!I71=0,"",'Sensor Detail'!I71)</f>
        <v/>
      </c>
      <c r="AH69" s="27" t="str">
        <f>IF('Sensor Detail'!E71=0,"","+" &amp; 'Sensor Detail'!E71)</f>
        <v/>
      </c>
      <c r="AI69" s="27" t="str">
        <f t="shared" si="27"/>
        <v/>
      </c>
      <c r="AJ69" s="27" t="str">
        <f>IF('Sensor Detail'!J71=0,"",'Sensor Detail'!J71)</f>
        <v/>
      </c>
      <c r="AK69" s="27" t="str">
        <f>IF('Sensor Detail'!K71=0,"",'Sensor Detail'!K71)</f>
        <v/>
      </c>
      <c r="AL69" s="27" t="str">
        <f>IF('Sensor Detail'!L71=0,"",'Sensor Detail'!L71)</f>
        <v/>
      </c>
      <c r="AM69" s="27" t="str">
        <f>IF('Sensor Detail'!M71=0,"",'Sensor Detail'!M71)</f>
        <v/>
      </c>
      <c r="AN69" s="27" t="str">
        <f>IF('Sensor Detail'!N71=0,"",'Sensor Detail'!N71)</f>
        <v/>
      </c>
      <c r="AO69" s="27" t="str">
        <f>IF('Sensor Detail'!O71=0,"",'Sensor Detail'!O71)</f>
        <v/>
      </c>
      <c r="AP69" s="15" t="str">
        <f t="shared" si="28"/>
        <v/>
      </c>
      <c r="AQ69" s="15" t="str">
        <f t="shared" si="29"/>
        <v/>
      </c>
    </row>
    <row r="70" spans="1:43">
      <c r="A70" s="13" t="str">
        <f t="shared" si="15"/>
        <v/>
      </c>
      <c r="B70" s="13" t="str">
        <f t="shared" si="16"/>
        <v/>
      </c>
      <c r="C70" s="15" t="str">
        <f t="shared" si="17"/>
        <v/>
      </c>
      <c r="D70" s="15" t="str">
        <f t="shared" si="18"/>
        <v/>
      </c>
      <c r="E70" s="15" t="str">
        <f t="shared" si="19"/>
        <v/>
      </c>
      <c r="F70" s="15" t="str">
        <f t="shared" si="20"/>
        <v/>
      </c>
      <c r="G70" s="15" t="str">
        <f t="shared" si="21"/>
        <v/>
      </c>
      <c r="H70" s="15" t="str">
        <f t="shared" si="22"/>
        <v/>
      </c>
      <c r="I70" s="15" t="str">
        <f t="shared" si="23"/>
        <v/>
      </c>
      <c r="J70" s="15" t="str">
        <f t="shared" si="24"/>
        <v/>
      </c>
      <c r="K70" s="13" t="str">
        <f>IF('Cylinder Detail'!U72=0,"",'Cylinder Detail'!U72)</f>
        <v/>
      </c>
      <c r="L70" s="13" t="str">
        <f>IF('Cylinder Detail'!Z72=0,"",_xlfn.TEXTBEFORE('Cylinder Detail'!Z72, ","))</f>
        <v/>
      </c>
      <c r="M70" s="13" t="str">
        <f t="shared" si="25"/>
        <v/>
      </c>
      <c r="N70" s="17" t="str">
        <f>IF('Cylinder Detail'!V72=0,"",'Cylinder Detail'!V72)</f>
        <v/>
      </c>
      <c r="O70" s="17" t="str">
        <f>IF('Cylinder Detail'!Z72=0,"",_xlfn.TEXTAFTER('Cylinder Detail'!Z72, ", "))</f>
        <v/>
      </c>
      <c r="P70" s="17" t="str">
        <f>IF('Cylinder Detail'!AA72=0,"",'Cylinder Detail'!AA72)</f>
        <v/>
      </c>
      <c r="Q70" s="19" t="str">
        <f>IF('Cylinder Detail'!W72=0,"",'Cylinder Detail'!W72)</f>
        <v/>
      </c>
      <c r="R70" s="19" t="str">
        <f>IF('Cylinder Detail'!Y72=0,"",'Cylinder Detail'!Y72)</f>
        <v/>
      </c>
      <c r="S70" s="21" t="str">
        <f>IF('Cylinder Detail'!X72=0,"",'Cylinder Detail'!X72)</f>
        <v/>
      </c>
      <c r="T70" s="21" t="str">
        <f>IF('Cylinder Detail'!F72=0,"",'Cylinder Detail'!F72)</f>
        <v/>
      </c>
      <c r="U70" s="21" t="str">
        <f>IF('Cylinder Detail'!R72=0,"",'Cylinder Detail'!R72)</f>
        <v/>
      </c>
      <c r="V70" s="21" t="str">
        <f>IF('Cylinder Detail'!Q72=0,"",'Cylinder Detail'!Q72)</f>
        <v/>
      </c>
      <c r="W70" s="21" t="str">
        <f>IF('Cylinder Detail'!E72=0,"","+" &amp; 'Cylinder Detail'!E72)</f>
        <v/>
      </c>
      <c r="X70" s="21" t="str">
        <f t="shared" si="26"/>
        <v/>
      </c>
      <c r="Y70" s="21" t="str">
        <f>IF('Cylinder Detail'!S72=0,"",'Cylinder Detail'!S72)</f>
        <v/>
      </c>
      <c r="Z70" s="21" t="str">
        <f>IF('Cylinder Detail'!T72=0,"",'Cylinder Detail'!T72)</f>
        <v/>
      </c>
      <c r="AA70" s="21" t="str">
        <f>IF('Cylinder Detail'!H72=0,"",'Cylinder Detail'!H72)</f>
        <v/>
      </c>
      <c r="AB70" s="21" t="str">
        <f>IF('Cylinder Detail'!I72=0,"",'Cylinder Detail'!I72)</f>
        <v/>
      </c>
      <c r="AC70" s="22" t="str">
        <f>IF('Cylinder Detail'!AB72=0,"",'Cylinder Detail'!AB72)</f>
        <v/>
      </c>
      <c r="AD70" s="25" t="str">
        <f>IF('Sensor Detail'!F72=0,"","=" &amp; 'Sensor Detail'!F72)</f>
        <v/>
      </c>
      <c r="AE70" s="25" t="str">
        <f>IF('Sensor Detail'!H72=0,"",'Sensor Detail'!H72)</f>
        <v/>
      </c>
      <c r="AF70" s="27" t="str">
        <f>IF('Sensor Detail'!G72=0,"","-" &amp; 'Sensor Detail'!G72)</f>
        <v/>
      </c>
      <c r="AG70" s="27" t="str">
        <f>IF('Sensor Detail'!I72=0,"",'Sensor Detail'!I72)</f>
        <v/>
      </c>
      <c r="AH70" s="27" t="str">
        <f>IF('Sensor Detail'!E72=0,"","+" &amp; 'Sensor Detail'!E72)</f>
        <v/>
      </c>
      <c r="AI70" s="27" t="str">
        <f t="shared" si="27"/>
        <v/>
      </c>
      <c r="AJ70" s="27" t="str">
        <f>IF('Sensor Detail'!J72=0,"",'Sensor Detail'!J72)</f>
        <v/>
      </c>
      <c r="AK70" s="27" t="str">
        <f>IF('Sensor Detail'!K72=0,"",'Sensor Detail'!K72)</f>
        <v/>
      </c>
      <c r="AL70" s="27" t="str">
        <f>IF('Sensor Detail'!L72=0,"",'Sensor Detail'!L72)</f>
        <v/>
      </c>
      <c r="AM70" s="27" t="str">
        <f>IF('Sensor Detail'!M72=0,"",'Sensor Detail'!M72)</f>
        <v/>
      </c>
      <c r="AN70" s="27" t="str">
        <f>IF('Sensor Detail'!N72=0,"",'Sensor Detail'!N72)</f>
        <v/>
      </c>
      <c r="AO70" s="27" t="str">
        <f>IF('Sensor Detail'!O72=0,"",'Sensor Detail'!O72)</f>
        <v/>
      </c>
      <c r="AP70" s="15" t="str">
        <f t="shared" si="28"/>
        <v/>
      </c>
      <c r="AQ70" s="15" t="str">
        <f t="shared" si="29"/>
        <v/>
      </c>
    </row>
    <row r="71" spans="1:43">
      <c r="A71" s="13" t="str">
        <f t="shared" si="15"/>
        <v/>
      </c>
      <c r="B71" s="13" t="str">
        <f t="shared" si="16"/>
        <v/>
      </c>
      <c r="C71" s="15" t="str">
        <f t="shared" si="17"/>
        <v/>
      </c>
      <c r="D71" s="15" t="str">
        <f t="shared" si="18"/>
        <v/>
      </c>
      <c r="E71" s="15" t="str">
        <f t="shared" si="19"/>
        <v/>
      </c>
      <c r="F71" s="15" t="str">
        <f t="shared" si="20"/>
        <v/>
      </c>
      <c r="G71" s="15" t="str">
        <f t="shared" si="21"/>
        <v/>
      </c>
      <c r="H71" s="15" t="str">
        <f t="shared" si="22"/>
        <v/>
      </c>
      <c r="I71" s="15" t="str">
        <f t="shared" si="23"/>
        <v/>
      </c>
      <c r="J71" s="15" t="str">
        <f t="shared" si="24"/>
        <v/>
      </c>
      <c r="K71" s="13" t="str">
        <f>IF('Cylinder Detail'!U73=0,"",'Cylinder Detail'!U73)</f>
        <v/>
      </c>
      <c r="L71" s="13" t="str">
        <f>IF('Cylinder Detail'!Z73=0,"",_xlfn.TEXTBEFORE('Cylinder Detail'!Z73, ","))</f>
        <v/>
      </c>
      <c r="M71" s="13" t="str">
        <f t="shared" si="25"/>
        <v/>
      </c>
      <c r="N71" s="17" t="str">
        <f>IF('Cylinder Detail'!V73=0,"",'Cylinder Detail'!V73)</f>
        <v/>
      </c>
      <c r="O71" s="17" t="str">
        <f>IF('Cylinder Detail'!Z73=0,"",_xlfn.TEXTAFTER('Cylinder Detail'!Z73, ", "))</f>
        <v/>
      </c>
      <c r="P71" s="17" t="str">
        <f>IF('Cylinder Detail'!AA73=0,"",'Cylinder Detail'!AA73)</f>
        <v/>
      </c>
      <c r="Q71" s="19" t="str">
        <f>IF('Cylinder Detail'!W73=0,"",'Cylinder Detail'!W73)</f>
        <v/>
      </c>
      <c r="R71" s="19" t="str">
        <f>IF('Cylinder Detail'!Y73=0,"",'Cylinder Detail'!Y73)</f>
        <v/>
      </c>
      <c r="S71" s="21" t="str">
        <f>IF('Cylinder Detail'!X73=0,"",'Cylinder Detail'!X73)</f>
        <v/>
      </c>
      <c r="T71" s="21" t="str">
        <f>IF('Cylinder Detail'!F73=0,"",'Cylinder Detail'!F73)</f>
        <v/>
      </c>
      <c r="U71" s="21" t="str">
        <f>IF('Cylinder Detail'!R73=0,"",'Cylinder Detail'!R73)</f>
        <v/>
      </c>
      <c r="V71" s="21" t="str">
        <f>IF('Cylinder Detail'!Q73=0,"",'Cylinder Detail'!Q73)</f>
        <v/>
      </c>
      <c r="W71" s="21" t="str">
        <f>IF('Cylinder Detail'!E73=0,"","+" &amp; 'Cylinder Detail'!E73)</f>
        <v/>
      </c>
      <c r="X71" s="21" t="str">
        <f t="shared" si="26"/>
        <v/>
      </c>
      <c r="Y71" s="21" t="str">
        <f>IF('Cylinder Detail'!S73=0,"",'Cylinder Detail'!S73)</f>
        <v/>
      </c>
      <c r="Z71" s="21" t="str">
        <f>IF('Cylinder Detail'!T73=0,"",'Cylinder Detail'!T73)</f>
        <v/>
      </c>
      <c r="AA71" s="21" t="str">
        <f>IF('Cylinder Detail'!H73=0,"",'Cylinder Detail'!H73)</f>
        <v/>
      </c>
      <c r="AB71" s="21" t="str">
        <f>IF('Cylinder Detail'!I73=0,"",'Cylinder Detail'!I73)</f>
        <v/>
      </c>
      <c r="AC71" s="22" t="str">
        <f>IF('Cylinder Detail'!AB73=0,"",'Cylinder Detail'!AB73)</f>
        <v/>
      </c>
      <c r="AD71" s="25" t="str">
        <f>IF('Sensor Detail'!F73=0,"","=" &amp; 'Sensor Detail'!F73)</f>
        <v/>
      </c>
      <c r="AE71" s="25" t="str">
        <f>IF('Sensor Detail'!H73=0,"",'Sensor Detail'!H73)</f>
        <v/>
      </c>
      <c r="AF71" s="27" t="str">
        <f>IF('Sensor Detail'!G73=0,"","-" &amp; 'Sensor Detail'!G73)</f>
        <v/>
      </c>
      <c r="AG71" s="27" t="str">
        <f>IF('Sensor Detail'!I73=0,"",'Sensor Detail'!I73)</f>
        <v/>
      </c>
      <c r="AH71" s="27" t="str">
        <f>IF('Sensor Detail'!E73=0,"","+" &amp; 'Sensor Detail'!E73)</f>
        <v/>
      </c>
      <c r="AI71" s="27" t="str">
        <f t="shared" si="27"/>
        <v/>
      </c>
      <c r="AJ71" s="27" t="str">
        <f>IF('Sensor Detail'!J73=0,"",'Sensor Detail'!J73)</f>
        <v/>
      </c>
      <c r="AK71" s="27" t="str">
        <f>IF('Sensor Detail'!K73=0,"",'Sensor Detail'!K73)</f>
        <v/>
      </c>
      <c r="AL71" s="27" t="str">
        <f>IF('Sensor Detail'!L73=0,"",'Sensor Detail'!L73)</f>
        <v/>
      </c>
      <c r="AM71" s="27" t="str">
        <f>IF('Sensor Detail'!M73=0,"",'Sensor Detail'!M73)</f>
        <v/>
      </c>
      <c r="AN71" s="27" t="str">
        <f>IF('Sensor Detail'!N73=0,"",'Sensor Detail'!N73)</f>
        <v/>
      </c>
      <c r="AO71" s="27" t="str">
        <f>IF('Sensor Detail'!O73=0,"",'Sensor Detail'!O73)</f>
        <v/>
      </c>
      <c r="AP71" s="15" t="str">
        <f t="shared" si="28"/>
        <v/>
      </c>
      <c r="AQ71" s="15" t="str">
        <f t="shared" si="29"/>
        <v/>
      </c>
    </row>
    <row r="72" spans="1:43">
      <c r="A72" s="13" t="str">
        <f t="shared" si="15"/>
        <v/>
      </c>
      <c r="B72" s="13" t="str">
        <f t="shared" si="16"/>
        <v/>
      </c>
      <c r="C72" s="15" t="str">
        <f t="shared" si="17"/>
        <v/>
      </c>
      <c r="D72" s="15" t="str">
        <f t="shared" si="18"/>
        <v/>
      </c>
      <c r="E72" s="15" t="str">
        <f t="shared" si="19"/>
        <v/>
      </c>
      <c r="F72" s="15" t="str">
        <f t="shared" si="20"/>
        <v/>
      </c>
      <c r="G72" s="15" t="str">
        <f t="shared" si="21"/>
        <v/>
      </c>
      <c r="H72" s="15" t="str">
        <f t="shared" si="22"/>
        <v/>
      </c>
      <c r="I72" s="15" t="str">
        <f t="shared" si="23"/>
        <v/>
      </c>
      <c r="J72" s="15" t="str">
        <f t="shared" si="24"/>
        <v/>
      </c>
      <c r="K72" s="13" t="str">
        <f>IF('Cylinder Detail'!U74=0,"",'Cylinder Detail'!U74)</f>
        <v/>
      </c>
      <c r="L72" s="13" t="str">
        <f>IF('Cylinder Detail'!Z74=0,"",_xlfn.TEXTBEFORE('Cylinder Detail'!Z74, ","))</f>
        <v/>
      </c>
      <c r="M72" s="13" t="str">
        <f t="shared" si="25"/>
        <v/>
      </c>
      <c r="N72" s="17" t="str">
        <f>IF('Cylinder Detail'!V74=0,"",'Cylinder Detail'!V74)</f>
        <v/>
      </c>
      <c r="O72" s="17" t="str">
        <f>IF('Cylinder Detail'!Z74=0,"",_xlfn.TEXTAFTER('Cylinder Detail'!Z74, ", "))</f>
        <v/>
      </c>
      <c r="P72" s="17" t="str">
        <f>IF('Cylinder Detail'!AA74=0,"",'Cylinder Detail'!AA74)</f>
        <v/>
      </c>
      <c r="Q72" s="19" t="str">
        <f>IF('Cylinder Detail'!W74=0,"",'Cylinder Detail'!W74)</f>
        <v/>
      </c>
      <c r="R72" s="19" t="str">
        <f>IF('Cylinder Detail'!Y74=0,"",'Cylinder Detail'!Y74)</f>
        <v/>
      </c>
      <c r="S72" s="21" t="str">
        <f>IF('Cylinder Detail'!X74=0,"",'Cylinder Detail'!X74)</f>
        <v/>
      </c>
      <c r="T72" s="21" t="str">
        <f>IF('Cylinder Detail'!F74=0,"",'Cylinder Detail'!F74)</f>
        <v/>
      </c>
      <c r="U72" s="21" t="str">
        <f>IF('Cylinder Detail'!R74=0,"",'Cylinder Detail'!R74)</f>
        <v/>
      </c>
      <c r="V72" s="21" t="str">
        <f>IF('Cylinder Detail'!Q74=0,"",'Cylinder Detail'!Q74)</f>
        <v/>
      </c>
      <c r="W72" s="21" t="str">
        <f>IF('Cylinder Detail'!E74=0,"","+" &amp; 'Cylinder Detail'!E74)</f>
        <v/>
      </c>
      <c r="X72" s="21" t="str">
        <f t="shared" si="26"/>
        <v/>
      </c>
      <c r="Y72" s="21" t="str">
        <f>IF('Cylinder Detail'!S74=0,"",'Cylinder Detail'!S74)</f>
        <v/>
      </c>
      <c r="Z72" s="21" t="str">
        <f>IF('Cylinder Detail'!T74=0,"",'Cylinder Detail'!T74)</f>
        <v/>
      </c>
      <c r="AA72" s="21" t="str">
        <f>IF('Cylinder Detail'!H74=0,"",'Cylinder Detail'!H74)</f>
        <v/>
      </c>
      <c r="AB72" s="21" t="str">
        <f>IF('Cylinder Detail'!I74=0,"",'Cylinder Detail'!I74)</f>
        <v/>
      </c>
      <c r="AC72" s="22" t="str">
        <f>IF('Cylinder Detail'!AB74=0,"",'Cylinder Detail'!AB74)</f>
        <v/>
      </c>
      <c r="AD72" s="25" t="str">
        <f>IF('Sensor Detail'!F74=0,"","=" &amp; 'Sensor Detail'!F74)</f>
        <v/>
      </c>
      <c r="AE72" s="25" t="str">
        <f>IF('Sensor Detail'!H74=0,"",'Sensor Detail'!H74)</f>
        <v/>
      </c>
      <c r="AF72" s="27" t="str">
        <f>IF('Sensor Detail'!G74=0,"","-" &amp; 'Sensor Detail'!G74)</f>
        <v/>
      </c>
      <c r="AG72" s="27" t="str">
        <f>IF('Sensor Detail'!I74=0,"",'Sensor Detail'!I74)</f>
        <v/>
      </c>
      <c r="AH72" s="27" t="str">
        <f>IF('Sensor Detail'!E74=0,"","+" &amp; 'Sensor Detail'!E74)</f>
        <v/>
      </c>
      <c r="AI72" s="27" t="str">
        <f t="shared" si="27"/>
        <v/>
      </c>
      <c r="AJ72" s="27" t="str">
        <f>IF('Sensor Detail'!J74=0,"",'Sensor Detail'!J74)</f>
        <v/>
      </c>
      <c r="AK72" s="27" t="str">
        <f>IF('Sensor Detail'!K74=0,"",'Sensor Detail'!K74)</f>
        <v/>
      </c>
      <c r="AL72" s="27" t="str">
        <f>IF('Sensor Detail'!L74=0,"",'Sensor Detail'!L74)</f>
        <v/>
      </c>
      <c r="AM72" s="27" t="str">
        <f>IF('Sensor Detail'!M74=0,"",'Sensor Detail'!M74)</f>
        <v/>
      </c>
      <c r="AN72" s="27" t="str">
        <f>IF('Sensor Detail'!N74=0,"",'Sensor Detail'!N74)</f>
        <v/>
      </c>
      <c r="AO72" s="27" t="str">
        <f>IF('Sensor Detail'!O74=0,"",'Sensor Detail'!O74)</f>
        <v/>
      </c>
      <c r="AP72" s="15" t="str">
        <f t="shared" si="28"/>
        <v/>
      </c>
      <c r="AQ72" s="15" t="str">
        <f t="shared" si="29"/>
        <v/>
      </c>
    </row>
    <row r="73" spans="1:43">
      <c r="A73" s="13" t="str">
        <f t="shared" si="15"/>
        <v/>
      </c>
      <c r="B73" s="13" t="str">
        <f t="shared" si="16"/>
        <v/>
      </c>
      <c r="C73" s="15" t="str">
        <f t="shared" si="17"/>
        <v/>
      </c>
      <c r="D73" s="15" t="str">
        <f t="shared" si="18"/>
        <v/>
      </c>
      <c r="E73" s="15" t="str">
        <f t="shared" si="19"/>
        <v/>
      </c>
      <c r="F73" s="15" t="str">
        <f t="shared" si="20"/>
        <v/>
      </c>
      <c r="G73" s="15" t="str">
        <f t="shared" si="21"/>
        <v/>
      </c>
      <c r="H73" s="15" t="str">
        <f t="shared" si="22"/>
        <v/>
      </c>
      <c r="I73" s="15" t="str">
        <f t="shared" si="23"/>
        <v/>
      </c>
      <c r="J73" s="15" t="str">
        <f t="shared" si="24"/>
        <v/>
      </c>
      <c r="K73" s="13" t="str">
        <f>IF('Cylinder Detail'!U75=0,"",'Cylinder Detail'!U75)</f>
        <v/>
      </c>
      <c r="L73" s="13" t="str">
        <f>IF('Cylinder Detail'!Z75=0,"",_xlfn.TEXTBEFORE('Cylinder Detail'!Z75, ","))</f>
        <v/>
      </c>
      <c r="M73" s="13" t="str">
        <f t="shared" si="25"/>
        <v/>
      </c>
      <c r="N73" s="17" t="str">
        <f>IF('Cylinder Detail'!V75=0,"",'Cylinder Detail'!V75)</f>
        <v/>
      </c>
      <c r="O73" s="17" t="str">
        <f>IF('Cylinder Detail'!Z75=0,"",_xlfn.TEXTAFTER('Cylinder Detail'!Z75, ", "))</f>
        <v/>
      </c>
      <c r="P73" s="17" t="str">
        <f>IF('Cylinder Detail'!AA75=0,"",'Cylinder Detail'!AA75)</f>
        <v/>
      </c>
      <c r="Q73" s="19" t="str">
        <f>IF('Cylinder Detail'!W75=0,"",'Cylinder Detail'!W75)</f>
        <v/>
      </c>
      <c r="R73" s="19" t="str">
        <f>IF('Cylinder Detail'!Y75=0,"",'Cylinder Detail'!Y75)</f>
        <v/>
      </c>
      <c r="S73" s="21" t="str">
        <f>IF('Cylinder Detail'!X75=0,"",'Cylinder Detail'!X75)</f>
        <v/>
      </c>
      <c r="T73" s="21" t="str">
        <f>IF('Cylinder Detail'!F75=0,"",'Cylinder Detail'!F75)</f>
        <v/>
      </c>
      <c r="U73" s="21" t="str">
        <f>IF('Cylinder Detail'!R75=0,"",'Cylinder Detail'!R75)</f>
        <v/>
      </c>
      <c r="V73" s="21" t="str">
        <f>IF('Cylinder Detail'!Q75=0,"",'Cylinder Detail'!Q75)</f>
        <v/>
      </c>
      <c r="W73" s="21" t="str">
        <f>IF('Cylinder Detail'!E75=0,"","+" &amp; 'Cylinder Detail'!E75)</f>
        <v/>
      </c>
      <c r="X73" s="21" t="str">
        <f t="shared" si="26"/>
        <v/>
      </c>
      <c r="Y73" s="21" t="str">
        <f>IF('Cylinder Detail'!S75=0,"",'Cylinder Detail'!S75)</f>
        <v/>
      </c>
      <c r="Z73" s="21" t="str">
        <f>IF('Cylinder Detail'!T75=0,"",'Cylinder Detail'!T75)</f>
        <v/>
      </c>
      <c r="AA73" s="21" t="str">
        <f>IF('Cylinder Detail'!H75=0,"",'Cylinder Detail'!H75)</f>
        <v/>
      </c>
      <c r="AB73" s="21" t="str">
        <f>IF('Cylinder Detail'!I75=0,"",'Cylinder Detail'!I75)</f>
        <v/>
      </c>
      <c r="AC73" s="22" t="str">
        <f>IF('Cylinder Detail'!AB75=0,"",'Cylinder Detail'!AB75)</f>
        <v/>
      </c>
      <c r="AD73" s="25" t="str">
        <f>IF('Sensor Detail'!F75=0,"","=" &amp; 'Sensor Detail'!F75)</f>
        <v/>
      </c>
      <c r="AE73" s="25" t="str">
        <f>IF('Sensor Detail'!H75=0,"",'Sensor Detail'!H75)</f>
        <v/>
      </c>
      <c r="AF73" s="27" t="str">
        <f>IF('Sensor Detail'!G75=0,"","-" &amp; 'Sensor Detail'!G75)</f>
        <v/>
      </c>
      <c r="AG73" s="27" t="str">
        <f>IF('Sensor Detail'!I75=0,"",'Sensor Detail'!I75)</f>
        <v/>
      </c>
      <c r="AH73" s="27" t="str">
        <f>IF('Sensor Detail'!E75=0,"","+" &amp; 'Sensor Detail'!E75)</f>
        <v/>
      </c>
      <c r="AI73" s="27" t="str">
        <f t="shared" si="27"/>
        <v/>
      </c>
      <c r="AJ73" s="27" t="str">
        <f>IF('Sensor Detail'!J75=0,"",'Sensor Detail'!J75)</f>
        <v/>
      </c>
      <c r="AK73" s="27" t="str">
        <f>IF('Sensor Detail'!K75=0,"",'Sensor Detail'!K75)</f>
        <v/>
      </c>
      <c r="AL73" s="27" t="str">
        <f>IF('Sensor Detail'!L75=0,"",'Sensor Detail'!L75)</f>
        <v/>
      </c>
      <c r="AM73" s="27" t="str">
        <f>IF('Sensor Detail'!M75=0,"",'Sensor Detail'!M75)</f>
        <v/>
      </c>
      <c r="AN73" s="27" t="str">
        <f>IF('Sensor Detail'!N75=0,"",'Sensor Detail'!N75)</f>
        <v/>
      </c>
      <c r="AO73" s="27" t="str">
        <f>IF('Sensor Detail'!O75=0,"",'Sensor Detail'!O75)</f>
        <v/>
      </c>
      <c r="AP73" s="15" t="str">
        <f t="shared" si="28"/>
        <v/>
      </c>
      <c r="AQ73" s="15" t="str">
        <f t="shared" si="29"/>
        <v/>
      </c>
    </row>
    <row r="74" spans="1:43">
      <c r="A74" s="13" t="str">
        <f t="shared" si="15"/>
        <v/>
      </c>
      <c r="B74" s="13" t="str">
        <f t="shared" si="16"/>
        <v/>
      </c>
      <c r="C74" s="15" t="str">
        <f t="shared" si="17"/>
        <v/>
      </c>
      <c r="D74" s="15" t="str">
        <f t="shared" si="18"/>
        <v/>
      </c>
      <c r="E74" s="15" t="str">
        <f t="shared" si="19"/>
        <v/>
      </c>
      <c r="F74" s="15" t="str">
        <f t="shared" si="20"/>
        <v/>
      </c>
      <c r="G74" s="15" t="str">
        <f t="shared" si="21"/>
        <v/>
      </c>
      <c r="H74" s="15" t="str">
        <f t="shared" si="22"/>
        <v/>
      </c>
      <c r="I74" s="15" t="str">
        <f t="shared" si="23"/>
        <v/>
      </c>
      <c r="J74" s="15" t="str">
        <f t="shared" si="24"/>
        <v/>
      </c>
      <c r="K74" s="13" t="str">
        <f>IF('Cylinder Detail'!U76=0,"",'Cylinder Detail'!U76)</f>
        <v/>
      </c>
      <c r="L74" s="13" t="str">
        <f>IF('Cylinder Detail'!Z76=0,"",_xlfn.TEXTBEFORE('Cylinder Detail'!Z76, ","))</f>
        <v/>
      </c>
      <c r="M74" s="13" t="str">
        <f t="shared" si="25"/>
        <v/>
      </c>
      <c r="N74" s="17" t="str">
        <f>IF('Cylinder Detail'!V76=0,"",'Cylinder Detail'!V76)</f>
        <v/>
      </c>
      <c r="O74" s="17" t="str">
        <f>IF('Cylinder Detail'!Z76=0,"",_xlfn.TEXTAFTER('Cylinder Detail'!Z76, ", "))</f>
        <v/>
      </c>
      <c r="P74" s="17" t="str">
        <f>IF('Cylinder Detail'!AA76=0,"",'Cylinder Detail'!AA76)</f>
        <v/>
      </c>
      <c r="Q74" s="19" t="str">
        <f>IF('Cylinder Detail'!W76=0,"",'Cylinder Detail'!W76)</f>
        <v/>
      </c>
      <c r="R74" s="19" t="str">
        <f>IF('Cylinder Detail'!Y76=0,"",'Cylinder Detail'!Y76)</f>
        <v/>
      </c>
      <c r="S74" s="21" t="str">
        <f>IF('Cylinder Detail'!X76=0,"",'Cylinder Detail'!X76)</f>
        <v/>
      </c>
      <c r="T74" s="21" t="str">
        <f>IF('Cylinder Detail'!F76=0,"",'Cylinder Detail'!F76)</f>
        <v/>
      </c>
      <c r="U74" s="21" t="str">
        <f>IF('Cylinder Detail'!R76=0,"",'Cylinder Detail'!R76)</f>
        <v/>
      </c>
      <c r="V74" s="21" t="str">
        <f>IF('Cylinder Detail'!Q76=0,"",'Cylinder Detail'!Q76)</f>
        <v/>
      </c>
      <c r="W74" s="21" t="str">
        <f>IF('Cylinder Detail'!E76=0,"","+" &amp; 'Cylinder Detail'!E76)</f>
        <v/>
      </c>
      <c r="X74" s="21" t="str">
        <f t="shared" si="26"/>
        <v/>
      </c>
      <c r="Y74" s="21" t="str">
        <f>IF('Cylinder Detail'!S76=0,"",'Cylinder Detail'!S76)</f>
        <v/>
      </c>
      <c r="Z74" s="21" t="str">
        <f>IF('Cylinder Detail'!T76=0,"",'Cylinder Detail'!T76)</f>
        <v/>
      </c>
      <c r="AA74" s="21" t="str">
        <f>IF('Cylinder Detail'!H76=0,"",'Cylinder Detail'!H76)</f>
        <v/>
      </c>
      <c r="AB74" s="21" t="str">
        <f>IF('Cylinder Detail'!I76=0,"",'Cylinder Detail'!I76)</f>
        <v/>
      </c>
      <c r="AC74" s="22" t="str">
        <f>IF('Cylinder Detail'!AB76=0,"",'Cylinder Detail'!AB76)</f>
        <v/>
      </c>
      <c r="AD74" s="25" t="str">
        <f>IF('Sensor Detail'!F76=0,"","=" &amp; 'Sensor Detail'!F76)</f>
        <v/>
      </c>
      <c r="AE74" s="25" t="str">
        <f>IF('Sensor Detail'!H76=0,"",'Sensor Detail'!H76)</f>
        <v/>
      </c>
      <c r="AF74" s="27" t="str">
        <f>IF('Sensor Detail'!G76=0,"","-" &amp; 'Sensor Detail'!G76)</f>
        <v/>
      </c>
      <c r="AG74" s="27" t="str">
        <f>IF('Sensor Detail'!I76=0,"",'Sensor Detail'!I76)</f>
        <v/>
      </c>
      <c r="AH74" s="27" t="str">
        <f>IF('Sensor Detail'!E76=0,"","+" &amp; 'Sensor Detail'!E76)</f>
        <v/>
      </c>
      <c r="AI74" s="27" t="str">
        <f t="shared" si="27"/>
        <v/>
      </c>
      <c r="AJ74" s="27" t="str">
        <f>IF('Sensor Detail'!J76=0,"",'Sensor Detail'!J76)</f>
        <v/>
      </c>
      <c r="AK74" s="27" t="str">
        <f>IF('Sensor Detail'!K76=0,"",'Sensor Detail'!K76)</f>
        <v/>
      </c>
      <c r="AL74" s="27" t="str">
        <f>IF('Sensor Detail'!L76=0,"",'Sensor Detail'!L76)</f>
        <v/>
      </c>
      <c r="AM74" s="27" t="str">
        <f>IF('Sensor Detail'!M76=0,"",'Sensor Detail'!M76)</f>
        <v/>
      </c>
      <c r="AN74" s="27" t="str">
        <f>IF('Sensor Detail'!N76=0,"",'Sensor Detail'!N76)</f>
        <v/>
      </c>
      <c r="AO74" s="27" t="str">
        <f>IF('Sensor Detail'!O76=0,"",'Sensor Detail'!O76)</f>
        <v/>
      </c>
      <c r="AP74" s="15" t="str">
        <f t="shared" si="28"/>
        <v/>
      </c>
      <c r="AQ74" s="15" t="str">
        <f t="shared" si="29"/>
        <v/>
      </c>
    </row>
    <row r="75" spans="1:43">
      <c r="A75" s="13" t="str">
        <f t="shared" si="15"/>
        <v/>
      </c>
      <c r="B75" s="13" t="str">
        <f t="shared" si="16"/>
        <v/>
      </c>
      <c r="C75" s="15" t="str">
        <f t="shared" si="17"/>
        <v/>
      </c>
      <c r="D75" s="15" t="str">
        <f t="shared" si="18"/>
        <v/>
      </c>
      <c r="E75" s="15" t="str">
        <f t="shared" si="19"/>
        <v/>
      </c>
      <c r="F75" s="15" t="str">
        <f t="shared" si="20"/>
        <v/>
      </c>
      <c r="G75" s="15" t="str">
        <f t="shared" si="21"/>
        <v/>
      </c>
      <c r="H75" s="15" t="str">
        <f t="shared" si="22"/>
        <v/>
      </c>
      <c r="I75" s="15" t="str">
        <f t="shared" si="23"/>
        <v/>
      </c>
      <c r="J75" s="15" t="str">
        <f t="shared" si="24"/>
        <v/>
      </c>
      <c r="K75" s="13" t="str">
        <f>IF('Cylinder Detail'!U77=0,"",'Cylinder Detail'!U77)</f>
        <v/>
      </c>
      <c r="L75" s="13" t="str">
        <f>IF('Cylinder Detail'!Z77=0,"",_xlfn.TEXTBEFORE('Cylinder Detail'!Z77, ","))</f>
        <v/>
      </c>
      <c r="M75" s="13" t="str">
        <f t="shared" si="25"/>
        <v/>
      </c>
      <c r="N75" s="17" t="str">
        <f>IF('Cylinder Detail'!V77=0,"",'Cylinder Detail'!V77)</f>
        <v/>
      </c>
      <c r="O75" s="17" t="str">
        <f>IF('Cylinder Detail'!Z77=0,"",_xlfn.TEXTAFTER('Cylinder Detail'!Z77, ", "))</f>
        <v/>
      </c>
      <c r="P75" s="17" t="str">
        <f>IF('Cylinder Detail'!AA77=0,"",'Cylinder Detail'!AA77)</f>
        <v/>
      </c>
      <c r="Q75" s="19" t="str">
        <f>IF('Cylinder Detail'!W77=0,"",'Cylinder Detail'!W77)</f>
        <v/>
      </c>
      <c r="R75" s="19" t="str">
        <f>IF('Cylinder Detail'!Y77=0,"",'Cylinder Detail'!Y77)</f>
        <v/>
      </c>
      <c r="S75" s="21" t="str">
        <f>IF('Cylinder Detail'!X77=0,"",'Cylinder Detail'!X77)</f>
        <v/>
      </c>
      <c r="T75" s="21" t="str">
        <f>IF('Cylinder Detail'!F77=0,"",'Cylinder Detail'!F77)</f>
        <v/>
      </c>
      <c r="U75" s="21" t="str">
        <f>IF('Cylinder Detail'!R77=0,"",'Cylinder Detail'!R77)</f>
        <v/>
      </c>
      <c r="V75" s="21" t="str">
        <f>IF('Cylinder Detail'!Q77=0,"",'Cylinder Detail'!Q77)</f>
        <v/>
      </c>
      <c r="W75" s="21" t="str">
        <f>IF('Cylinder Detail'!E77=0,"","+" &amp; 'Cylinder Detail'!E77)</f>
        <v/>
      </c>
      <c r="X75" s="21" t="str">
        <f t="shared" si="26"/>
        <v/>
      </c>
      <c r="Y75" s="21" t="str">
        <f>IF('Cylinder Detail'!S77=0,"",'Cylinder Detail'!S77)</f>
        <v/>
      </c>
      <c r="Z75" s="21" t="str">
        <f>IF('Cylinder Detail'!T77=0,"",'Cylinder Detail'!T77)</f>
        <v/>
      </c>
      <c r="AA75" s="21" t="str">
        <f>IF('Cylinder Detail'!H77=0,"",'Cylinder Detail'!H77)</f>
        <v/>
      </c>
      <c r="AB75" s="21" t="str">
        <f>IF('Cylinder Detail'!I77=0,"",'Cylinder Detail'!I77)</f>
        <v/>
      </c>
      <c r="AC75" s="22" t="str">
        <f>IF('Cylinder Detail'!AB77=0,"",'Cylinder Detail'!AB77)</f>
        <v/>
      </c>
      <c r="AD75" s="25" t="str">
        <f>IF('Sensor Detail'!F77=0,"","=" &amp; 'Sensor Detail'!F77)</f>
        <v/>
      </c>
      <c r="AE75" s="25" t="str">
        <f>IF('Sensor Detail'!H77=0,"",'Sensor Detail'!H77)</f>
        <v/>
      </c>
      <c r="AF75" s="27" t="str">
        <f>IF('Sensor Detail'!G77=0,"","-" &amp; 'Sensor Detail'!G77)</f>
        <v/>
      </c>
      <c r="AG75" s="27" t="str">
        <f>IF('Sensor Detail'!I77=0,"",'Sensor Detail'!I77)</f>
        <v/>
      </c>
      <c r="AH75" s="27" t="str">
        <f>IF('Sensor Detail'!E77=0,"","+" &amp; 'Sensor Detail'!E77)</f>
        <v/>
      </c>
      <c r="AI75" s="27" t="str">
        <f t="shared" si="27"/>
        <v/>
      </c>
      <c r="AJ75" s="27" t="str">
        <f>IF('Sensor Detail'!J77=0,"",'Sensor Detail'!J77)</f>
        <v/>
      </c>
      <c r="AK75" s="27" t="str">
        <f>IF('Sensor Detail'!K77=0,"",'Sensor Detail'!K77)</f>
        <v/>
      </c>
      <c r="AL75" s="27" t="str">
        <f>IF('Sensor Detail'!L77=0,"",'Sensor Detail'!L77)</f>
        <v/>
      </c>
      <c r="AM75" s="27" t="str">
        <f>IF('Sensor Detail'!M77=0,"",'Sensor Detail'!M77)</f>
        <v/>
      </c>
      <c r="AN75" s="27" t="str">
        <f>IF('Sensor Detail'!N77=0,"",'Sensor Detail'!N77)</f>
        <v/>
      </c>
      <c r="AO75" s="27" t="str">
        <f>IF('Sensor Detail'!O77=0,"",'Sensor Detail'!O77)</f>
        <v/>
      </c>
      <c r="AP75" s="15" t="str">
        <f t="shared" si="28"/>
        <v/>
      </c>
      <c r="AQ75" s="15" t="str">
        <f t="shared" si="29"/>
        <v/>
      </c>
    </row>
    <row r="76" spans="1:43">
      <c r="A76" s="13" t="str">
        <f t="shared" si="15"/>
        <v/>
      </c>
      <c r="B76" s="13" t="str">
        <f t="shared" si="16"/>
        <v/>
      </c>
      <c r="C76" s="15" t="str">
        <f t="shared" si="17"/>
        <v/>
      </c>
      <c r="D76" s="15" t="str">
        <f t="shared" si="18"/>
        <v/>
      </c>
      <c r="E76" s="15" t="str">
        <f t="shared" si="19"/>
        <v/>
      </c>
      <c r="F76" s="15" t="str">
        <f t="shared" si="20"/>
        <v/>
      </c>
      <c r="G76" s="15" t="str">
        <f t="shared" si="21"/>
        <v/>
      </c>
      <c r="H76" s="15" t="str">
        <f t="shared" si="22"/>
        <v/>
      </c>
      <c r="I76" s="15" t="str">
        <f t="shared" si="23"/>
        <v/>
      </c>
      <c r="J76" s="15" t="str">
        <f t="shared" si="24"/>
        <v/>
      </c>
      <c r="K76" s="13" t="str">
        <f>IF('Cylinder Detail'!U78=0,"",'Cylinder Detail'!U78)</f>
        <v/>
      </c>
      <c r="L76" s="13" t="str">
        <f>IF('Cylinder Detail'!Z78=0,"",_xlfn.TEXTBEFORE('Cylinder Detail'!Z78, ","))</f>
        <v/>
      </c>
      <c r="M76" s="13" t="str">
        <f t="shared" si="25"/>
        <v/>
      </c>
      <c r="N76" s="17" t="str">
        <f>IF('Cylinder Detail'!V78=0,"",'Cylinder Detail'!V78)</f>
        <v/>
      </c>
      <c r="O76" s="17" t="str">
        <f>IF('Cylinder Detail'!Z78=0,"",_xlfn.TEXTAFTER('Cylinder Detail'!Z78, ", "))</f>
        <v/>
      </c>
      <c r="P76" s="17" t="str">
        <f>IF('Cylinder Detail'!AA78=0,"",'Cylinder Detail'!AA78)</f>
        <v/>
      </c>
      <c r="Q76" s="19" t="str">
        <f>IF('Cylinder Detail'!W78=0,"",'Cylinder Detail'!W78)</f>
        <v/>
      </c>
      <c r="R76" s="19" t="str">
        <f>IF('Cylinder Detail'!Y78=0,"",'Cylinder Detail'!Y78)</f>
        <v/>
      </c>
      <c r="S76" s="21" t="str">
        <f>IF('Cylinder Detail'!X78=0,"",'Cylinder Detail'!X78)</f>
        <v/>
      </c>
      <c r="T76" s="21" t="str">
        <f>IF('Cylinder Detail'!F78=0,"",'Cylinder Detail'!F78)</f>
        <v/>
      </c>
      <c r="U76" s="21" t="str">
        <f>IF('Cylinder Detail'!R78=0,"",'Cylinder Detail'!R78)</f>
        <v/>
      </c>
      <c r="V76" s="21" t="str">
        <f>IF('Cylinder Detail'!Q78=0,"",'Cylinder Detail'!Q78)</f>
        <v/>
      </c>
      <c r="W76" s="21" t="str">
        <f>IF('Cylinder Detail'!E78=0,"","+" &amp; 'Cylinder Detail'!E78)</f>
        <v/>
      </c>
      <c r="X76" s="21" t="str">
        <f t="shared" si="26"/>
        <v/>
      </c>
      <c r="Y76" s="21" t="str">
        <f>IF('Cylinder Detail'!S78=0,"",'Cylinder Detail'!S78)</f>
        <v/>
      </c>
      <c r="Z76" s="21" t="str">
        <f>IF('Cylinder Detail'!T78=0,"",'Cylinder Detail'!T78)</f>
        <v/>
      </c>
      <c r="AA76" s="21" t="str">
        <f>IF('Cylinder Detail'!H78=0,"",'Cylinder Detail'!H78)</f>
        <v/>
      </c>
      <c r="AB76" s="21" t="str">
        <f>IF('Cylinder Detail'!I78=0,"",'Cylinder Detail'!I78)</f>
        <v/>
      </c>
      <c r="AC76" s="22" t="str">
        <f>IF('Cylinder Detail'!AB78=0,"",'Cylinder Detail'!AB78)</f>
        <v/>
      </c>
      <c r="AD76" s="25" t="str">
        <f>IF('Sensor Detail'!F78=0,"","=" &amp; 'Sensor Detail'!F78)</f>
        <v/>
      </c>
      <c r="AE76" s="25" t="str">
        <f>IF('Sensor Detail'!H78=0,"",'Sensor Detail'!H78)</f>
        <v/>
      </c>
      <c r="AF76" s="27" t="str">
        <f>IF('Sensor Detail'!G78=0,"","-" &amp; 'Sensor Detail'!G78)</f>
        <v/>
      </c>
      <c r="AG76" s="27" t="str">
        <f>IF('Sensor Detail'!I78=0,"",'Sensor Detail'!I78)</f>
        <v/>
      </c>
      <c r="AH76" s="27" t="str">
        <f>IF('Sensor Detail'!E78=0,"","+" &amp; 'Sensor Detail'!E78)</f>
        <v/>
      </c>
      <c r="AI76" s="27" t="str">
        <f t="shared" si="27"/>
        <v/>
      </c>
      <c r="AJ76" s="27" t="str">
        <f>IF('Sensor Detail'!J78=0,"",'Sensor Detail'!J78)</f>
        <v/>
      </c>
      <c r="AK76" s="27" t="str">
        <f>IF('Sensor Detail'!K78=0,"",'Sensor Detail'!K78)</f>
        <v/>
      </c>
      <c r="AL76" s="27" t="str">
        <f>IF('Sensor Detail'!L78=0,"",'Sensor Detail'!L78)</f>
        <v/>
      </c>
      <c r="AM76" s="27" t="str">
        <f>IF('Sensor Detail'!M78=0,"",'Sensor Detail'!M78)</f>
        <v/>
      </c>
      <c r="AN76" s="27" t="str">
        <f>IF('Sensor Detail'!N78=0,"",'Sensor Detail'!N78)</f>
        <v/>
      </c>
      <c r="AO76" s="27" t="str">
        <f>IF('Sensor Detail'!O78=0,"",'Sensor Detail'!O78)</f>
        <v/>
      </c>
      <c r="AP76" s="15" t="str">
        <f t="shared" si="28"/>
        <v/>
      </c>
      <c r="AQ76" s="15" t="str">
        <f t="shared" si="29"/>
        <v/>
      </c>
    </row>
    <row r="77" spans="1:43">
      <c r="A77" s="13" t="str">
        <f t="shared" si="15"/>
        <v/>
      </c>
      <c r="B77" s="13" t="str">
        <f t="shared" si="16"/>
        <v/>
      </c>
      <c r="C77" s="15" t="str">
        <f t="shared" si="17"/>
        <v/>
      </c>
      <c r="D77" s="15" t="str">
        <f t="shared" si="18"/>
        <v/>
      </c>
      <c r="E77" s="15" t="str">
        <f t="shared" si="19"/>
        <v/>
      </c>
      <c r="F77" s="15" t="str">
        <f t="shared" si="20"/>
        <v/>
      </c>
      <c r="G77" s="15" t="str">
        <f t="shared" si="21"/>
        <v/>
      </c>
      <c r="H77" s="15" t="str">
        <f t="shared" si="22"/>
        <v/>
      </c>
      <c r="I77" s="15" t="str">
        <f t="shared" si="23"/>
        <v/>
      </c>
      <c r="J77" s="15" t="str">
        <f t="shared" si="24"/>
        <v/>
      </c>
      <c r="K77" s="13" t="str">
        <f>IF('Cylinder Detail'!U79=0,"",'Cylinder Detail'!U79)</f>
        <v/>
      </c>
      <c r="L77" s="13" t="str">
        <f>IF('Cylinder Detail'!Z79=0,"",_xlfn.TEXTBEFORE('Cylinder Detail'!Z79, ","))</f>
        <v/>
      </c>
      <c r="M77" s="13" t="str">
        <f t="shared" si="25"/>
        <v/>
      </c>
      <c r="N77" s="17" t="str">
        <f>IF('Cylinder Detail'!V79=0,"",'Cylinder Detail'!V79)</f>
        <v/>
      </c>
      <c r="O77" s="17" t="str">
        <f>IF('Cylinder Detail'!Z79=0,"",_xlfn.TEXTAFTER('Cylinder Detail'!Z79, ", "))</f>
        <v/>
      </c>
      <c r="P77" s="17" t="str">
        <f>IF('Cylinder Detail'!AA79=0,"",'Cylinder Detail'!AA79)</f>
        <v/>
      </c>
      <c r="Q77" s="19" t="str">
        <f>IF('Cylinder Detail'!W79=0,"",'Cylinder Detail'!W79)</f>
        <v/>
      </c>
      <c r="R77" s="19" t="str">
        <f>IF('Cylinder Detail'!Y79=0,"",'Cylinder Detail'!Y79)</f>
        <v/>
      </c>
      <c r="S77" s="21" t="str">
        <f>IF('Cylinder Detail'!X79=0,"",'Cylinder Detail'!X79)</f>
        <v/>
      </c>
      <c r="T77" s="21" t="str">
        <f>IF('Cylinder Detail'!F79=0,"",'Cylinder Detail'!F79)</f>
        <v/>
      </c>
      <c r="U77" s="21" t="str">
        <f>IF('Cylinder Detail'!R79=0,"",'Cylinder Detail'!R79)</f>
        <v/>
      </c>
      <c r="V77" s="21" t="str">
        <f>IF('Cylinder Detail'!Q79=0,"",'Cylinder Detail'!Q79)</f>
        <v/>
      </c>
      <c r="W77" s="21" t="str">
        <f>IF('Cylinder Detail'!E79=0,"","+" &amp; 'Cylinder Detail'!E79)</f>
        <v/>
      </c>
      <c r="X77" s="21" t="str">
        <f t="shared" si="26"/>
        <v/>
      </c>
      <c r="Y77" s="21" t="str">
        <f>IF('Cylinder Detail'!S79=0,"",'Cylinder Detail'!S79)</f>
        <v/>
      </c>
      <c r="Z77" s="21" t="str">
        <f>IF('Cylinder Detail'!T79=0,"",'Cylinder Detail'!T79)</f>
        <v/>
      </c>
      <c r="AA77" s="21" t="str">
        <f>IF('Cylinder Detail'!H79=0,"",'Cylinder Detail'!H79)</f>
        <v/>
      </c>
      <c r="AB77" s="21" t="str">
        <f>IF('Cylinder Detail'!I79=0,"",'Cylinder Detail'!I79)</f>
        <v/>
      </c>
      <c r="AC77" s="22" t="str">
        <f>IF('Cylinder Detail'!AB79=0,"",'Cylinder Detail'!AB79)</f>
        <v/>
      </c>
      <c r="AD77" s="25" t="str">
        <f>IF('Sensor Detail'!F79=0,"","=" &amp; 'Sensor Detail'!F79)</f>
        <v/>
      </c>
      <c r="AE77" s="25" t="str">
        <f>IF('Sensor Detail'!H79=0,"",'Sensor Detail'!H79)</f>
        <v/>
      </c>
      <c r="AF77" s="27" t="str">
        <f>IF('Sensor Detail'!G79=0,"","-" &amp; 'Sensor Detail'!G79)</f>
        <v/>
      </c>
      <c r="AG77" s="27" t="str">
        <f>IF('Sensor Detail'!I79=0,"",'Sensor Detail'!I79)</f>
        <v/>
      </c>
      <c r="AH77" s="27" t="str">
        <f>IF('Sensor Detail'!E79=0,"","+" &amp; 'Sensor Detail'!E79)</f>
        <v/>
      </c>
      <c r="AI77" s="27" t="str">
        <f t="shared" si="27"/>
        <v/>
      </c>
      <c r="AJ77" s="27" t="str">
        <f>IF('Sensor Detail'!J79=0,"",'Sensor Detail'!J79)</f>
        <v/>
      </c>
      <c r="AK77" s="27" t="str">
        <f>IF('Sensor Detail'!K79=0,"",'Sensor Detail'!K79)</f>
        <v/>
      </c>
      <c r="AL77" s="27" t="str">
        <f>IF('Sensor Detail'!L79=0,"",'Sensor Detail'!L79)</f>
        <v/>
      </c>
      <c r="AM77" s="27" t="str">
        <f>IF('Sensor Detail'!M79=0,"",'Sensor Detail'!M79)</f>
        <v/>
      </c>
      <c r="AN77" s="27" t="str">
        <f>IF('Sensor Detail'!N79=0,"",'Sensor Detail'!N79)</f>
        <v/>
      </c>
      <c r="AO77" s="27" t="str">
        <f>IF('Sensor Detail'!O79=0,"",'Sensor Detail'!O79)</f>
        <v/>
      </c>
      <c r="AP77" s="15" t="str">
        <f t="shared" si="28"/>
        <v/>
      </c>
      <c r="AQ77" s="15" t="str">
        <f t="shared" si="29"/>
        <v/>
      </c>
    </row>
    <row r="78" spans="1:43">
      <c r="A78" s="13" t="str">
        <f t="shared" si="15"/>
        <v/>
      </c>
      <c r="B78" s="13" t="str">
        <f t="shared" si="16"/>
        <v/>
      </c>
      <c r="C78" s="15" t="str">
        <f t="shared" si="17"/>
        <v/>
      </c>
      <c r="D78" s="15" t="str">
        <f t="shared" si="18"/>
        <v/>
      </c>
      <c r="E78" s="15" t="str">
        <f t="shared" si="19"/>
        <v/>
      </c>
      <c r="F78" s="15" t="str">
        <f t="shared" si="20"/>
        <v/>
      </c>
      <c r="G78" s="15" t="str">
        <f t="shared" si="21"/>
        <v/>
      </c>
      <c r="H78" s="15" t="str">
        <f t="shared" si="22"/>
        <v/>
      </c>
      <c r="I78" s="15" t="str">
        <f t="shared" si="23"/>
        <v/>
      </c>
      <c r="J78" s="15" t="str">
        <f t="shared" si="24"/>
        <v/>
      </c>
      <c r="K78" s="13" t="str">
        <f>IF('Cylinder Detail'!U80=0,"",'Cylinder Detail'!U80)</f>
        <v/>
      </c>
      <c r="L78" s="13" t="str">
        <f>IF('Cylinder Detail'!Z80=0,"",_xlfn.TEXTBEFORE('Cylinder Detail'!Z80, ","))</f>
        <v/>
      </c>
      <c r="M78" s="13" t="str">
        <f t="shared" si="25"/>
        <v/>
      </c>
      <c r="N78" s="17" t="str">
        <f>IF('Cylinder Detail'!V80=0,"",'Cylinder Detail'!V80)</f>
        <v/>
      </c>
      <c r="O78" s="17" t="str">
        <f>IF('Cylinder Detail'!Z80=0,"",_xlfn.TEXTAFTER('Cylinder Detail'!Z80, ", "))</f>
        <v/>
      </c>
      <c r="P78" s="17" t="str">
        <f>IF('Cylinder Detail'!AA80=0,"",'Cylinder Detail'!AA80)</f>
        <v/>
      </c>
      <c r="Q78" s="19" t="str">
        <f>IF('Cylinder Detail'!W80=0,"",'Cylinder Detail'!W80)</f>
        <v/>
      </c>
      <c r="R78" s="19" t="str">
        <f>IF('Cylinder Detail'!Y80=0,"",'Cylinder Detail'!Y80)</f>
        <v/>
      </c>
      <c r="S78" s="21" t="str">
        <f>IF('Cylinder Detail'!X80=0,"",'Cylinder Detail'!X80)</f>
        <v/>
      </c>
      <c r="T78" s="21" t="str">
        <f>IF('Cylinder Detail'!F80=0,"",'Cylinder Detail'!F80)</f>
        <v/>
      </c>
      <c r="U78" s="21" t="str">
        <f>IF('Cylinder Detail'!R80=0,"",'Cylinder Detail'!R80)</f>
        <v/>
      </c>
      <c r="V78" s="21" t="str">
        <f>IF('Cylinder Detail'!Q80=0,"",'Cylinder Detail'!Q80)</f>
        <v/>
      </c>
      <c r="W78" s="21" t="str">
        <f>IF('Cylinder Detail'!E80=0,"","+" &amp; 'Cylinder Detail'!E80)</f>
        <v/>
      </c>
      <c r="X78" s="21" t="str">
        <f t="shared" si="26"/>
        <v/>
      </c>
      <c r="Y78" s="21" t="str">
        <f>IF('Cylinder Detail'!S80=0,"",'Cylinder Detail'!S80)</f>
        <v/>
      </c>
      <c r="Z78" s="21" t="str">
        <f>IF('Cylinder Detail'!T80=0,"",'Cylinder Detail'!T80)</f>
        <v/>
      </c>
      <c r="AA78" s="21" t="str">
        <f>IF('Cylinder Detail'!H80=0,"",'Cylinder Detail'!H80)</f>
        <v/>
      </c>
      <c r="AB78" s="21" t="str">
        <f>IF('Cylinder Detail'!I80=0,"",'Cylinder Detail'!I80)</f>
        <v/>
      </c>
      <c r="AC78" s="22" t="str">
        <f>IF('Cylinder Detail'!AB80=0,"",'Cylinder Detail'!AB80)</f>
        <v/>
      </c>
      <c r="AD78" s="25" t="str">
        <f>IF('Sensor Detail'!F80=0,"","=" &amp; 'Sensor Detail'!F80)</f>
        <v/>
      </c>
      <c r="AE78" s="25" t="str">
        <f>IF('Sensor Detail'!H80=0,"",'Sensor Detail'!H80)</f>
        <v/>
      </c>
      <c r="AF78" s="27" t="str">
        <f>IF('Sensor Detail'!G80=0,"","-" &amp; 'Sensor Detail'!G80)</f>
        <v/>
      </c>
      <c r="AG78" s="27" t="str">
        <f>IF('Sensor Detail'!I80=0,"",'Sensor Detail'!I80)</f>
        <v/>
      </c>
      <c r="AH78" s="27" t="str">
        <f>IF('Sensor Detail'!E80=0,"","+" &amp; 'Sensor Detail'!E80)</f>
        <v/>
      </c>
      <c r="AI78" s="27" t="str">
        <f t="shared" si="27"/>
        <v/>
      </c>
      <c r="AJ78" s="27" t="str">
        <f>IF('Sensor Detail'!J80=0,"",'Sensor Detail'!J80)</f>
        <v/>
      </c>
      <c r="AK78" s="27" t="str">
        <f>IF('Sensor Detail'!K80=0,"",'Sensor Detail'!K80)</f>
        <v/>
      </c>
      <c r="AL78" s="27" t="str">
        <f>IF('Sensor Detail'!L80=0,"",'Sensor Detail'!L80)</f>
        <v/>
      </c>
      <c r="AM78" s="27" t="str">
        <f>IF('Sensor Detail'!M80=0,"",'Sensor Detail'!M80)</f>
        <v/>
      </c>
      <c r="AN78" s="27" t="str">
        <f>IF('Sensor Detail'!N80=0,"",'Sensor Detail'!N80)</f>
        <v/>
      </c>
      <c r="AO78" s="27" t="str">
        <f>IF('Sensor Detail'!O80=0,"",'Sensor Detail'!O80)</f>
        <v/>
      </c>
      <c r="AP78" s="15" t="str">
        <f t="shared" si="28"/>
        <v/>
      </c>
      <c r="AQ78" s="15" t="str">
        <f t="shared" si="29"/>
        <v/>
      </c>
    </row>
    <row r="79" spans="1:43">
      <c r="A79" s="13" t="str">
        <f t="shared" si="15"/>
        <v/>
      </c>
      <c r="B79" s="13" t="str">
        <f t="shared" si="16"/>
        <v/>
      </c>
      <c r="C79" s="15" t="str">
        <f t="shared" si="17"/>
        <v/>
      </c>
      <c r="D79" s="15" t="str">
        <f t="shared" si="18"/>
        <v/>
      </c>
      <c r="E79" s="15" t="str">
        <f t="shared" si="19"/>
        <v/>
      </c>
      <c r="F79" s="15" t="str">
        <f t="shared" si="20"/>
        <v/>
      </c>
      <c r="G79" s="15" t="str">
        <f t="shared" si="21"/>
        <v/>
      </c>
      <c r="H79" s="15" t="str">
        <f t="shared" si="22"/>
        <v/>
      </c>
      <c r="I79" s="15" t="str">
        <f t="shared" si="23"/>
        <v/>
      </c>
      <c r="J79" s="15" t="str">
        <f t="shared" si="24"/>
        <v/>
      </c>
      <c r="K79" s="13" t="str">
        <f>IF('Cylinder Detail'!U81=0,"",'Cylinder Detail'!U81)</f>
        <v/>
      </c>
      <c r="L79" s="13" t="str">
        <f>IF('Cylinder Detail'!Z81=0,"",_xlfn.TEXTBEFORE('Cylinder Detail'!Z81, ","))</f>
        <v/>
      </c>
      <c r="M79" s="13" t="str">
        <f t="shared" si="25"/>
        <v/>
      </c>
      <c r="N79" s="17" t="str">
        <f>IF('Cylinder Detail'!V81=0,"",'Cylinder Detail'!V81)</f>
        <v/>
      </c>
      <c r="O79" s="17" t="str">
        <f>IF('Cylinder Detail'!Z81=0,"",_xlfn.TEXTAFTER('Cylinder Detail'!Z81, ", "))</f>
        <v/>
      </c>
      <c r="P79" s="17" t="str">
        <f>IF('Cylinder Detail'!AA81=0,"",'Cylinder Detail'!AA81)</f>
        <v/>
      </c>
      <c r="Q79" s="19" t="str">
        <f>IF('Cylinder Detail'!W81=0,"",'Cylinder Detail'!W81)</f>
        <v/>
      </c>
      <c r="R79" s="19" t="str">
        <f>IF('Cylinder Detail'!Y81=0,"",'Cylinder Detail'!Y81)</f>
        <v/>
      </c>
      <c r="S79" s="21" t="str">
        <f>IF('Cylinder Detail'!X81=0,"",'Cylinder Detail'!X81)</f>
        <v/>
      </c>
      <c r="T79" s="21" t="str">
        <f>IF('Cylinder Detail'!F81=0,"",'Cylinder Detail'!F81)</f>
        <v/>
      </c>
      <c r="U79" s="21" t="str">
        <f>IF('Cylinder Detail'!R81=0,"",'Cylinder Detail'!R81)</f>
        <v/>
      </c>
      <c r="V79" s="21" t="str">
        <f>IF('Cylinder Detail'!Q81=0,"",'Cylinder Detail'!Q81)</f>
        <v/>
      </c>
      <c r="W79" s="21" t="str">
        <f>IF('Cylinder Detail'!E81=0,"","+" &amp; 'Cylinder Detail'!E81)</f>
        <v/>
      </c>
      <c r="X79" s="21" t="str">
        <f t="shared" si="26"/>
        <v/>
      </c>
      <c r="Y79" s="21" t="str">
        <f>IF('Cylinder Detail'!S81=0,"",'Cylinder Detail'!S81)</f>
        <v/>
      </c>
      <c r="Z79" s="21" t="str">
        <f>IF('Cylinder Detail'!T81=0,"",'Cylinder Detail'!T81)</f>
        <v/>
      </c>
      <c r="AA79" s="21" t="str">
        <f>IF('Cylinder Detail'!H81=0,"",'Cylinder Detail'!H81)</f>
        <v/>
      </c>
      <c r="AB79" s="21" t="str">
        <f>IF('Cylinder Detail'!I81=0,"",'Cylinder Detail'!I81)</f>
        <v/>
      </c>
      <c r="AC79" s="22" t="str">
        <f>IF('Cylinder Detail'!AB81=0,"",'Cylinder Detail'!AB81)</f>
        <v/>
      </c>
      <c r="AD79" s="25" t="str">
        <f>IF('Sensor Detail'!F81=0,"","=" &amp; 'Sensor Detail'!F81)</f>
        <v/>
      </c>
      <c r="AE79" s="25" t="str">
        <f>IF('Sensor Detail'!H81=0,"",'Sensor Detail'!H81)</f>
        <v/>
      </c>
      <c r="AF79" s="27" t="str">
        <f>IF('Sensor Detail'!G81=0,"","-" &amp; 'Sensor Detail'!G81)</f>
        <v/>
      </c>
      <c r="AG79" s="27" t="str">
        <f>IF('Sensor Detail'!I81=0,"",'Sensor Detail'!I81)</f>
        <v/>
      </c>
      <c r="AH79" s="27" t="str">
        <f>IF('Sensor Detail'!E81=0,"","+" &amp; 'Sensor Detail'!E81)</f>
        <v/>
      </c>
      <c r="AI79" s="27" t="str">
        <f t="shared" si="27"/>
        <v/>
      </c>
      <c r="AJ79" s="27" t="str">
        <f>IF('Sensor Detail'!J81=0,"",'Sensor Detail'!J81)</f>
        <v/>
      </c>
      <c r="AK79" s="27" t="str">
        <f>IF('Sensor Detail'!K81=0,"",'Sensor Detail'!K81)</f>
        <v/>
      </c>
      <c r="AL79" s="27" t="str">
        <f>IF('Sensor Detail'!L81=0,"",'Sensor Detail'!L81)</f>
        <v/>
      </c>
      <c r="AM79" s="27" t="str">
        <f>IF('Sensor Detail'!M81=0,"",'Sensor Detail'!M81)</f>
        <v/>
      </c>
      <c r="AN79" s="27" t="str">
        <f>IF('Sensor Detail'!N81=0,"",'Sensor Detail'!N81)</f>
        <v/>
      </c>
      <c r="AO79" s="27" t="str">
        <f>IF('Sensor Detail'!O81=0,"",'Sensor Detail'!O81)</f>
        <v/>
      </c>
      <c r="AP79" s="15" t="str">
        <f t="shared" si="28"/>
        <v/>
      </c>
      <c r="AQ79" s="15" t="str">
        <f t="shared" si="29"/>
        <v/>
      </c>
    </row>
    <row r="80" spans="1:43">
      <c r="A80" s="13" t="str">
        <f t="shared" si="15"/>
        <v/>
      </c>
      <c r="B80" s="13" t="str">
        <f t="shared" si="16"/>
        <v/>
      </c>
      <c r="C80" s="15" t="str">
        <f t="shared" si="17"/>
        <v/>
      </c>
      <c r="D80" s="15" t="str">
        <f t="shared" si="18"/>
        <v/>
      </c>
      <c r="E80" s="15" t="str">
        <f t="shared" si="19"/>
        <v/>
      </c>
      <c r="F80" s="15" t="str">
        <f t="shared" si="20"/>
        <v/>
      </c>
      <c r="G80" s="15" t="str">
        <f t="shared" si="21"/>
        <v/>
      </c>
      <c r="H80" s="15" t="str">
        <f t="shared" si="22"/>
        <v/>
      </c>
      <c r="I80" s="15" t="str">
        <f t="shared" si="23"/>
        <v/>
      </c>
      <c r="J80" s="15" t="str">
        <f t="shared" si="24"/>
        <v/>
      </c>
      <c r="K80" s="13" t="str">
        <f>IF('Cylinder Detail'!U82=0,"",'Cylinder Detail'!U82)</f>
        <v/>
      </c>
      <c r="L80" s="13" t="str">
        <f>IF('Cylinder Detail'!Z82=0,"",_xlfn.TEXTBEFORE('Cylinder Detail'!Z82, ","))</f>
        <v/>
      </c>
      <c r="M80" s="13" t="str">
        <f t="shared" si="25"/>
        <v/>
      </c>
      <c r="N80" s="17" t="str">
        <f>IF('Cylinder Detail'!V82=0,"",'Cylinder Detail'!V82)</f>
        <v/>
      </c>
      <c r="O80" s="17" t="str">
        <f>IF('Cylinder Detail'!Z82=0,"",_xlfn.TEXTAFTER('Cylinder Detail'!Z82, ", "))</f>
        <v/>
      </c>
      <c r="P80" s="17" t="str">
        <f>IF('Cylinder Detail'!AA82=0,"",'Cylinder Detail'!AA82)</f>
        <v/>
      </c>
      <c r="Q80" s="19" t="str">
        <f>IF('Cylinder Detail'!W82=0,"",'Cylinder Detail'!W82)</f>
        <v/>
      </c>
      <c r="R80" s="19" t="str">
        <f>IF('Cylinder Detail'!Y82=0,"",'Cylinder Detail'!Y82)</f>
        <v/>
      </c>
      <c r="S80" s="21" t="str">
        <f>IF('Cylinder Detail'!X82=0,"",'Cylinder Detail'!X82)</f>
        <v/>
      </c>
      <c r="T80" s="21" t="str">
        <f>IF('Cylinder Detail'!F82=0,"",'Cylinder Detail'!F82)</f>
        <v/>
      </c>
      <c r="U80" s="21" t="str">
        <f>IF('Cylinder Detail'!R82=0,"",'Cylinder Detail'!R82)</f>
        <v/>
      </c>
      <c r="V80" s="21" t="str">
        <f>IF('Cylinder Detail'!Q82=0,"",'Cylinder Detail'!Q82)</f>
        <v/>
      </c>
      <c r="W80" s="21" t="str">
        <f>IF('Cylinder Detail'!E82=0,"","+" &amp; 'Cylinder Detail'!E82)</f>
        <v/>
      </c>
      <c r="X80" s="21" t="str">
        <f t="shared" si="26"/>
        <v/>
      </c>
      <c r="Y80" s="21" t="str">
        <f>IF('Cylinder Detail'!S82=0,"",'Cylinder Detail'!S82)</f>
        <v/>
      </c>
      <c r="Z80" s="21" t="str">
        <f>IF('Cylinder Detail'!T82=0,"",'Cylinder Detail'!T82)</f>
        <v/>
      </c>
      <c r="AA80" s="21" t="str">
        <f>IF('Cylinder Detail'!H82=0,"",'Cylinder Detail'!H82)</f>
        <v/>
      </c>
      <c r="AB80" s="21" t="str">
        <f>IF('Cylinder Detail'!I82=0,"",'Cylinder Detail'!I82)</f>
        <v/>
      </c>
      <c r="AC80" s="22" t="str">
        <f>IF('Cylinder Detail'!AB82=0,"",'Cylinder Detail'!AB82)</f>
        <v/>
      </c>
      <c r="AD80" s="25" t="str">
        <f>IF('Sensor Detail'!F82=0,"","=" &amp; 'Sensor Detail'!F82)</f>
        <v/>
      </c>
      <c r="AE80" s="25" t="str">
        <f>IF('Sensor Detail'!H82=0,"",'Sensor Detail'!H82)</f>
        <v/>
      </c>
      <c r="AF80" s="27" t="str">
        <f>IF('Sensor Detail'!G82=0,"","-" &amp; 'Sensor Detail'!G82)</f>
        <v/>
      </c>
      <c r="AG80" s="27" t="str">
        <f>IF('Sensor Detail'!I82=0,"",'Sensor Detail'!I82)</f>
        <v/>
      </c>
      <c r="AH80" s="27" t="str">
        <f>IF('Sensor Detail'!E82=0,"","+" &amp; 'Sensor Detail'!E82)</f>
        <v/>
      </c>
      <c r="AI80" s="27" t="str">
        <f t="shared" si="27"/>
        <v/>
      </c>
      <c r="AJ80" s="27" t="str">
        <f>IF('Sensor Detail'!J82=0,"",'Sensor Detail'!J82)</f>
        <v/>
      </c>
      <c r="AK80" s="27" t="str">
        <f>IF('Sensor Detail'!K82=0,"",'Sensor Detail'!K82)</f>
        <v/>
      </c>
      <c r="AL80" s="27" t="str">
        <f>IF('Sensor Detail'!L82=0,"",'Sensor Detail'!L82)</f>
        <v/>
      </c>
      <c r="AM80" s="27" t="str">
        <f>IF('Sensor Detail'!M82=0,"",'Sensor Detail'!M82)</f>
        <v/>
      </c>
      <c r="AN80" s="27" t="str">
        <f>IF('Sensor Detail'!N82=0,"",'Sensor Detail'!N82)</f>
        <v/>
      </c>
      <c r="AO80" s="27" t="str">
        <f>IF('Sensor Detail'!O82=0,"",'Sensor Detail'!O82)</f>
        <v/>
      </c>
      <c r="AP80" s="15" t="str">
        <f t="shared" si="28"/>
        <v/>
      </c>
      <c r="AQ80" s="15" t="str">
        <f t="shared" si="29"/>
        <v/>
      </c>
    </row>
    <row r="81" spans="1:43">
      <c r="A81" s="13" t="str">
        <f t="shared" si="15"/>
        <v/>
      </c>
      <c r="B81" s="13" t="str">
        <f t="shared" si="16"/>
        <v/>
      </c>
      <c r="C81" s="15" t="str">
        <f t="shared" si="17"/>
        <v/>
      </c>
      <c r="D81" s="15" t="str">
        <f t="shared" si="18"/>
        <v/>
      </c>
      <c r="E81" s="15" t="str">
        <f t="shared" si="19"/>
        <v/>
      </c>
      <c r="F81" s="15" t="str">
        <f t="shared" si="20"/>
        <v/>
      </c>
      <c r="G81" s="15" t="str">
        <f t="shared" si="21"/>
        <v/>
      </c>
      <c r="H81" s="15" t="str">
        <f t="shared" si="22"/>
        <v/>
      </c>
      <c r="I81" s="15" t="str">
        <f t="shared" si="23"/>
        <v/>
      </c>
      <c r="J81" s="15" t="str">
        <f t="shared" si="24"/>
        <v/>
      </c>
      <c r="K81" s="13" t="str">
        <f>IF('Cylinder Detail'!U83=0,"",'Cylinder Detail'!U83)</f>
        <v/>
      </c>
      <c r="L81" s="13" t="str">
        <f>IF('Cylinder Detail'!Z83=0,"",_xlfn.TEXTBEFORE('Cylinder Detail'!Z83, ","))</f>
        <v/>
      </c>
      <c r="M81" s="13" t="str">
        <f t="shared" si="25"/>
        <v/>
      </c>
      <c r="N81" s="17" t="str">
        <f>IF('Cylinder Detail'!V83=0,"",'Cylinder Detail'!V83)</f>
        <v/>
      </c>
      <c r="O81" s="17" t="str">
        <f>IF('Cylinder Detail'!Z83=0,"",_xlfn.TEXTAFTER('Cylinder Detail'!Z83, ", "))</f>
        <v/>
      </c>
      <c r="P81" s="17" t="str">
        <f>IF('Cylinder Detail'!AA83=0,"",'Cylinder Detail'!AA83)</f>
        <v/>
      </c>
      <c r="Q81" s="19" t="str">
        <f>IF('Cylinder Detail'!W83=0,"",'Cylinder Detail'!W83)</f>
        <v/>
      </c>
      <c r="R81" s="19" t="str">
        <f>IF('Cylinder Detail'!Y83=0,"",'Cylinder Detail'!Y83)</f>
        <v/>
      </c>
      <c r="S81" s="21" t="str">
        <f>IF('Cylinder Detail'!X83=0,"",'Cylinder Detail'!X83)</f>
        <v/>
      </c>
      <c r="T81" s="21" t="str">
        <f>IF('Cylinder Detail'!F83=0,"",'Cylinder Detail'!F83)</f>
        <v/>
      </c>
      <c r="U81" s="21" t="str">
        <f>IF('Cylinder Detail'!R83=0,"",'Cylinder Detail'!R83)</f>
        <v/>
      </c>
      <c r="V81" s="21" t="str">
        <f>IF('Cylinder Detail'!Q83=0,"",'Cylinder Detail'!Q83)</f>
        <v/>
      </c>
      <c r="W81" s="21" t="str">
        <f>IF('Cylinder Detail'!E83=0,"","+" &amp; 'Cylinder Detail'!E83)</f>
        <v/>
      </c>
      <c r="X81" s="21" t="str">
        <f t="shared" si="26"/>
        <v/>
      </c>
      <c r="Y81" s="21" t="str">
        <f>IF('Cylinder Detail'!S83=0,"",'Cylinder Detail'!S83)</f>
        <v/>
      </c>
      <c r="Z81" s="21" t="str">
        <f>IF('Cylinder Detail'!T83=0,"",'Cylinder Detail'!T83)</f>
        <v/>
      </c>
      <c r="AA81" s="21" t="str">
        <f>IF('Cylinder Detail'!H83=0,"",'Cylinder Detail'!H83)</f>
        <v/>
      </c>
      <c r="AB81" s="21" t="str">
        <f>IF('Cylinder Detail'!I83=0,"",'Cylinder Detail'!I83)</f>
        <v/>
      </c>
      <c r="AC81" s="22" t="str">
        <f>IF('Cylinder Detail'!AB83=0,"",'Cylinder Detail'!AB83)</f>
        <v/>
      </c>
      <c r="AD81" s="25" t="str">
        <f>IF('Sensor Detail'!F83=0,"","=" &amp; 'Sensor Detail'!F83)</f>
        <v/>
      </c>
      <c r="AE81" s="25" t="str">
        <f>IF('Sensor Detail'!H83=0,"",'Sensor Detail'!H83)</f>
        <v/>
      </c>
      <c r="AF81" s="27" t="str">
        <f>IF('Sensor Detail'!G83=0,"","-" &amp; 'Sensor Detail'!G83)</f>
        <v/>
      </c>
      <c r="AG81" s="27" t="str">
        <f>IF('Sensor Detail'!I83=0,"",'Sensor Detail'!I83)</f>
        <v/>
      </c>
      <c r="AH81" s="27" t="str">
        <f>IF('Sensor Detail'!E83=0,"","+" &amp; 'Sensor Detail'!E83)</f>
        <v/>
      </c>
      <c r="AI81" s="27" t="str">
        <f t="shared" si="27"/>
        <v/>
      </c>
      <c r="AJ81" s="27" t="str">
        <f>IF('Sensor Detail'!J83=0,"",'Sensor Detail'!J83)</f>
        <v/>
      </c>
      <c r="AK81" s="27" t="str">
        <f>IF('Sensor Detail'!K83=0,"",'Sensor Detail'!K83)</f>
        <v/>
      </c>
      <c r="AL81" s="27" t="str">
        <f>IF('Sensor Detail'!L83=0,"",'Sensor Detail'!L83)</f>
        <v/>
      </c>
      <c r="AM81" s="27" t="str">
        <f>IF('Sensor Detail'!M83=0,"",'Sensor Detail'!M83)</f>
        <v/>
      </c>
      <c r="AN81" s="27" t="str">
        <f>IF('Sensor Detail'!N83=0,"",'Sensor Detail'!N83)</f>
        <v/>
      </c>
      <c r="AO81" s="27" t="str">
        <f>IF('Sensor Detail'!O83=0,"",'Sensor Detail'!O83)</f>
        <v/>
      </c>
      <c r="AP81" s="15" t="str">
        <f t="shared" si="28"/>
        <v/>
      </c>
      <c r="AQ81" s="15" t="str">
        <f t="shared" si="29"/>
        <v/>
      </c>
    </row>
    <row r="82" spans="1:43">
      <c r="A82" s="13" t="str">
        <f t="shared" si="15"/>
        <v/>
      </c>
      <c r="B82" s="13" t="str">
        <f t="shared" si="16"/>
        <v/>
      </c>
      <c r="C82" s="15" t="str">
        <f t="shared" si="17"/>
        <v/>
      </c>
      <c r="D82" s="15" t="str">
        <f t="shared" si="18"/>
        <v/>
      </c>
      <c r="E82" s="15" t="str">
        <f t="shared" si="19"/>
        <v/>
      </c>
      <c r="F82" s="15" t="str">
        <f t="shared" si="20"/>
        <v/>
      </c>
      <c r="G82" s="15" t="str">
        <f t="shared" si="21"/>
        <v/>
      </c>
      <c r="H82" s="15" t="str">
        <f t="shared" si="22"/>
        <v/>
      </c>
      <c r="I82" s="15" t="str">
        <f t="shared" si="23"/>
        <v/>
      </c>
      <c r="J82" s="15" t="str">
        <f t="shared" si="24"/>
        <v/>
      </c>
      <c r="K82" s="13" t="str">
        <f>IF('Cylinder Detail'!U84=0,"",'Cylinder Detail'!U84)</f>
        <v/>
      </c>
      <c r="L82" s="13" t="str">
        <f>IF('Cylinder Detail'!Z84=0,"",_xlfn.TEXTBEFORE('Cylinder Detail'!Z84, ","))</f>
        <v/>
      </c>
      <c r="M82" s="13" t="str">
        <f t="shared" si="25"/>
        <v/>
      </c>
      <c r="N82" s="17" t="str">
        <f>IF('Cylinder Detail'!V84=0,"",'Cylinder Detail'!V84)</f>
        <v/>
      </c>
      <c r="O82" s="17" t="str">
        <f>IF('Cylinder Detail'!Z84=0,"",_xlfn.TEXTAFTER('Cylinder Detail'!Z84, ", "))</f>
        <v/>
      </c>
      <c r="P82" s="17" t="str">
        <f>IF('Cylinder Detail'!AA84=0,"",'Cylinder Detail'!AA84)</f>
        <v/>
      </c>
      <c r="Q82" s="19" t="str">
        <f>IF('Cylinder Detail'!W84=0,"",'Cylinder Detail'!W84)</f>
        <v/>
      </c>
      <c r="R82" s="19" t="str">
        <f>IF('Cylinder Detail'!Y84=0,"",'Cylinder Detail'!Y84)</f>
        <v/>
      </c>
      <c r="S82" s="21" t="str">
        <f>IF('Cylinder Detail'!X84=0,"",'Cylinder Detail'!X84)</f>
        <v/>
      </c>
      <c r="T82" s="21" t="str">
        <f>IF('Cylinder Detail'!F84=0,"",'Cylinder Detail'!F84)</f>
        <v/>
      </c>
      <c r="U82" s="21" t="str">
        <f>IF('Cylinder Detail'!R84=0,"",'Cylinder Detail'!R84)</f>
        <v/>
      </c>
      <c r="V82" s="21" t="str">
        <f>IF('Cylinder Detail'!Q84=0,"",'Cylinder Detail'!Q84)</f>
        <v/>
      </c>
      <c r="W82" s="21" t="str">
        <f>IF('Cylinder Detail'!E84=0,"","+" &amp; 'Cylinder Detail'!E84)</f>
        <v/>
      </c>
      <c r="X82" s="21" t="str">
        <f t="shared" si="26"/>
        <v/>
      </c>
      <c r="Y82" s="21" t="str">
        <f>IF('Cylinder Detail'!S84=0,"",'Cylinder Detail'!S84)</f>
        <v/>
      </c>
      <c r="Z82" s="21" t="str">
        <f>IF('Cylinder Detail'!T84=0,"",'Cylinder Detail'!T84)</f>
        <v/>
      </c>
      <c r="AA82" s="21" t="str">
        <f>IF('Cylinder Detail'!H84=0,"",'Cylinder Detail'!H84)</f>
        <v/>
      </c>
      <c r="AB82" s="21" t="str">
        <f>IF('Cylinder Detail'!I84=0,"",'Cylinder Detail'!I84)</f>
        <v/>
      </c>
      <c r="AC82" s="22" t="str">
        <f>IF('Cylinder Detail'!AB84=0,"",'Cylinder Detail'!AB84)</f>
        <v/>
      </c>
      <c r="AD82" s="25" t="str">
        <f>IF('Sensor Detail'!F84=0,"","=" &amp; 'Sensor Detail'!F84)</f>
        <v/>
      </c>
      <c r="AE82" s="25" t="str">
        <f>IF('Sensor Detail'!H84=0,"",'Sensor Detail'!H84)</f>
        <v/>
      </c>
      <c r="AF82" s="27" t="str">
        <f>IF('Sensor Detail'!G84=0,"","-" &amp; 'Sensor Detail'!G84)</f>
        <v/>
      </c>
      <c r="AG82" s="27" t="str">
        <f>IF('Sensor Detail'!I84=0,"",'Sensor Detail'!I84)</f>
        <v/>
      </c>
      <c r="AH82" s="27" t="str">
        <f>IF('Sensor Detail'!E84=0,"","+" &amp; 'Sensor Detail'!E84)</f>
        <v/>
      </c>
      <c r="AI82" s="27" t="str">
        <f t="shared" si="27"/>
        <v/>
      </c>
      <c r="AJ82" s="27" t="str">
        <f>IF('Sensor Detail'!J84=0,"",'Sensor Detail'!J84)</f>
        <v/>
      </c>
      <c r="AK82" s="27" t="str">
        <f>IF('Sensor Detail'!K84=0,"",'Sensor Detail'!K84)</f>
        <v/>
      </c>
      <c r="AL82" s="27" t="str">
        <f>IF('Sensor Detail'!L84=0,"",'Sensor Detail'!L84)</f>
        <v/>
      </c>
      <c r="AM82" s="27" t="str">
        <f>IF('Sensor Detail'!M84=0,"",'Sensor Detail'!M84)</f>
        <v/>
      </c>
      <c r="AN82" s="27" t="str">
        <f>IF('Sensor Detail'!N84=0,"",'Sensor Detail'!N84)</f>
        <v/>
      </c>
      <c r="AO82" s="27" t="str">
        <f>IF('Sensor Detail'!O84=0,"",'Sensor Detail'!O84)</f>
        <v/>
      </c>
      <c r="AP82" s="15" t="str">
        <f t="shared" si="28"/>
        <v/>
      </c>
      <c r="AQ82" s="15" t="str">
        <f t="shared" si="29"/>
        <v/>
      </c>
    </row>
    <row r="83" spans="1:43">
      <c r="A83" s="13" t="str">
        <f t="shared" si="15"/>
        <v/>
      </c>
      <c r="B83" s="13" t="str">
        <f t="shared" si="16"/>
        <v/>
      </c>
      <c r="C83" s="15" t="str">
        <f t="shared" si="17"/>
        <v/>
      </c>
      <c r="D83" s="15" t="str">
        <f t="shared" si="18"/>
        <v/>
      </c>
      <c r="E83" s="15" t="str">
        <f t="shared" si="19"/>
        <v/>
      </c>
      <c r="F83" s="15" t="str">
        <f t="shared" si="20"/>
        <v/>
      </c>
      <c r="G83" s="15" t="str">
        <f t="shared" si="21"/>
        <v/>
      </c>
      <c r="H83" s="15" t="str">
        <f t="shared" si="22"/>
        <v/>
      </c>
      <c r="I83" s="15" t="str">
        <f t="shared" si="23"/>
        <v/>
      </c>
      <c r="J83" s="15" t="str">
        <f t="shared" si="24"/>
        <v/>
      </c>
      <c r="K83" s="13" t="str">
        <f>IF('Cylinder Detail'!U85=0,"",'Cylinder Detail'!U85)</f>
        <v/>
      </c>
      <c r="L83" s="13" t="str">
        <f>IF('Cylinder Detail'!Z85=0,"",_xlfn.TEXTBEFORE('Cylinder Detail'!Z85, ","))</f>
        <v/>
      </c>
      <c r="M83" s="13" t="str">
        <f t="shared" si="25"/>
        <v/>
      </c>
      <c r="N83" s="17" t="str">
        <f>IF('Cylinder Detail'!V85=0,"",'Cylinder Detail'!V85)</f>
        <v/>
      </c>
      <c r="O83" s="17" t="str">
        <f>IF('Cylinder Detail'!Z85=0,"",_xlfn.TEXTAFTER('Cylinder Detail'!Z85, ", "))</f>
        <v/>
      </c>
      <c r="P83" s="17" t="str">
        <f>IF('Cylinder Detail'!AA85=0,"",'Cylinder Detail'!AA85)</f>
        <v/>
      </c>
      <c r="Q83" s="19" t="str">
        <f>IF('Cylinder Detail'!W85=0,"",'Cylinder Detail'!W85)</f>
        <v/>
      </c>
      <c r="R83" s="19" t="str">
        <f>IF('Cylinder Detail'!Y85=0,"",'Cylinder Detail'!Y85)</f>
        <v/>
      </c>
      <c r="S83" s="21" t="str">
        <f>IF('Cylinder Detail'!X85=0,"",'Cylinder Detail'!X85)</f>
        <v/>
      </c>
      <c r="T83" s="21" t="str">
        <f>IF('Cylinder Detail'!F85=0,"",'Cylinder Detail'!F85)</f>
        <v/>
      </c>
      <c r="U83" s="21" t="str">
        <f>IF('Cylinder Detail'!R85=0,"",'Cylinder Detail'!R85)</f>
        <v/>
      </c>
      <c r="V83" s="21" t="str">
        <f>IF('Cylinder Detail'!Q85=0,"",'Cylinder Detail'!Q85)</f>
        <v/>
      </c>
      <c r="W83" s="21" t="str">
        <f>IF('Cylinder Detail'!E85=0,"","+" &amp; 'Cylinder Detail'!E85)</f>
        <v/>
      </c>
      <c r="X83" s="21" t="str">
        <f t="shared" si="26"/>
        <v/>
      </c>
      <c r="Y83" s="21" t="str">
        <f>IF('Cylinder Detail'!S85=0,"",'Cylinder Detail'!S85)</f>
        <v/>
      </c>
      <c r="Z83" s="21" t="str">
        <f>IF('Cylinder Detail'!T85=0,"",'Cylinder Detail'!T85)</f>
        <v/>
      </c>
      <c r="AA83" s="21" t="str">
        <f>IF('Cylinder Detail'!H85=0,"",'Cylinder Detail'!H85)</f>
        <v/>
      </c>
      <c r="AB83" s="21" t="str">
        <f>IF('Cylinder Detail'!I85=0,"",'Cylinder Detail'!I85)</f>
        <v/>
      </c>
      <c r="AC83" s="22" t="str">
        <f>IF('Cylinder Detail'!AB85=0,"",'Cylinder Detail'!AB85)</f>
        <v/>
      </c>
      <c r="AD83" s="25" t="str">
        <f>IF('Sensor Detail'!F85=0,"","=" &amp; 'Sensor Detail'!F85)</f>
        <v/>
      </c>
      <c r="AE83" s="25" t="str">
        <f>IF('Sensor Detail'!H85=0,"",'Sensor Detail'!H85)</f>
        <v/>
      </c>
      <c r="AF83" s="27" t="str">
        <f>IF('Sensor Detail'!G85=0,"","-" &amp; 'Sensor Detail'!G85)</f>
        <v/>
      </c>
      <c r="AG83" s="27" t="str">
        <f>IF('Sensor Detail'!I85=0,"",'Sensor Detail'!I85)</f>
        <v/>
      </c>
      <c r="AH83" s="27" t="str">
        <f>IF('Sensor Detail'!E85=0,"","+" &amp; 'Sensor Detail'!E85)</f>
        <v/>
      </c>
      <c r="AI83" s="27" t="str">
        <f t="shared" si="27"/>
        <v/>
      </c>
      <c r="AJ83" s="27" t="str">
        <f>IF('Sensor Detail'!J85=0,"",'Sensor Detail'!J85)</f>
        <v/>
      </c>
      <c r="AK83" s="27" t="str">
        <f>IF('Sensor Detail'!K85=0,"",'Sensor Detail'!K85)</f>
        <v/>
      </c>
      <c r="AL83" s="27" t="str">
        <f>IF('Sensor Detail'!L85=0,"",'Sensor Detail'!L85)</f>
        <v/>
      </c>
      <c r="AM83" s="27" t="str">
        <f>IF('Sensor Detail'!M85=0,"",'Sensor Detail'!M85)</f>
        <v/>
      </c>
      <c r="AN83" s="27" t="str">
        <f>IF('Sensor Detail'!N85=0,"",'Sensor Detail'!N85)</f>
        <v/>
      </c>
      <c r="AO83" s="27" t="str">
        <f>IF('Sensor Detail'!O85=0,"",'Sensor Detail'!O85)</f>
        <v/>
      </c>
      <c r="AP83" s="15" t="str">
        <f t="shared" si="28"/>
        <v/>
      </c>
      <c r="AQ83" s="15" t="str">
        <f t="shared" si="29"/>
        <v/>
      </c>
    </row>
    <row r="84" spans="1:43">
      <c r="A84" s="13" t="str">
        <f t="shared" si="15"/>
        <v/>
      </c>
      <c r="B84" s="13" t="str">
        <f t="shared" si="16"/>
        <v/>
      </c>
      <c r="C84" s="15" t="str">
        <f t="shared" si="17"/>
        <v/>
      </c>
      <c r="D84" s="15" t="str">
        <f t="shared" si="18"/>
        <v/>
      </c>
      <c r="E84" s="15" t="str">
        <f t="shared" si="19"/>
        <v/>
      </c>
      <c r="F84" s="15" t="str">
        <f t="shared" si="20"/>
        <v/>
      </c>
      <c r="G84" s="15" t="str">
        <f t="shared" si="21"/>
        <v/>
      </c>
      <c r="H84" s="15" t="str">
        <f t="shared" si="22"/>
        <v/>
      </c>
      <c r="I84" s="15" t="str">
        <f t="shared" si="23"/>
        <v/>
      </c>
      <c r="J84" s="15" t="str">
        <f t="shared" si="24"/>
        <v/>
      </c>
      <c r="K84" s="13" t="str">
        <f>IF('Cylinder Detail'!U86=0,"",'Cylinder Detail'!U86)</f>
        <v/>
      </c>
      <c r="L84" s="13" t="str">
        <f>IF('Cylinder Detail'!Z86=0,"",_xlfn.TEXTBEFORE('Cylinder Detail'!Z86, ","))</f>
        <v/>
      </c>
      <c r="M84" s="13" t="str">
        <f t="shared" si="25"/>
        <v/>
      </c>
      <c r="N84" s="17" t="str">
        <f>IF('Cylinder Detail'!V86=0,"",'Cylinder Detail'!V86)</f>
        <v/>
      </c>
      <c r="O84" s="17" t="str">
        <f>IF('Cylinder Detail'!Z86=0,"",_xlfn.TEXTAFTER('Cylinder Detail'!Z86, ", "))</f>
        <v/>
      </c>
      <c r="P84" s="17" t="str">
        <f>IF('Cylinder Detail'!AA86=0,"",'Cylinder Detail'!AA86)</f>
        <v/>
      </c>
      <c r="Q84" s="19" t="str">
        <f>IF('Cylinder Detail'!W86=0,"",'Cylinder Detail'!W86)</f>
        <v/>
      </c>
      <c r="R84" s="19" t="str">
        <f>IF('Cylinder Detail'!Y86=0,"",'Cylinder Detail'!Y86)</f>
        <v/>
      </c>
      <c r="S84" s="21" t="str">
        <f>IF('Cylinder Detail'!X86=0,"",'Cylinder Detail'!X86)</f>
        <v/>
      </c>
      <c r="T84" s="21" t="str">
        <f>IF('Cylinder Detail'!F86=0,"",'Cylinder Detail'!F86)</f>
        <v/>
      </c>
      <c r="U84" s="21" t="str">
        <f>IF('Cylinder Detail'!R86=0,"",'Cylinder Detail'!R86)</f>
        <v/>
      </c>
      <c r="V84" s="21" t="str">
        <f>IF('Cylinder Detail'!Q86=0,"",'Cylinder Detail'!Q86)</f>
        <v/>
      </c>
      <c r="W84" s="21" t="str">
        <f>IF('Cylinder Detail'!E86=0,"","+" &amp; 'Cylinder Detail'!E86)</f>
        <v/>
      </c>
      <c r="X84" s="21" t="str">
        <f t="shared" si="26"/>
        <v/>
      </c>
      <c r="Y84" s="21" t="str">
        <f>IF('Cylinder Detail'!S86=0,"",'Cylinder Detail'!S86)</f>
        <v/>
      </c>
      <c r="Z84" s="21" t="str">
        <f>IF('Cylinder Detail'!T86=0,"",'Cylinder Detail'!T86)</f>
        <v/>
      </c>
      <c r="AA84" s="21" t="str">
        <f>IF('Cylinder Detail'!H86=0,"",'Cylinder Detail'!H86)</f>
        <v/>
      </c>
      <c r="AB84" s="21" t="str">
        <f>IF('Cylinder Detail'!I86=0,"",'Cylinder Detail'!I86)</f>
        <v/>
      </c>
      <c r="AC84" s="22" t="str">
        <f>IF('Cylinder Detail'!AB86=0,"",'Cylinder Detail'!AB86)</f>
        <v/>
      </c>
      <c r="AD84" s="25" t="str">
        <f>IF('Sensor Detail'!F86=0,"","=" &amp; 'Sensor Detail'!F86)</f>
        <v/>
      </c>
      <c r="AE84" s="25" t="str">
        <f>IF('Sensor Detail'!H86=0,"",'Sensor Detail'!H86)</f>
        <v/>
      </c>
      <c r="AF84" s="27" t="str">
        <f>IF('Sensor Detail'!G86=0,"","-" &amp; 'Sensor Detail'!G86)</f>
        <v/>
      </c>
      <c r="AG84" s="27" t="str">
        <f>IF('Sensor Detail'!I86=0,"",'Sensor Detail'!I86)</f>
        <v/>
      </c>
      <c r="AH84" s="27" t="str">
        <f>IF('Sensor Detail'!E86=0,"","+" &amp; 'Sensor Detail'!E86)</f>
        <v/>
      </c>
      <c r="AI84" s="27" t="str">
        <f t="shared" si="27"/>
        <v/>
      </c>
      <c r="AJ84" s="27" t="str">
        <f>IF('Sensor Detail'!J86=0,"",'Sensor Detail'!J86)</f>
        <v/>
      </c>
      <c r="AK84" s="27" t="str">
        <f>IF('Sensor Detail'!K86=0,"",'Sensor Detail'!K86)</f>
        <v/>
      </c>
      <c r="AL84" s="27" t="str">
        <f>IF('Sensor Detail'!L86=0,"",'Sensor Detail'!L86)</f>
        <v/>
      </c>
      <c r="AM84" s="27" t="str">
        <f>IF('Sensor Detail'!M86=0,"",'Sensor Detail'!M86)</f>
        <v/>
      </c>
      <c r="AN84" s="27" t="str">
        <f>IF('Sensor Detail'!N86=0,"",'Sensor Detail'!N86)</f>
        <v/>
      </c>
      <c r="AO84" s="27" t="str">
        <f>IF('Sensor Detail'!O86=0,"",'Sensor Detail'!O86)</f>
        <v/>
      </c>
      <c r="AP84" s="15" t="str">
        <f t="shared" si="28"/>
        <v/>
      </c>
      <c r="AQ84" s="15" t="str">
        <f t="shared" si="29"/>
        <v/>
      </c>
    </row>
    <row r="85" spans="1:43">
      <c r="A85" s="13" t="str">
        <f t="shared" si="15"/>
        <v/>
      </c>
      <c r="B85" s="13" t="str">
        <f t="shared" si="16"/>
        <v/>
      </c>
      <c r="C85" s="15" t="str">
        <f t="shared" si="17"/>
        <v/>
      </c>
      <c r="D85" s="15" t="str">
        <f t="shared" si="18"/>
        <v/>
      </c>
      <c r="E85" s="15" t="str">
        <f t="shared" si="19"/>
        <v/>
      </c>
      <c r="F85" s="15" t="str">
        <f t="shared" si="20"/>
        <v/>
      </c>
      <c r="G85" s="15" t="str">
        <f t="shared" si="21"/>
        <v/>
      </c>
      <c r="H85" s="15" t="str">
        <f t="shared" si="22"/>
        <v/>
      </c>
      <c r="I85" s="15" t="str">
        <f t="shared" si="23"/>
        <v/>
      </c>
      <c r="J85" s="15" t="str">
        <f t="shared" si="24"/>
        <v/>
      </c>
      <c r="K85" s="13" t="str">
        <f>IF('Cylinder Detail'!U87=0,"",'Cylinder Detail'!U87)</f>
        <v/>
      </c>
      <c r="L85" s="13" t="str">
        <f>IF('Cylinder Detail'!Z87=0,"",_xlfn.TEXTBEFORE('Cylinder Detail'!Z87, ","))</f>
        <v/>
      </c>
      <c r="M85" s="13" t="str">
        <f t="shared" si="25"/>
        <v/>
      </c>
      <c r="N85" s="17" t="str">
        <f>IF('Cylinder Detail'!V87=0,"",'Cylinder Detail'!V87)</f>
        <v/>
      </c>
      <c r="O85" s="17" t="str">
        <f>IF('Cylinder Detail'!Z87=0,"",_xlfn.TEXTAFTER('Cylinder Detail'!Z87, ", "))</f>
        <v/>
      </c>
      <c r="P85" s="17" t="str">
        <f>IF('Cylinder Detail'!AA87=0,"",'Cylinder Detail'!AA87)</f>
        <v/>
      </c>
      <c r="Q85" s="19" t="str">
        <f>IF('Cylinder Detail'!W87=0,"",'Cylinder Detail'!W87)</f>
        <v/>
      </c>
      <c r="R85" s="19" t="str">
        <f>IF('Cylinder Detail'!Y87=0,"",'Cylinder Detail'!Y87)</f>
        <v/>
      </c>
      <c r="S85" s="21" t="str">
        <f>IF('Cylinder Detail'!X87=0,"",'Cylinder Detail'!X87)</f>
        <v/>
      </c>
      <c r="T85" s="21" t="str">
        <f>IF('Cylinder Detail'!F87=0,"",'Cylinder Detail'!F87)</f>
        <v/>
      </c>
      <c r="U85" s="21" t="str">
        <f>IF('Cylinder Detail'!R87=0,"",'Cylinder Detail'!R87)</f>
        <v/>
      </c>
      <c r="V85" s="21" t="str">
        <f>IF('Cylinder Detail'!Q87=0,"",'Cylinder Detail'!Q87)</f>
        <v/>
      </c>
      <c r="W85" s="21" t="str">
        <f>IF('Cylinder Detail'!E87=0,"","+" &amp; 'Cylinder Detail'!E87)</f>
        <v/>
      </c>
      <c r="X85" s="21" t="str">
        <f t="shared" si="26"/>
        <v/>
      </c>
      <c r="Y85" s="21" t="str">
        <f>IF('Cylinder Detail'!S87=0,"",'Cylinder Detail'!S87)</f>
        <v/>
      </c>
      <c r="Z85" s="21" t="str">
        <f>IF('Cylinder Detail'!T87=0,"",'Cylinder Detail'!T87)</f>
        <v/>
      </c>
      <c r="AA85" s="21" t="str">
        <f>IF('Cylinder Detail'!H87=0,"",'Cylinder Detail'!H87)</f>
        <v/>
      </c>
      <c r="AB85" s="21" t="str">
        <f>IF('Cylinder Detail'!I87=0,"",'Cylinder Detail'!I87)</f>
        <v/>
      </c>
      <c r="AC85" s="22" t="str">
        <f>IF('Cylinder Detail'!AB87=0,"",'Cylinder Detail'!AB87)</f>
        <v/>
      </c>
      <c r="AD85" s="25" t="str">
        <f>IF('Sensor Detail'!F87=0,"","=" &amp; 'Sensor Detail'!F87)</f>
        <v/>
      </c>
      <c r="AE85" s="25" t="str">
        <f>IF('Sensor Detail'!H87=0,"",'Sensor Detail'!H87)</f>
        <v/>
      </c>
      <c r="AF85" s="27" t="str">
        <f>IF('Sensor Detail'!G87=0,"","-" &amp; 'Sensor Detail'!G87)</f>
        <v/>
      </c>
      <c r="AG85" s="27" t="str">
        <f>IF('Sensor Detail'!I87=0,"",'Sensor Detail'!I87)</f>
        <v/>
      </c>
      <c r="AH85" s="27" t="str">
        <f>IF('Sensor Detail'!E87=0,"","+" &amp; 'Sensor Detail'!E87)</f>
        <v/>
      </c>
      <c r="AI85" s="27" t="str">
        <f t="shared" si="27"/>
        <v/>
      </c>
      <c r="AJ85" s="27" t="str">
        <f>IF('Sensor Detail'!J87=0,"",'Sensor Detail'!J87)</f>
        <v/>
      </c>
      <c r="AK85" s="27" t="str">
        <f>IF('Sensor Detail'!K87=0,"",'Sensor Detail'!K87)</f>
        <v/>
      </c>
      <c r="AL85" s="27" t="str">
        <f>IF('Sensor Detail'!L87=0,"",'Sensor Detail'!L87)</f>
        <v/>
      </c>
      <c r="AM85" s="27" t="str">
        <f>IF('Sensor Detail'!M87=0,"",'Sensor Detail'!M87)</f>
        <v/>
      </c>
      <c r="AN85" s="27" t="str">
        <f>IF('Sensor Detail'!N87=0,"",'Sensor Detail'!N87)</f>
        <v/>
      </c>
      <c r="AO85" s="27" t="str">
        <f>IF('Sensor Detail'!O87=0,"",'Sensor Detail'!O87)</f>
        <v/>
      </c>
      <c r="AP85" s="15" t="str">
        <f t="shared" si="28"/>
        <v/>
      </c>
      <c r="AQ85" s="15" t="str">
        <f t="shared" si="29"/>
        <v/>
      </c>
    </row>
    <row r="86" spans="1:43">
      <c r="A86" s="13" t="str">
        <f t="shared" si="15"/>
        <v/>
      </c>
      <c r="B86" s="13" t="str">
        <f t="shared" si="16"/>
        <v/>
      </c>
      <c r="C86" s="15" t="str">
        <f t="shared" si="17"/>
        <v/>
      </c>
      <c r="D86" s="15" t="str">
        <f t="shared" si="18"/>
        <v/>
      </c>
      <c r="E86" s="15" t="str">
        <f t="shared" si="19"/>
        <v/>
      </c>
      <c r="F86" s="15" t="str">
        <f t="shared" si="20"/>
        <v/>
      </c>
      <c r="G86" s="15" t="str">
        <f t="shared" si="21"/>
        <v/>
      </c>
      <c r="H86" s="15" t="str">
        <f t="shared" si="22"/>
        <v/>
      </c>
      <c r="I86" s="15" t="str">
        <f t="shared" si="23"/>
        <v/>
      </c>
      <c r="J86" s="15" t="str">
        <f t="shared" si="24"/>
        <v/>
      </c>
      <c r="K86" s="13" t="str">
        <f>IF('Cylinder Detail'!U88=0,"",'Cylinder Detail'!U88)</f>
        <v/>
      </c>
      <c r="L86" s="13" t="str">
        <f>IF('Cylinder Detail'!Z88=0,"",_xlfn.TEXTBEFORE('Cylinder Detail'!Z88, ","))</f>
        <v/>
      </c>
      <c r="M86" s="13" t="str">
        <f t="shared" si="25"/>
        <v/>
      </c>
      <c r="N86" s="17" t="str">
        <f>IF('Cylinder Detail'!V88=0,"",'Cylinder Detail'!V88)</f>
        <v/>
      </c>
      <c r="O86" s="17" t="str">
        <f>IF('Cylinder Detail'!Z88=0,"",_xlfn.TEXTAFTER('Cylinder Detail'!Z88, ", "))</f>
        <v/>
      </c>
      <c r="P86" s="17" t="str">
        <f>IF('Cylinder Detail'!AA88=0,"",'Cylinder Detail'!AA88)</f>
        <v/>
      </c>
      <c r="Q86" s="19" t="str">
        <f>IF('Cylinder Detail'!W88=0,"",'Cylinder Detail'!W88)</f>
        <v/>
      </c>
      <c r="R86" s="19" t="str">
        <f>IF('Cylinder Detail'!Y88=0,"",'Cylinder Detail'!Y88)</f>
        <v/>
      </c>
      <c r="S86" s="21" t="str">
        <f>IF('Cylinder Detail'!X88=0,"",'Cylinder Detail'!X88)</f>
        <v/>
      </c>
      <c r="T86" s="21" t="str">
        <f>IF('Cylinder Detail'!F88=0,"",'Cylinder Detail'!F88)</f>
        <v/>
      </c>
      <c r="U86" s="21" t="str">
        <f>IF('Cylinder Detail'!R88=0,"",'Cylinder Detail'!R88)</f>
        <v/>
      </c>
      <c r="V86" s="21" t="str">
        <f>IF('Cylinder Detail'!Q88=0,"",'Cylinder Detail'!Q88)</f>
        <v/>
      </c>
      <c r="W86" s="21" t="str">
        <f>IF('Cylinder Detail'!E88=0,"","+" &amp; 'Cylinder Detail'!E88)</f>
        <v/>
      </c>
      <c r="X86" s="21" t="str">
        <f t="shared" si="26"/>
        <v/>
      </c>
      <c r="Y86" s="21" t="str">
        <f>IF('Cylinder Detail'!S88=0,"",'Cylinder Detail'!S88)</f>
        <v/>
      </c>
      <c r="Z86" s="21" t="str">
        <f>IF('Cylinder Detail'!T88=0,"",'Cylinder Detail'!T88)</f>
        <v/>
      </c>
      <c r="AA86" s="21" t="str">
        <f>IF('Cylinder Detail'!H88=0,"",'Cylinder Detail'!H88)</f>
        <v/>
      </c>
      <c r="AB86" s="21" t="str">
        <f>IF('Cylinder Detail'!I88=0,"",'Cylinder Detail'!I88)</f>
        <v/>
      </c>
      <c r="AC86" s="22" t="str">
        <f>IF('Cylinder Detail'!AB88=0,"",'Cylinder Detail'!AB88)</f>
        <v/>
      </c>
      <c r="AD86" s="25" t="str">
        <f>IF('Sensor Detail'!F88=0,"","=" &amp; 'Sensor Detail'!F88)</f>
        <v/>
      </c>
      <c r="AE86" s="25" t="str">
        <f>IF('Sensor Detail'!H88=0,"",'Sensor Detail'!H88)</f>
        <v/>
      </c>
      <c r="AF86" s="27" t="str">
        <f>IF('Sensor Detail'!G88=0,"","-" &amp; 'Sensor Detail'!G88)</f>
        <v/>
      </c>
      <c r="AG86" s="27" t="str">
        <f>IF('Sensor Detail'!I88=0,"",'Sensor Detail'!I88)</f>
        <v/>
      </c>
      <c r="AH86" s="27" t="str">
        <f>IF('Sensor Detail'!E88=0,"","+" &amp; 'Sensor Detail'!E88)</f>
        <v/>
      </c>
      <c r="AI86" s="27" t="str">
        <f t="shared" si="27"/>
        <v/>
      </c>
      <c r="AJ86" s="27" t="str">
        <f>IF('Sensor Detail'!J88=0,"",'Sensor Detail'!J88)</f>
        <v/>
      </c>
      <c r="AK86" s="27" t="str">
        <f>IF('Sensor Detail'!K88=0,"",'Sensor Detail'!K88)</f>
        <v/>
      </c>
      <c r="AL86" s="27" t="str">
        <f>IF('Sensor Detail'!L88=0,"",'Sensor Detail'!L88)</f>
        <v/>
      </c>
      <c r="AM86" s="27" t="str">
        <f>IF('Sensor Detail'!M88=0,"",'Sensor Detail'!M88)</f>
        <v/>
      </c>
      <c r="AN86" s="27" t="str">
        <f>IF('Sensor Detail'!N88=0,"",'Sensor Detail'!N88)</f>
        <v/>
      </c>
      <c r="AO86" s="27" t="str">
        <f>IF('Sensor Detail'!O88=0,"",'Sensor Detail'!O88)</f>
        <v/>
      </c>
      <c r="AP86" s="15" t="str">
        <f t="shared" si="28"/>
        <v/>
      </c>
      <c r="AQ86" s="15" t="str">
        <f t="shared" si="29"/>
        <v/>
      </c>
    </row>
    <row r="87" spans="1:43">
      <c r="A87" s="13" t="str">
        <f t="shared" si="15"/>
        <v/>
      </c>
      <c r="B87" s="13" t="str">
        <f t="shared" si="16"/>
        <v/>
      </c>
      <c r="C87" s="15" t="str">
        <f t="shared" si="17"/>
        <v/>
      </c>
      <c r="D87" s="15" t="str">
        <f t="shared" si="18"/>
        <v/>
      </c>
      <c r="E87" s="15" t="str">
        <f t="shared" si="19"/>
        <v/>
      </c>
      <c r="F87" s="15" t="str">
        <f t="shared" si="20"/>
        <v/>
      </c>
      <c r="G87" s="15" t="str">
        <f t="shared" si="21"/>
        <v/>
      </c>
      <c r="H87" s="15" t="str">
        <f t="shared" si="22"/>
        <v/>
      </c>
      <c r="I87" s="15" t="str">
        <f t="shared" si="23"/>
        <v/>
      </c>
      <c r="J87" s="15" t="str">
        <f t="shared" si="24"/>
        <v/>
      </c>
      <c r="K87" s="13" t="str">
        <f>IF('Cylinder Detail'!U89=0,"",'Cylinder Detail'!U89)</f>
        <v/>
      </c>
      <c r="L87" s="13" t="str">
        <f>IF('Cylinder Detail'!Z89=0,"",_xlfn.TEXTBEFORE('Cylinder Detail'!Z89, ","))</f>
        <v/>
      </c>
      <c r="M87" s="13" t="str">
        <f t="shared" si="25"/>
        <v/>
      </c>
      <c r="N87" s="17" t="str">
        <f>IF('Cylinder Detail'!V89=0,"",'Cylinder Detail'!V89)</f>
        <v/>
      </c>
      <c r="O87" s="17" t="str">
        <f>IF('Cylinder Detail'!Z89=0,"",_xlfn.TEXTAFTER('Cylinder Detail'!Z89, ", "))</f>
        <v/>
      </c>
      <c r="P87" s="17" t="str">
        <f>IF('Cylinder Detail'!AA89=0,"",'Cylinder Detail'!AA89)</f>
        <v/>
      </c>
      <c r="Q87" s="19" t="str">
        <f>IF('Cylinder Detail'!W89=0,"",'Cylinder Detail'!W89)</f>
        <v/>
      </c>
      <c r="R87" s="19" t="str">
        <f>IF('Cylinder Detail'!Y89=0,"",'Cylinder Detail'!Y89)</f>
        <v/>
      </c>
      <c r="S87" s="21" t="str">
        <f>IF('Cylinder Detail'!X89=0,"",'Cylinder Detail'!X89)</f>
        <v/>
      </c>
      <c r="T87" s="21" t="str">
        <f>IF('Cylinder Detail'!F89=0,"",'Cylinder Detail'!F89)</f>
        <v/>
      </c>
      <c r="U87" s="21" t="str">
        <f>IF('Cylinder Detail'!R89=0,"",'Cylinder Detail'!R89)</f>
        <v/>
      </c>
      <c r="V87" s="21" t="str">
        <f>IF('Cylinder Detail'!Q89=0,"",'Cylinder Detail'!Q89)</f>
        <v/>
      </c>
      <c r="W87" s="21" t="str">
        <f>IF('Cylinder Detail'!E89=0,"","+" &amp; 'Cylinder Detail'!E89)</f>
        <v/>
      </c>
      <c r="X87" s="21" t="str">
        <f t="shared" si="26"/>
        <v/>
      </c>
      <c r="Y87" s="21" t="str">
        <f>IF('Cylinder Detail'!S89=0,"",'Cylinder Detail'!S89)</f>
        <v/>
      </c>
      <c r="Z87" s="21" t="str">
        <f>IF('Cylinder Detail'!T89=0,"",'Cylinder Detail'!T89)</f>
        <v/>
      </c>
      <c r="AA87" s="21" t="str">
        <f>IF('Cylinder Detail'!H89=0,"",'Cylinder Detail'!H89)</f>
        <v/>
      </c>
      <c r="AB87" s="21" t="str">
        <f>IF('Cylinder Detail'!I89=0,"",'Cylinder Detail'!I89)</f>
        <v/>
      </c>
      <c r="AC87" s="22" t="str">
        <f>IF('Cylinder Detail'!AB89=0,"",'Cylinder Detail'!AB89)</f>
        <v/>
      </c>
      <c r="AD87" s="25" t="str">
        <f>IF('Sensor Detail'!F89=0,"","=" &amp; 'Sensor Detail'!F89)</f>
        <v/>
      </c>
      <c r="AE87" s="25" t="str">
        <f>IF('Sensor Detail'!H89=0,"",'Sensor Detail'!H89)</f>
        <v/>
      </c>
      <c r="AF87" s="27" t="str">
        <f>IF('Sensor Detail'!G89=0,"","-" &amp; 'Sensor Detail'!G89)</f>
        <v/>
      </c>
      <c r="AG87" s="27" t="str">
        <f>IF('Sensor Detail'!I89=0,"",'Sensor Detail'!I89)</f>
        <v/>
      </c>
      <c r="AH87" s="27" t="str">
        <f>IF('Sensor Detail'!E89=0,"","+" &amp; 'Sensor Detail'!E89)</f>
        <v/>
      </c>
      <c r="AI87" s="27" t="str">
        <f t="shared" si="27"/>
        <v/>
      </c>
      <c r="AJ87" s="27" t="str">
        <f>IF('Sensor Detail'!J89=0,"",'Sensor Detail'!J89)</f>
        <v/>
      </c>
      <c r="AK87" s="27" t="str">
        <f>IF('Sensor Detail'!K89=0,"",'Sensor Detail'!K89)</f>
        <v/>
      </c>
      <c r="AL87" s="27" t="str">
        <f>IF('Sensor Detail'!L89=0,"",'Sensor Detail'!L89)</f>
        <v/>
      </c>
      <c r="AM87" s="27" t="str">
        <f>IF('Sensor Detail'!M89=0,"",'Sensor Detail'!M89)</f>
        <v/>
      </c>
      <c r="AN87" s="27" t="str">
        <f>IF('Sensor Detail'!N89=0,"",'Sensor Detail'!N89)</f>
        <v/>
      </c>
      <c r="AO87" s="27" t="str">
        <f>IF('Sensor Detail'!O89=0,"",'Sensor Detail'!O89)</f>
        <v/>
      </c>
      <c r="AP87" s="15" t="str">
        <f t="shared" si="28"/>
        <v/>
      </c>
      <c r="AQ87" s="15" t="str">
        <f t="shared" si="29"/>
        <v/>
      </c>
    </row>
    <row r="88" spans="1:43">
      <c r="A88" s="13" t="str">
        <f t="shared" si="15"/>
        <v/>
      </c>
      <c r="B88" s="13" t="str">
        <f t="shared" si="16"/>
        <v/>
      </c>
      <c r="C88" s="15" t="str">
        <f t="shared" si="17"/>
        <v/>
      </c>
      <c r="D88" s="15" t="str">
        <f t="shared" si="18"/>
        <v/>
      </c>
      <c r="E88" s="15" t="str">
        <f t="shared" si="19"/>
        <v/>
      </c>
      <c r="F88" s="15" t="str">
        <f t="shared" si="20"/>
        <v/>
      </c>
      <c r="G88" s="15" t="str">
        <f t="shared" si="21"/>
        <v/>
      </c>
      <c r="H88" s="15" t="str">
        <f t="shared" si="22"/>
        <v/>
      </c>
      <c r="I88" s="15" t="str">
        <f t="shared" si="23"/>
        <v/>
      </c>
      <c r="J88" s="15" t="str">
        <f t="shared" si="24"/>
        <v/>
      </c>
      <c r="K88" s="13" t="str">
        <f>IF('Cylinder Detail'!U90=0,"",'Cylinder Detail'!U90)</f>
        <v/>
      </c>
      <c r="L88" s="13" t="str">
        <f>IF('Cylinder Detail'!Z90=0,"",_xlfn.TEXTBEFORE('Cylinder Detail'!Z90, ","))</f>
        <v/>
      </c>
      <c r="M88" s="13" t="str">
        <f t="shared" si="25"/>
        <v/>
      </c>
      <c r="N88" s="17" t="str">
        <f>IF('Cylinder Detail'!V90=0,"",'Cylinder Detail'!V90)</f>
        <v/>
      </c>
      <c r="O88" s="17" t="str">
        <f>IF('Cylinder Detail'!Z90=0,"",_xlfn.TEXTAFTER('Cylinder Detail'!Z90, ", "))</f>
        <v/>
      </c>
      <c r="P88" s="17" t="str">
        <f>IF('Cylinder Detail'!AA90=0,"",'Cylinder Detail'!AA90)</f>
        <v/>
      </c>
      <c r="Q88" s="19" t="str">
        <f>IF('Cylinder Detail'!W90=0,"",'Cylinder Detail'!W90)</f>
        <v/>
      </c>
      <c r="R88" s="19" t="str">
        <f>IF('Cylinder Detail'!Y90=0,"",'Cylinder Detail'!Y90)</f>
        <v/>
      </c>
      <c r="S88" s="21" t="str">
        <f>IF('Cylinder Detail'!X90=0,"",'Cylinder Detail'!X90)</f>
        <v/>
      </c>
      <c r="T88" s="21" t="str">
        <f>IF('Cylinder Detail'!F90=0,"",'Cylinder Detail'!F90)</f>
        <v/>
      </c>
      <c r="U88" s="21" t="str">
        <f>IF('Cylinder Detail'!R90=0,"",'Cylinder Detail'!R90)</f>
        <v/>
      </c>
      <c r="V88" s="21" t="str">
        <f>IF('Cylinder Detail'!Q90=0,"",'Cylinder Detail'!Q90)</f>
        <v/>
      </c>
      <c r="W88" s="21" t="str">
        <f>IF('Cylinder Detail'!E90=0,"","+" &amp; 'Cylinder Detail'!E90)</f>
        <v/>
      </c>
      <c r="X88" s="21" t="str">
        <f t="shared" si="26"/>
        <v/>
      </c>
      <c r="Y88" s="21" t="str">
        <f>IF('Cylinder Detail'!S90=0,"",'Cylinder Detail'!S90)</f>
        <v/>
      </c>
      <c r="Z88" s="21" t="str">
        <f>IF('Cylinder Detail'!T90=0,"",'Cylinder Detail'!T90)</f>
        <v/>
      </c>
      <c r="AA88" s="21" t="str">
        <f>IF('Cylinder Detail'!H90=0,"",'Cylinder Detail'!H90)</f>
        <v/>
      </c>
      <c r="AB88" s="21" t="str">
        <f>IF('Cylinder Detail'!I90=0,"",'Cylinder Detail'!I90)</f>
        <v/>
      </c>
      <c r="AC88" s="22" t="str">
        <f>IF('Cylinder Detail'!AB90=0,"",'Cylinder Detail'!AB90)</f>
        <v/>
      </c>
      <c r="AD88" s="25" t="str">
        <f>IF('Sensor Detail'!F90=0,"","=" &amp; 'Sensor Detail'!F90)</f>
        <v/>
      </c>
      <c r="AE88" s="25" t="str">
        <f>IF('Sensor Detail'!H90=0,"",'Sensor Detail'!H90)</f>
        <v/>
      </c>
      <c r="AF88" s="27" t="str">
        <f>IF('Sensor Detail'!G90=0,"","-" &amp; 'Sensor Detail'!G90)</f>
        <v/>
      </c>
      <c r="AG88" s="27" t="str">
        <f>IF('Sensor Detail'!I90=0,"",'Sensor Detail'!I90)</f>
        <v/>
      </c>
      <c r="AH88" s="27" t="str">
        <f>IF('Sensor Detail'!E90=0,"","+" &amp; 'Sensor Detail'!E90)</f>
        <v/>
      </c>
      <c r="AI88" s="27" t="str">
        <f t="shared" si="27"/>
        <v/>
      </c>
      <c r="AJ88" s="27" t="str">
        <f>IF('Sensor Detail'!J90=0,"",'Sensor Detail'!J90)</f>
        <v/>
      </c>
      <c r="AK88" s="27" t="str">
        <f>IF('Sensor Detail'!K90=0,"",'Sensor Detail'!K90)</f>
        <v/>
      </c>
      <c r="AL88" s="27" t="str">
        <f>IF('Sensor Detail'!L90=0,"",'Sensor Detail'!L90)</f>
        <v/>
      </c>
      <c r="AM88" s="27" t="str">
        <f>IF('Sensor Detail'!M90=0,"",'Sensor Detail'!M90)</f>
        <v/>
      </c>
      <c r="AN88" s="27" t="str">
        <f>IF('Sensor Detail'!N90=0,"",'Sensor Detail'!N90)</f>
        <v/>
      </c>
      <c r="AO88" s="27" t="str">
        <f>IF('Sensor Detail'!O90=0,"",'Sensor Detail'!O90)</f>
        <v/>
      </c>
      <c r="AP88" s="15" t="str">
        <f t="shared" si="28"/>
        <v/>
      </c>
      <c r="AQ88" s="15" t="str">
        <f t="shared" si="29"/>
        <v/>
      </c>
    </row>
    <row r="89" spans="1:43">
      <c r="A89" s="13" t="str">
        <f t="shared" si="15"/>
        <v/>
      </c>
      <c r="B89" s="13" t="str">
        <f t="shared" si="16"/>
        <v/>
      </c>
      <c r="C89" s="15" t="str">
        <f t="shared" si="17"/>
        <v/>
      </c>
      <c r="D89" s="15" t="str">
        <f t="shared" si="18"/>
        <v/>
      </c>
      <c r="E89" s="15" t="str">
        <f t="shared" si="19"/>
        <v/>
      </c>
      <c r="F89" s="15" t="str">
        <f t="shared" si="20"/>
        <v/>
      </c>
      <c r="G89" s="15" t="str">
        <f t="shared" si="21"/>
        <v/>
      </c>
      <c r="H89" s="15" t="str">
        <f t="shared" si="22"/>
        <v/>
      </c>
      <c r="I89" s="15" t="str">
        <f t="shared" si="23"/>
        <v/>
      </c>
      <c r="J89" s="15" t="str">
        <f t="shared" si="24"/>
        <v/>
      </c>
      <c r="K89" s="13" t="str">
        <f>IF('Cylinder Detail'!U91=0,"",'Cylinder Detail'!U91)</f>
        <v/>
      </c>
      <c r="L89" s="13" t="str">
        <f>IF('Cylinder Detail'!Z91=0,"",_xlfn.TEXTBEFORE('Cylinder Detail'!Z91, ","))</f>
        <v/>
      </c>
      <c r="M89" s="13" t="str">
        <f t="shared" si="25"/>
        <v/>
      </c>
      <c r="N89" s="17" t="str">
        <f>IF('Cylinder Detail'!V91=0,"",'Cylinder Detail'!V91)</f>
        <v/>
      </c>
      <c r="O89" s="17" t="str">
        <f>IF('Cylinder Detail'!Z91=0,"",_xlfn.TEXTAFTER('Cylinder Detail'!Z91, ", "))</f>
        <v/>
      </c>
      <c r="P89" s="17" t="str">
        <f>IF('Cylinder Detail'!AA91=0,"",'Cylinder Detail'!AA91)</f>
        <v/>
      </c>
      <c r="Q89" s="19" t="str">
        <f>IF('Cylinder Detail'!W91=0,"",'Cylinder Detail'!W91)</f>
        <v/>
      </c>
      <c r="R89" s="19" t="str">
        <f>IF('Cylinder Detail'!Y91=0,"",'Cylinder Detail'!Y91)</f>
        <v/>
      </c>
      <c r="S89" s="21" t="str">
        <f>IF('Cylinder Detail'!X91=0,"",'Cylinder Detail'!X91)</f>
        <v/>
      </c>
      <c r="T89" s="21" t="str">
        <f>IF('Cylinder Detail'!F91=0,"",'Cylinder Detail'!F91)</f>
        <v/>
      </c>
      <c r="U89" s="21" t="str">
        <f>IF('Cylinder Detail'!R91=0,"",'Cylinder Detail'!R91)</f>
        <v/>
      </c>
      <c r="V89" s="21" t="str">
        <f>IF('Cylinder Detail'!Q91=0,"",'Cylinder Detail'!Q91)</f>
        <v/>
      </c>
      <c r="W89" s="21" t="str">
        <f>IF('Cylinder Detail'!E91=0,"","+" &amp; 'Cylinder Detail'!E91)</f>
        <v/>
      </c>
      <c r="X89" s="21" t="str">
        <f t="shared" si="26"/>
        <v/>
      </c>
      <c r="Y89" s="21" t="str">
        <f>IF('Cylinder Detail'!S91=0,"",'Cylinder Detail'!S91)</f>
        <v/>
      </c>
      <c r="Z89" s="21" t="str">
        <f>IF('Cylinder Detail'!T91=0,"",'Cylinder Detail'!T91)</f>
        <v/>
      </c>
      <c r="AA89" s="21" t="str">
        <f>IF('Cylinder Detail'!H91=0,"",'Cylinder Detail'!H91)</f>
        <v/>
      </c>
      <c r="AB89" s="21" t="str">
        <f>IF('Cylinder Detail'!I91=0,"",'Cylinder Detail'!I91)</f>
        <v/>
      </c>
      <c r="AC89" s="22" t="str">
        <f>IF('Cylinder Detail'!AB91=0,"",'Cylinder Detail'!AB91)</f>
        <v/>
      </c>
      <c r="AD89" s="25" t="str">
        <f>IF('Sensor Detail'!F91=0,"","=" &amp; 'Sensor Detail'!F91)</f>
        <v/>
      </c>
      <c r="AE89" s="25" t="str">
        <f>IF('Sensor Detail'!H91=0,"",'Sensor Detail'!H91)</f>
        <v/>
      </c>
      <c r="AF89" s="27" t="str">
        <f>IF('Sensor Detail'!G91=0,"","-" &amp; 'Sensor Detail'!G91)</f>
        <v/>
      </c>
      <c r="AG89" s="27" t="str">
        <f>IF('Sensor Detail'!I91=0,"",'Sensor Detail'!I91)</f>
        <v/>
      </c>
      <c r="AH89" s="27" t="str">
        <f>IF('Sensor Detail'!E91=0,"","+" &amp; 'Sensor Detail'!E91)</f>
        <v/>
      </c>
      <c r="AI89" s="27" t="str">
        <f t="shared" si="27"/>
        <v/>
      </c>
      <c r="AJ89" s="27" t="str">
        <f>IF('Sensor Detail'!J91=0,"",'Sensor Detail'!J91)</f>
        <v/>
      </c>
      <c r="AK89" s="27" t="str">
        <f>IF('Sensor Detail'!K91=0,"",'Sensor Detail'!K91)</f>
        <v/>
      </c>
      <c r="AL89" s="27" t="str">
        <f>IF('Sensor Detail'!L91=0,"",'Sensor Detail'!L91)</f>
        <v/>
      </c>
      <c r="AM89" s="27" t="str">
        <f>IF('Sensor Detail'!M91=0,"",'Sensor Detail'!M91)</f>
        <v/>
      </c>
      <c r="AN89" s="27" t="str">
        <f>IF('Sensor Detail'!N91=0,"",'Sensor Detail'!N91)</f>
        <v/>
      </c>
      <c r="AO89" s="27" t="str">
        <f>IF('Sensor Detail'!O91=0,"",'Sensor Detail'!O91)</f>
        <v/>
      </c>
      <c r="AP89" s="15" t="str">
        <f t="shared" si="28"/>
        <v/>
      </c>
      <c r="AQ89" s="15" t="str">
        <f t="shared" si="29"/>
        <v/>
      </c>
    </row>
    <row r="90" spans="1:43">
      <c r="A90" s="13" t="str">
        <f t="shared" si="15"/>
        <v/>
      </c>
      <c r="B90" s="13" t="str">
        <f t="shared" si="16"/>
        <v/>
      </c>
      <c r="C90" s="15" t="str">
        <f t="shared" si="17"/>
        <v/>
      </c>
      <c r="D90" s="15" t="str">
        <f t="shared" si="18"/>
        <v/>
      </c>
      <c r="E90" s="15" t="str">
        <f t="shared" si="19"/>
        <v/>
      </c>
      <c r="F90" s="15" t="str">
        <f t="shared" si="20"/>
        <v/>
      </c>
      <c r="G90" s="15" t="str">
        <f t="shared" si="21"/>
        <v/>
      </c>
      <c r="H90" s="15" t="str">
        <f t="shared" si="22"/>
        <v/>
      </c>
      <c r="I90" s="15" t="str">
        <f t="shared" si="23"/>
        <v/>
      </c>
      <c r="J90" s="15" t="str">
        <f t="shared" si="24"/>
        <v/>
      </c>
      <c r="K90" s="13" t="str">
        <f>IF('Cylinder Detail'!U92=0,"",'Cylinder Detail'!U92)</f>
        <v/>
      </c>
      <c r="L90" s="13" t="str">
        <f>IF('Cylinder Detail'!Z92=0,"",_xlfn.TEXTBEFORE('Cylinder Detail'!Z92, ","))</f>
        <v/>
      </c>
      <c r="M90" s="13" t="str">
        <f t="shared" si="25"/>
        <v/>
      </c>
      <c r="N90" s="17" t="str">
        <f>IF('Cylinder Detail'!V92=0,"",'Cylinder Detail'!V92)</f>
        <v/>
      </c>
      <c r="O90" s="17" t="str">
        <f>IF('Cylinder Detail'!Z92=0,"",_xlfn.TEXTAFTER('Cylinder Detail'!Z92, ", "))</f>
        <v/>
      </c>
      <c r="P90" s="17" t="str">
        <f>IF('Cylinder Detail'!AA92=0,"",'Cylinder Detail'!AA92)</f>
        <v/>
      </c>
      <c r="Q90" s="19" t="str">
        <f>IF('Cylinder Detail'!W92=0,"",'Cylinder Detail'!W92)</f>
        <v/>
      </c>
      <c r="R90" s="19" t="str">
        <f>IF('Cylinder Detail'!Y92=0,"",'Cylinder Detail'!Y92)</f>
        <v/>
      </c>
      <c r="S90" s="21" t="str">
        <f>IF('Cylinder Detail'!X92=0,"",'Cylinder Detail'!X92)</f>
        <v/>
      </c>
      <c r="T90" s="21" t="str">
        <f>IF('Cylinder Detail'!F92=0,"",'Cylinder Detail'!F92)</f>
        <v/>
      </c>
      <c r="U90" s="21" t="str">
        <f>IF('Cylinder Detail'!R92=0,"",'Cylinder Detail'!R92)</f>
        <v/>
      </c>
      <c r="V90" s="21" t="str">
        <f>IF('Cylinder Detail'!Q92=0,"",'Cylinder Detail'!Q92)</f>
        <v/>
      </c>
      <c r="W90" s="21" t="str">
        <f>IF('Cylinder Detail'!E92=0,"","+" &amp; 'Cylinder Detail'!E92)</f>
        <v/>
      </c>
      <c r="X90" s="21" t="str">
        <f t="shared" si="26"/>
        <v/>
      </c>
      <c r="Y90" s="21" t="str">
        <f>IF('Cylinder Detail'!S92=0,"",'Cylinder Detail'!S92)</f>
        <v/>
      </c>
      <c r="Z90" s="21" t="str">
        <f>IF('Cylinder Detail'!T92=0,"",'Cylinder Detail'!T92)</f>
        <v/>
      </c>
      <c r="AA90" s="21" t="str">
        <f>IF('Cylinder Detail'!H92=0,"",'Cylinder Detail'!H92)</f>
        <v/>
      </c>
      <c r="AB90" s="21" t="str">
        <f>IF('Cylinder Detail'!I92=0,"",'Cylinder Detail'!I92)</f>
        <v/>
      </c>
      <c r="AC90" s="22" t="str">
        <f>IF('Cylinder Detail'!AB92=0,"",'Cylinder Detail'!AB92)</f>
        <v/>
      </c>
      <c r="AD90" s="25" t="str">
        <f>IF('Sensor Detail'!F92=0,"","=" &amp; 'Sensor Detail'!F92)</f>
        <v/>
      </c>
      <c r="AE90" s="25" t="str">
        <f>IF('Sensor Detail'!H92=0,"",'Sensor Detail'!H92)</f>
        <v/>
      </c>
      <c r="AF90" s="27" t="str">
        <f>IF('Sensor Detail'!G92=0,"","-" &amp; 'Sensor Detail'!G92)</f>
        <v/>
      </c>
      <c r="AG90" s="27" t="str">
        <f>IF('Sensor Detail'!I92=0,"",'Sensor Detail'!I92)</f>
        <v/>
      </c>
      <c r="AH90" s="27" t="str">
        <f>IF('Sensor Detail'!E92=0,"","+" &amp; 'Sensor Detail'!E92)</f>
        <v/>
      </c>
      <c r="AI90" s="27" t="str">
        <f t="shared" si="27"/>
        <v/>
      </c>
      <c r="AJ90" s="27" t="str">
        <f>IF('Sensor Detail'!J92=0,"",'Sensor Detail'!J92)</f>
        <v/>
      </c>
      <c r="AK90" s="27" t="str">
        <f>IF('Sensor Detail'!K92=0,"",'Sensor Detail'!K92)</f>
        <v/>
      </c>
      <c r="AL90" s="27" t="str">
        <f>IF('Sensor Detail'!L92=0,"",'Sensor Detail'!L92)</f>
        <v/>
      </c>
      <c r="AM90" s="27" t="str">
        <f>IF('Sensor Detail'!M92=0,"",'Sensor Detail'!M92)</f>
        <v/>
      </c>
      <c r="AN90" s="27" t="str">
        <f>IF('Sensor Detail'!N92=0,"",'Sensor Detail'!N92)</f>
        <v/>
      </c>
      <c r="AO90" s="27" t="str">
        <f>IF('Sensor Detail'!O92=0,"",'Sensor Detail'!O92)</f>
        <v/>
      </c>
      <c r="AP90" s="15" t="str">
        <f t="shared" si="28"/>
        <v/>
      </c>
      <c r="AQ90" s="15" t="str">
        <f t="shared" si="29"/>
        <v/>
      </c>
    </row>
    <row r="91" spans="1:43">
      <c r="A91" s="13" t="str">
        <f t="shared" si="15"/>
        <v/>
      </c>
      <c r="B91" s="13" t="str">
        <f t="shared" si="16"/>
        <v/>
      </c>
      <c r="C91" s="15" t="str">
        <f t="shared" si="17"/>
        <v/>
      </c>
      <c r="D91" s="15" t="str">
        <f t="shared" si="18"/>
        <v/>
      </c>
      <c r="E91" s="15" t="str">
        <f t="shared" si="19"/>
        <v/>
      </c>
      <c r="F91" s="15" t="str">
        <f t="shared" si="20"/>
        <v/>
      </c>
      <c r="G91" s="15" t="str">
        <f t="shared" si="21"/>
        <v/>
      </c>
      <c r="H91" s="15" t="str">
        <f t="shared" si="22"/>
        <v/>
      </c>
      <c r="I91" s="15" t="str">
        <f t="shared" si="23"/>
        <v/>
      </c>
      <c r="J91" s="15" t="str">
        <f t="shared" si="24"/>
        <v/>
      </c>
      <c r="K91" s="13" t="str">
        <f>IF('Cylinder Detail'!U93=0,"",'Cylinder Detail'!U93)</f>
        <v/>
      </c>
      <c r="L91" s="13" t="str">
        <f>IF('Cylinder Detail'!Z93=0,"",_xlfn.TEXTBEFORE('Cylinder Detail'!Z93, ","))</f>
        <v/>
      </c>
      <c r="M91" s="13" t="str">
        <f t="shared" si="25"/>
        <v/>
      </c>
      <c r="N91" s="17" t="str">
        <f>IF('Cylinder Detail'!V93=0,"",'Cylinder Detail'!V93)</f>
        <v/>
      </c>
      <c r="O91" s="17" t="str">
        <f>IF('Cylinder Detail'!Z93=0,"",_xlfn.TEXTAFTER('Cylinder Detail'!Z93, ", "))</f>
        <v/>
      </c>
      <c r="P91" s="17" t="str">
        <f>IF('Cylinder Detail'!AA93=0,"",'Cylinder Detail'!AA93)</f>
        <v/>
      </c>
      <c r="Q91" s="19" t="str">
        <f>IF('Cylinder Detail'!W93=0,"",'Cylinder Detail'!W93)</f>
        <v/>
      </c>
      <c r="R91" s="19" t="str">
        <f>IF('Cylinder Detail'!Y93=0,"",'Cylinder Detail'!Y93)</f>
        <v/>
      </c>
      <c r="S91" s="21" t="str">
        <f>IF('Cylinder Detail'!X93=0,"",'Cylinder Detail'!X93)</f>
        <v/>
      </c>
      <c r="T91" s="21" t="str">
        <f>IF('Cylinder Detail'!F93=0,"",'Cylinder Detail'!F93)</f>
        <v/>
      </c>
      <c r="U91" s="21" t="str">
        <f>IF('Cylinder Detail'!R93=0,"",'Cylinder Detail'!R93)</f>
        <v/>
      </c>
      <c r="V91" s="21" t="str">
        <f>IF('Cylinder Detail'!Q93=0,"",'Cylinder Detail'!Q93)</f>
        <v/>
      </c>
      <c r="W91" s="21" t="str">
        <f>IF('Cylinder Detail'!E93=0,"","+" &amp; 'Cylinder Detail'!E93)</f>
        <v/>
      </c>
      <c r="X91" s="21" t="str">
        <f t="shared" si="26"/>
        <v/>
      </c>
      <c r="Y91" s="21" t="str">
        <f>IF('Cylinder Detail'!S93=0,"",'Cylinder Detail'!S93)</f>
        <v/>
      </c>
      <c r="Z91" s="21" t="str">
        <f>IF('Cylinder Detail'!T93=0,"",'Cylinder Detail'!T93)</f>
        <v/>
      </c>
      <c r="AA91" s="21" t="str">
        <f>IF('Cylinder Detail'!H93=0,"",'Cylinder Detail'!H93)</f>
        <v/>
      </c>
      <c r="AB91" s="21" t="str">
        <f>IF('Cylinder Detail'!I93=0,"",'Cylinder Detail'!I93)</f>
        <v/>
      </c>
      <c r="AC91" s="22" t="str">
        <f>IF('Cylinder Detail'!AB93=0,"",'Cylinder Detail'!AB93)</f>
        <v/>
      </c>
      <c r="AD91" s="25" t="str">
        <f>IF('Sensor Detail'!F93=0,"","=" &amp; 'Sensor Detail'!F93)</f>
        <v/>
      </c>
      <c r="AE91" s="25" t="str">
        <f>IF('Sensor Detail'!H93=0,"",'Sensor Detail'!H93)</f>
        <v/>
      </c>
      <c r="AF91" s="27" t="str">
        <f>IF('Sensor Detail'!G93=0,"","-" &amp; 'Sensor Detail'!G93)</f>
        <v/>
      </c>
      <c r="AG91" s="27" t="str">
        <f>IF('Sensor Detail'!I93=0,"",'Sensor Detail'!I93)</f>
        <v/>
      </c>
      <c r="AH91" s="27" t="str">
        <f>IF('Sensor Detail'!E93=0,"","+" &amp; 'Sensor Detail'!E93)</f>
        <v/>
      </c>
      <c r="AI91" s="27" t="str">
        <f t="shared" si="27"/>
        <v/>
      </c>
      <c r="AJ91" s="27" t="str">
        <f>IF('Sensor Detail'!J93=0,"",'Sensor Detail'!J93)</f>
        <v/>
      </c>
      <c r="AK91" s="27" t="str">
        <f>IF('Sensor Detail'!K93=0,"",'Sensor Detail'!K93)</f>
        <v/>
      </c>
      <c r="AL91" s="27" t="str">
        <f>IF('Sensor Detail'!L93=0,"",'Sensor Detail'!L93)</f>
        <v/>
      </c>
      <c r="AM91" s="27" t="str">
        <f>IF('Sensor Detail'!M93=0,"",'Sensor Detail'!M93)</f>
        <v/>
      </c>
      <c r="AN91" s="27" t="str">
        <f>IF('Sensor Detail'!N93=0,"",'Sensor Detail'!N93)</f>
        <v/>
      </c>
      <c r="AO91" s="27" t="str">
        <f>IF('Sensor Detail'!O93=0,"",'Sensor Detail'!O93)</f>
        <v/>
      </c>
      <c r="AP91" s="15" t="str">
        <f t="shared" si="28"/>
        <v/>
      </c>
      <c r="AQ91" s="15" t="str">
        <f t="shared" si="29"/>
        <v/>
      </c>
    </row>
    <row r="92" spans="1:43">
      <c r="A92" s="13" t="str">
        <f t="shared" si="15"/>
        <v/>
      </c>
      <c r="B92" s="13" t="str">
        <f t="shared" si="16"/>
        <v/>
      </c>
      <c r="C92" s="15" t="str">
        <f t="shared" si="17"/>
        <v/>
      </c>
      <c r="D92" s="15" t="str">
        <f t="shared" si="18"/>
        <v/>
      </c>
      <c r="E92" s="15" t="str">
        <f t="shared" si="19"/>
        <v/>
      </c>
      <c r="F92" s="15" t="str">
        <f t="shared" si="20"/>
        <v/>
      </c>
      <c r="G92" s="15" t="str">
        <f t="shared" si="21"/>
        <v/>
      </c>
      <c r="H92" s="15" t="str">
        <f t="shared" si="22"/>
        <v/>
      </c>
      <c r="I92" s="15" t="str">
        <f t="shared" si="23"/>
        <v/>
      </c>
      <c r="J92" s="15" t="str">
        <f t="shared" si="24"/>
        <v/>
      </c>
      <c r="K92" s="13" t="str">
        <f>IF('Cylinder Detail'!U94=0,"",'Cylinder Detail'!U94)</f>
        <v/>
      </c>
      <c r="L92" s="13" t="str">
        <f>IF('Cylinder Detail'!Z94=0,"",_xlfn.TEXTBEFORE('Cylinder Detail'!Z94, ","))</f>
        <v/>
      </c>
      <c r="M92" s="13" t="str">
        <f t="shared" si="25"/>
        <v/>
      </c>
      <c r="N92" s="17" t="str">
        <f>IF('Cylinder Detail'!V94=0,"",'Cylinder Detail'!V94)</f>
        <v/>
      </c>
      <c r="O92" s="17" t="str">
        <f>IF('Cylinder Detail'!Z94=0,"",_xlfn.TEXTAFTER('Cylinder Detail'!Z94, ", "))</f>
        <v/>
      </c>
      <c r="P92" s="17" t="str">
        <f>IF('Cylinder Detail'!AA94=0,"",'Cylinder Detail'!AA94)</f>
        <v/>
      </c>
      <c r="Q92" s="19" t="str">
        <f>IF('Cylinder Detail'!W94=0,"",'Cylinder Detail'!W94)</f>
        <v/>
      </c>
      <c r="R92" s="19" t="str">
        <f>IF('Cylinder Detail'!Y94=0,"",'Cylinder Detail'!Y94)</f>
        <v/>
      </c>
      <c r="S92" s="21" t="str">
        <f>IF('Cylinder Detail'!X94=0,"",'Cylinder Detail'!X94)</f>
        <v/>
      </c>
      <c r="T92" s="21" t="str">
        <f>IF('Cylinder Detail'!F94=0,"",'Cylinder Detail'!F94)</f>
        <v/>
      </c>
      <c r="U92" s="21" t="str">
        <f>IF('Cylinder Detail'!R94=0,"",'Cylinder Detail'!R94)</f>
        <v/>
      </c>
      <c r="V92" s="21" t="str">
        <f>IF('Cylinder Detail'!Q94=0,"",'Cylinder Detail'!Q94)</f>
        <v/>
      </c>
      <c r="W92" s="21" t="str">
        <f>IF('Cylinder Detail'!E94=0,"","+" &amp; 'Cylinder Detail'!E94)</f>
        <v/>
      </c>
      <c r="X92" s="21" t="str">
        <f t="shared" si="26"/>
        <v/>
      </c>
      <c r="Y92" s="21" t="str">
        <f>IF('Cylinder Detail'!S94=0,"",'Cylinder Detail'!S94)</f>
        <v/>
      </c>
      <c r="Z92" s="21" t="str">
        <f>IF('Cylinder Detail'!T94=0,"",'Cylinder Detail'!T94)</f>
        <v/>
      </c>
      <c r="AA92" s="21" t="str">
        <f>IF('Cylinder Detail'!H94=0,"",'Cylinder Detail'!H94)</f>
        <v/>
      </c>
      <c r="AB92" s="21" t="str">
        <f>IF('Cylinder Detail'!I94=0,"",'Cylinder Detail'!I94)</f>
        <v/>
      </c>
      <c r="AC92" s="22" t="str">
        <f>IF('Cylinder Detail'!AB94=0,"",'Cylinder Detail'!AB94)</f>
        <v/>
      </c>
      <c r="AD92" s="25" t="str">
        <f>IF('Sensor Detail'!F94=0,"","=" &amp; 'Sensor Detail'!F94)</f>
        <v/>
      </c>
      <c r="AE92" s="25" t="str">
        <f>IF('Sensor Detail'!H94=0,"",'Sensor Detail'!H94)</f>
        <v/>
      </c>
      <c r="AF92" s="27" t="str">
        <f>IF('Sensor Detail'!G94=0,"","-" &amp; 'Sensor Detail'!G94)</f>
        <v/>
      </c>
      <c r="AG92" s="27" t="str">
        <f>IF('Sensor Detail'!I94=0,"",'Sensor Detail'!I94)</f>
        <v/>
      </c>
      <c r="AH92" s="27" t="str">
        <f>IF('Sensor Detail'!E94=0,"","+" &amp; 'Sensor Detail'!E94)</f>
        <v/>
      </c>
      <c r="AI92" s="27" t="str">
        <f t="shared" si="27"/>
        <v/>
      </c>
      <c r="AJ92" s="27" t="str">
        <f>IF('Sensor Detail'!J94=0,"",'Sensor Detail'!J94)</f>
        <v/>
      </c>
      <c r="AK92" s="27" t="str">
        <f>IF('Sensor Detail'!K94=0,"",'Sensor Detail'!K94)</f>
        <v/>
      </c>
      <c r="AL92" s="27" t="str">
        <f>IF('Sensor Detail'!L94=0,"",'Sensor Detail'!L94)</f>
        <v/>
      </c>
      <c r="AM92" s="27" t="str">
        <f>IF('Sensor Detail'!M94=0,"",'Sensor Detail'!M94)</f>
        <v/>
      </c>
      <c r="AN92" s="27" t="str">
        <f>IF('Sensor Detail'!N94=0,"",'Sensor Detail'!N94)</f>
        <v/>
      </c>
      <c r="AO92" s="27" t="str">
        <f>IF('Sensor Detail'!O94=0,"",'Sensor Detail'!O94)</f>
        <v/>
      </c>
      <c r="AP92" s="15" t="str">
        <f t="shared" si="28"/>
        <v/>
      </c>
      <c r="AQ92" s="15" t="str">
        <f t="shared" si="29"/>
        <v/>
      </c>
    </row>
    <row r="93" spans="1:43">
      <c r="A93" s="13" t="str">
        <f t="shared" si="15"/>
        <v/>
      </c>
      <c r="B93" s="13" t="str">
        <f t="shared" si="16"/>
        <v/>
      </c>
      <c r="C93" s="15" t="str">
        <f t="shared" si="17"/>
        <v/>
      </c>
      <c r="D93" s="15" t="str">
        <f t="shared" si="18"/>
        <v/>
      </c>
      <c r="E93" s="15" t="str">
        <f t="shared" si="19"/>
        <v/>
      </c>
      <c r="F93" s="15" t="str">
        <f t="shared" si="20"/>
        <v/>
      </c>
      <c r="G93" s="15" t="str">
        <f t="shared" si="21"/>
        <v/>
      </c>
      <c r="H93" s="15" t="str">
        <f t="shared" si="22"/>
        <v/>
      </c>
      <c r="I93" s="15" t="str">
        <f t="shared" si="23"/>
        <v/>
      </c>
      <c r="J93" s="15" t="str">
        <f t="shared" si="24"/>
        <v/>
      </c>
      <c r="K93" s="13" t="str">
        <f>IF('Cylinder Detail'!U95=0,"",'Cylinder Detail'!U95)</f>
        <v/>
      </c>
      <c r="L93" s="13" t="str">
        <f>IF('Cylinder Detail'!Z95=0,"",_xlfn.TEXTBEFORE('Cylinder Detail'!Z95, ","))</f>
        <v/>
      </c>
      <c r="M93" s="13" t="str">
        <f t="shared" si="25"/>
        <v/>
      </c>
      <c r="N93" s="17" t="str">
        <f>IF('Cylinder Detail'!V95=0,"",'Cylinder Detail'!V95)</f>
        <v/>
      </c>
      <c r="O93" s="17" t="str">
        <f>IF('Cylinder Detail'!Z95=0,"",_xlfn.TEXTAFTER('Cylinder Detail'!Z95, ", "))</f>
        <v/>
      </c>
      <c r="P93" s="17" t="str">
        <f>IF('Cylinder Detail'!AA95=0,"",'Cylinder Detail'!AA95)</f>
        <v/>
      </c>
      <c r="Q93" s="19" t="str">
        <f>IF('Cylinder Detail'!W95=0,"",'Cylinder Detail'!W95)</f>
        <v/>
      </c>
      <c r="R93" s="19" t="str">
        <f>IF('Cylinder Detail'!Y95=0,"",'Cylinder Detail'!Y95)</f>
        <v/>
      </c>
      <c r="S93" s="21" t="str">
        <f>IF('Cylinder Detail'!X95=0,"",'Cylinder Detail'!X95)</f>
        <v/>
      </c>
      <c r="T93" s="21" t="str">
        <f>IF('Cylinder Detail'!F95=0,"",'Cylinder Detail'!F95)</f>
        <v/>
      </c>
      <c r="U93" s="21" t="str">
        <f>IF('Cylinder Detail'!R95=0,"",'Cylinder Detail'!R95)</f>
        <v/>
      </c>
      <c r="V93" s="21" t="str">
        <f>IF('Cylinder Detail'!Q95=0,"",'Cylinder Detail'!Q95)</f>
        <v/>
      </c>
      <c r="W93" s="21" t="str">
        <f>IF('Cylinder Detail'!E95=0,"","+" &amp; 'Cylinder Detail'!E95)</f>
        <v/>
      </c>
      <c r="X93" s="21" t="str">
        <f t="shared" si="26"/>
        <v/>
      </c>
      <c r="Y93" s="21" t="str">
        <f>IF('Cylinder Detail'!S95=0,"",'Cylinder Detail'!S95)</f>
        <v/>
      </c>
      <c r="Z93" s="21" t="str">
        <f>IF('Cylinder Detail'!T95=0,"",'Cylinder Detail'!T95)</f>
        <v/>
      </c>
      <c r="AA93" s="21" t="str">
        <f>IF('Cylinder Detail'!H95=0,"",'Cylinder Detail'!H95)</f>
        <v/>
      </c>
      <c r="AB93" s="21" t="str">
        <f>IF('Cylinder Detail'!I95=0,"",'Cylinder Detail'!I95)</f>
        <v/>
      </c>
      <c r="AC93" s="22" t="str">
        <f>IF('Cylinder Detail'!AB95=0,"",'Cylinder Detail'!AB95)</f>
        <v/>
      </c>
      <c r="AD93" s="25" t="str">
        <f>IF('Sensor Detail'!F95=0,"","=" &amp; 'Sensor Detail'!F95)</f>
        <v/>
      </c>
      <c r="AE93" s="25" t="str">
        <f>IF('Sensor Detail'!H95=0,"",'Sensor Detail'!H95)</f>
        <v/>
      </c>
      <c r="AF93" s="27" t="str">
        <f>IF('Sensor Detail'!G95=0,"","-" &amp; 'Sensor Detail'!G95)</f>
        <v/>
      </c>
      <c r="AG93" s="27" t="str">
        <f>IF('Sensor Detail'!I95=0,"",'Sensor Detail'!I95)</f>
        <v/>
      </c>
      <c r="AH93" s="27" t="str">
        <f>IF('Sensor Detail'!E95=0,"","+" &amp; 'Sensor Detail'!E95)</f>
        <v/>
      </c>
      <c r="AI93" s="27" t="str">
        <f t="shared" si="27"/>
        <v/>
      </c>
      <c r="AJ93" s="27" t="str">
        <f>IF('Sensor Detail'!J95=0,"",'Sensor Detail'!J95)</f>
        <v/>
      </c>
      <c r="AK93" s="27" t="str">
        <f>IF('Sensor Detail'!K95=0,"",'Sensor Detail'!K95)</f>
        <v/>
      </c>
      <c r="AL93" s="27" t="str">
        <f>IF('Sensor Detail'!L95=0,"",'Sensor Detail'!L95)</f>
        <v/>
      </c>
      <c r="AM93" s="27" t="str">
        <f>IF('Sensor Detail'!M95=0,"",'Sensor Detail'!M95)</f>
        <v/>
      </c>
      <c r="AN93" s="27" t="str">
        <f>IF('Sensor Detail'!N95=0,"",'Sensor Detail'!N95)</f>
        <v/>
      </c>
      <c r="AO93" s="27" t="str">
        <f>IF('Sensor Detail'!O95=0,"",'Sensor Detail'!O95)</f>
        <v/>
      </c>
      <c r="AP93" s="15" t="str">
        <f t="shared" si="28"/>
        <v/>
      </c>
      <c r="AQ93" s="15" t="str">
        <f t="shared" si="29"/>
        <v/>
      </c>
    </row>
    <row r="94" spans="1:43">
      <c r="A94" s="13" t="str">
        <f t="shared" si="15"/>
        <v/>
      </c>
      <c r="B94" s="13" t="str">
        <f t="shared" si="16"/>
        <v/>
      </c>
      <c r="C94" s="15" t="str">
        <f t="shared" si="17"/>
        <v/>
      </c>
      <c r="D94" s="15" t="str">
        <f t="shared" si="18"/>
        <v/>
      </c>
      <c r="E94" s="15" t="str">
        <f t="shared" si="19"/>
        <v/>
      </c>
      <c r="F94" s="15" t="str">
        <f t="shared" si="20"/>
        <v/>
      </c>
      <c r="G94" s="15" t="str">
        <f t="shared" si="21"/>
        <v/>
      </c>
      <c r="H94" s="15" t="str">
        <f t="shared" si="22"/>
        <v/>
      </c>
      <c r="I94" s="15" t="str">
        <f t="shared" si="23"/>
        <v/>
      </c>
      <c r="J94" s="15" t="str">
        <f t="shared" si="24"/>
        <v/>
      </c>
      <c r="K94" s="13" t="str">
        <f>IF('Cylinder Detail'!U96=0,"",'Cylinder Detail'!U96)</f>
        <v/>
      </c>
      <c r="L94" s="13" t="str">
        <f>IF('Cylinder Detail'!Z96=0,"",_xlfn.TEXTBEFORE('Cylinder Detail'!Z96, ","))</f>
        <v/>
      </c>
      <c r="M94" s="13" t="str">
        <f t="shared" si="25"/>
        <v/>
      </c>
      <c r="N94" s="17" t="str">
        <f>IF('Cylinder Detail'!V96=0,"",'Cylinder Detail'!V96)</f>
        <v/>
      </c>
      <c r="O94" s="17" t="str">
        <f>IF('Cylinder Detail'!Z96=0,"",_xlfn.TEXTAFTER('Cylinder Detail'!Z96, ", "))</f>
        <v/>
      </c>
      <c r="P94" s="17" t="str">
        <f>IF('Cylinder Detail'!AA96=0,"",'Cylinder Detail'!AA96)</f>
        <v/>
      </c>
      <c r="Q94" s="19" t="str">
        <f>IF('Cylinder Detail'!W96=0,"",'Cylinder Detail'!W96)</f>
        <v/>
      </c>
      <c r="R94" s="19" t="str">
        <f>IF('Cylinder Detail'!Y96=0,"",'Cylinder Detail'!Y96)</f>
        <v/>
      </c>
      <c r="S94" s="21" t="str">
        <f>IF('Cylinder Detail'!X96=0,"",'Cylinder Detail'!X96)</f>
        <v/>
      </c>
      <c r="T94" s="21" t="str">
        <f>IF('Cylinder Detail'!F96=0,"",'Cylinder Detail'!F96)</f>
        <v/>
      </c>
      <c r="U94" s="21" t="str">
        <f>IF('Cylinder Detail'!R96=0,"",'Cylinder Detail'!R96)</f>
        <v/>
      </c>
      <c r="V94" s="21" t="str">
        <f>IF('Cylinder Detail'!Q96=0,"",'Cylinder Detail'!Q96)</f>
        <v/>
      </c>
      <c r="W94" s="21" t="str">
        <f>IF('Cylinder Detail'!E96=0,"","+" &amp; 'Cylinder Detail'!E96)</f>
        <v/>
      </c>
      <c r="X94" s="21" t="str">
        <f t="shared" si="26"/>
        <v/>
      </c>
      <c r="Y94" s="21" t="str">
        <f>IF('Cylinder Detail'!S96=0,"",'Cylinder Detail'!S96)</f>
        <v/>
      </c>
      <c r="Z94" s="21" t="str">
        <f>IF('Cylinder Detail'!T96=0,"",'Cylinder Detail'!T96)</f>
        <v/>
      </c>
      <c r="AA94" s="21" t="str">
        <f>IF('Cylinder Detail'!H96=0,"",'Cylinder Detail'!H96)</f>
        <v/>
      </c>
      <c r="AB94" s="21" t="str">
        <f>IF('Cylinder Detail'!I96=0,"",'Cylinder Detail'!I96)</f>
        <v/>
      </c>
      <c r="AC94" s="22" t="str">
        <f>IF('Cylinder Detail'!AB96=0,"",'Cylinder Detail'!AB96)</f>
        <v/>
      </c>
      <c r="AD94" s="25" t="str">
        <f>IF('Sensor Detail'!F96=0,"","=" &amp; 'Sensor Detail'!F96)</f>
        <v/>
      </c>
      <c r="AE94" s="25" t="str">
        <f>IF('Sensor Detail'!H96=0,"",'Sensor Detail'!H96)</f>
        <v/>
      </c>
      <c r="AF94" s="27" t="str">
        <f>IF('Sensor Detail'!G96=0,"","-" &amp; 'Sensor Detail'!G96)</f>
        <v/>
      </c>
      <c r="AG94" s="27" t="str">
        <f>IF('Sensor Detail'!I96=0,"",'Sensor Detail'!I96)</f>
        <v/>
      </c>
      <c r="AH94" s="27" t="str">
        <f>IF('Sensor Detail'!E96=0,"","+" &amp; 'Sensor Detail'!E96)</f>
        <v/>
      </c>
      <c r="AI94" s="27" t="str">
        <f t="shared" si="27"/>
        <v/>
      </c>
      <c r="AJ94" s="27" t="str">
        <f>IF('Sensor Detail'!J96=0,"",'Sensor Detail'!J96)</f>
        <v/>
      </c>
      <c r="AK94" s="27" t="str">
        <f>IF('Sensor Detail'!K96=0,"",'Sensor Detail'!K96)</f>
        <v/>
      </c>
      <c r="AL94" s="27" t="str">
        <f>IF('Sensor Detail'!L96=0,"",'Sensor Detail'!L96)</f>
        <v/>
      </c>
      <c r="AM94" s="27" t="str">
        <f>IF('Sensor Detail'!M96=0,"",'Sensor Detail'!M96)</f>
        <v/>
      </c>
      <c r="AN94" s="27" t="str">
        <f>IF('Sensor Detail'!N96=0,"",'Sensor Detail'!N96)</f>
        <v/>
      </c>
      <c r="AO94" s="27" t="str">
        <f>IF('Sensor Detail'!O96=0,"",'Sensor Detail'!O96)</f>
        <v/>
      </c>
      <c r="AP94" s="15" t="str">
        <f t="shared" si="28"/>
        <v/>
      </c>
      <c r="AQ94" s="15" t="str">
        <f t="shared" si="29"/>
        <v/>
      </c>
    </row>
    <row r="95" spans="1:43">
      <c r="A95" s="13" t="str">
        <f t="shared" si="15"/>
        <v/>
      </c>
      <c r="B95" s="13" t="str">
        <f t="shared" si="16"/>
        <v/>
      </c>
      <c r="C95" s="15" t="str">
        <f t="shared" si="17"/>
        <v/>
      </c>
      <c r="D95" s="15" t="str">
        <f t="shared" si="18"/>
        <v/>
      </c>
      <c r="E95" s="15" t="str">
        <f t="shared" si="19"/>
        <v/>
      </c>
      <c r="F95" s="15" t="str">
        <f t="shared" si="20"/>
        <v/>
      </c>
      <c r="G95" s="15" t="str">
        <f t="shared" si="21"/>
        <v/>
      </c>
      <c r="H95" s="15" t="str">
        <f t="shared" si="22"/>
        <v/>
      </c>
      <c r="I95" s="15" t="str">
        <f t="shared" si="23"/>
        <v/>
      </c>
      <c r="J95" s="15" t="str">
        <f t="shared" si="24"/>
        <v/>
      </c>
      <c r="K95" s="13" t="str">
        <f>IF('Cylinder Detail'!U97=0,"",'Cylinder Detail'!U97)</f>
        <v/>
      </c>
      <c r="L95" s="13" t="str">
        <f>IF('Cylinder Detail'!Z97=0,"",_xlfn.TEXTBEFORE('Cylinder Detail'!Z97, ","))</f>
        <v/>
      </c>
      <c r="M95" s="13" t="str">
        <f t="shared" si="25"/>
        <v/>
      </c>
      <c r="N95" s="17" t="str">
        <f>IF('Cylinder Detail'!V97=0,"",'Cylinder Detail'!V97)</f>
        <v/>
      </c>
      <c r="O95" s="17" t="str">
        <f>IF('Cylinder Detail'!Z97=0,"",_xlfn.TEXTAFTER('Cylinder Detail'!Z97, ", "))</f>
        <v/>
      </c>
      <c r="P95" s="17" t="str">
        <f>IF('Cylinder Detail'!AA97=0,"",'Cylinder Detail'!AA97)</f>
        <v/>
      </c>
      <c r="Q95" s="19" t="str">
        <f>IF('Cylinder Detail'!W97=0,"",'Cylinder Detail'!W97)</f>
        <v/>
      </c>
      <c r="R95" s="19" t="str">
        <f>IF('Cylinder Detail'!Y97=0,"",'Cylinder Detail'!Y97)</f>
        <v/>
      </c>
      <c r="S95" s="21" t="str">
        <f>IF('Cylinder Detail'!X97=0,"",'Cylinder Detail'!X97)</f>
        <v/>
      </c>
      <c r="T95" s="21" t="str">
        <f>IF('Cylinder Detail'!F97=0,"",'Cylinder Detail'!F97)</f>
        <v/>
      </c>
      <c r="U95" s="21" t="str">
        <f>IF('Cylinder Detail'!R97=0,"",'Cylinder Detail'!R97)</f>
        <v/>
      </c>
      <c r="V95" s="21" t="str">
        <f>IF('Cylinder Detail'!Q97=0,"",'Cylinder Detail'!Q97)</f>
        <v/>
      </c>
      <c r="W95" s="21" t="str">
        <f>IF('Cylinder Detail'!E97=0,"","+" &amp; 'Cylinder Detail'!E97)</f>
        <v/>
      </c>
      <c r="X95" s="21" t="str">
        <f t="shared" si="26"/>
        <v/>
      </c>
      <c r="Y95" s="21" t="str">
        <f>IF('Cylinder Detail'!S97=0,"",'Cylinder Detail'!S97)</f>
        <v/>
      </c>
      <c r="Z95" s="21" t="str">
        <f>IF('Cylinder Detail'!T97=0,"",'Cylinder Detail'!T97)</f>
        <v/>
      </c>
      <c r="AA95" s="21" t="str">
        <f>IF('Cylinder Detail'!H97=0,"",'Cylinder Detail'!H97)</f>
        <v/>
      </c>
      <c r="AB95" s="21" t="str">
        <f>IF('Cylinder Detail'!I97=0,"",'Cylinder Detail'!I97)</f>
        <v/>
      </c>
      <c r="AC95" s="22" t="str">
        <f>IF('Cylinder Detail'!AB97=0,"",'Cylinder Detail'!AB97)</f>
        <v/>
      </c>
      <c r="AD95" s="25" t="str">
        <f>IF('Sensor Detail'!F97=0,"","=" &amp; 'Sensor Detail'!F97)</f>
        <v/>
      </c>
      <c r="AE95" s="25" t="str">
        <f>IF('Sensor Detail'!H97=0,"",'Sensor Detail'!H97)</f>
        <v/>
      </c>
      <c r="AF95" s="27" t="str">
        <f>IF('Sensor Detail'!G97=0,"","-" &amp; 'Sensor Detail'!G97)</f>
        <v/>
      </c>
      <c r="AG95" s="27" t="str">
        <f>IF('Sensor Detail'!I97=0,"",'Sensor Detail'!I97)</f>
        <v/>
      </c>
      <c r="AH95" s="27" t="str">
        <f>IF('Sensor Detail'!E97=0,"","+" &amp; 'Sensor Detail'!E97)</f>
        <v/>
      </c>
      <c r="AI95" s="27" t="str">
        <f t="shared" si="27"/>
        <v/>
      </c>
      <c r="AJ95" s="27" t="str">
        <f>IF('Sensor Detail'!J97=0,"",'Sensor Detail'!J97)</f>
        <v/>
      </c>
      <c r="AK95" s="27" t="str">
        <f>IF('Sensor Detail'!K97=0,"",'Sensor Detail'!K97)</f>
        <v/>
      </c>
      <c r="AL95" s="27" t="str">
        <f>IF('Sensor Detail'!L97=0,"",'Sensor Detail'!L97)</f>
        <v/>
      </c>
      <c r="AM95" s="27" t="str">
        <f>IF('Sensor Detail'!M97=0,"",'Sensor Detail'!M97)</f>
        <v/>
      </c>
      <c r="AN95" s="27" t="str">
        <f>IF('Sensor Detail'!N97=0,"",'Sensor Detail'!N97)</f>
        <v/>
      </c>
      <c r="AO95" s="27" t="str">
        <f>IF('Sensor Detail'!O97=0,"",'Sensor Detail'!O97)</f>
        <v/>
      </c>
      <c r="AP95" s="15" t="str">
        <f t="shared" si="28"/>
        <v/>
      </c>
      <c r="AQ95" s="15" t="str">
        <f t="shared" si="29"/>
        <v/>
      </c>
    </row>
    <row r="96" spans="1:43">
      <c r="A96" s="13" t="str">
        <f t="shared" si="15"/>
        <v/>
      </c>
      <c r="B96" s="13" t="str">
        <f t="shared" si="16"/>
        <v/>
      </c>
      <c r="C96" s="15" t="str">
        <f t="shared" si="17"/>
        <v/>
      </c>
      <c r="D96" s="15" t="str">
        <f t="shared" si="18"/>
        <v/>
      </c>
      <c r="E96" s="15" t="str">
        <f t="shared" si="19"/>
        <v/>
      </c>
      <c r="F96" s="15" t="str">
        <f t="shared" si="20"/>
        <v/>
      </c>
      <c r="G96" s="15" t="str">
        <f t="shared" si="21"/>
        <v/>
      </c>
      <c r="H96" s="15" t="str">
        <f t="shared" si="22"/>
        <v/>
      </c>
      <c r="I96" s="15" t="str">
        <f t="shared" si="23"/>
        <v/>
      </c>
      <c r="J96" s="15" t="str">
        <f t="shared" si="24"/>
        <v/>
      </c>
      <c r="K96" s="13" t="str">
        <f>IF('Cylinder Detail'!U98=0,"",'Cylinder Detail'!U98)</f>
        <v/>
      </c>
      <c r="L96" s="13" t="str">
        <f>IF('Cylinder Detail'!Z98=0,"",_xlfn.TEXTBEFORE('Cylinder Detail'!Z98, ","))</f>
        <v/>
      </c>
      <c r="M96" s="13" t="str">
        <f t="shared" si="25"/>
        <v/>
      </c>
      <c r="N96" s="17" t="str">
        <f>IF('Cylinder Detail'!V98=0,"",'Cylinder Detail'!V98)</f>
        <v/>
      </c>
      <c r="O96" s="17" t="str">
        <f>IF('Cylinder Detail'!Z98=0,"",_xlfn.TEXTAFTER('Cylinder Detail'!Z98, ", "))</f>
        <v/>
      </c>
      <c r="P96" s="17" t="str">
        <f>IF('Cylinder Detail'!AA98=0,"",'Cylinder Detail'!AA98)</f>
        <v/>
      </c>
      <c r="Q96" s="19" t="str">
        <f>IF('Cylinder Detail'!W98=0,"",'Cylinder Detail'!W98)</f>
        <v/>
      </c>
      <c r="R96" s="19" t="str">
        <f>IF('Cylinder Detail'!Y98=0,"",'Cylinder Detail'!Y98)</f>
        <v/>
      </c>
      <c r="S96" s="21" t="str">
        <f>IF('Cylinder Detail'!X98=0,"",'Cylinder Detail'!X98)</f>
        <v/>
      </c>
      <c r="T96" s="21" t="str">
        <f>IF('Cylinder Detail'!F98=0,"",'Cylinder Detail'!F98)</f>
        <v/>
      </c>
      <c r="U96" s="21" t="str">
        <f>IF('Cylinder Detail'!R98=0,"",'Cylinder Detail'!R98)</f>
        <v/>
      </c>
      <c r="V96" s="21" t="str">
        <f>IF('Cylinder Detail'!Q98=0,"",'Cylinder Detail'!Q98)</f>
        <v/>
      </c>
      <c r="W96" s="21" t="str">
        <f>IF('Cylinder Detail'!E98=0,"","+" &amp; 'Cylinder Detail'!E98)</f>
        <v/>
      </c>
      <c r="X96" s="21" t="str">
        <f t="shared" si="26"/>
        <v/>
      </c>
      <c r="Y96" s="21" t="str">
        <f>IF('Cylinder Detail'!S98=0,"",'Cylinder Detail'!S98)</f>
        <v/>
      </c>
      <c r="Z96" s="21" t="str">
        <f>IF('Cylinder Detail'!T98=0,"",'Cylinder Detail'!T98)</f>
        <v/>
      </c>
      <c r="AA96" s="21" t="str">
        <f>IF('Cylinder Detail'!H98=0,"",'Cylinder Detail'!H98)</f>
        <v/>
      </c>
      <c r="AB96" s="21" t="str">
        <f>IF('Cylinder Detail'!I98=0,"",'Cylinder Detail'!I98)</f>
        <v/>
      </c>
      <c r="AC96" s="22" t="str">
        <f>IF('Cylinder Detail'!AB98=0,"",'Cylinder Detail'!AB98)</f>
        <v/>
      </c>
      <c r="AD96" s="25" t="str">
        <f>IF('Sensor Detail'!F98=0,"","=" &amp; 'Sensor Detail'!F98)</f>
        <v/>
      </c>
      <c r="AE96" s="25" t="str">
        <f>IF('Sensor Detail'!H98=0,"",'Sensor Detail'!H98)</f>
        <v/>
      </c>
      <c r="AF96" s="27" t="str">
        <f>IF('Sensor Detail'!G98=0,"","-" &amp; 'Sensor Detail'!G98)</f>
        <v/>
      </c>
      <c r="AG96" s="27" t="str">
        <f>IF('Sensor Detail'!I98=0,"",'Sensor Detail'!I98)</f>
        <v/>
      </c>
      <c r="AH96" s="27" t="str">
        <f>IF('Sensor Detail'!E98=0,"","+" &amp; 'Sensor Detail'!E98)</f>
        <v/>
      </c>
      <c r="AI96" s="27" t="str">
        <f t="shared" si="27"/>
        <v/>
      </c>
      <c r="AJ96" s="27" t="str">
        <f>IF('Sensor Detail'!J98=0,"",'Sensor Detail'!J98)</f>
        <v/>
      </c>
      <c r="AK96" s="27" t="str">
        <f>IF('Sensor Detail'!K98=0,"",'Sensor Detail'!K98)</f>
        <v/>
      </c>
      <c r="AL96" s="27" t="str">
        <f>IF('Sensor Detail'!L98=0,"",'Sensor Detail'!L98)</f>
        <v/>
      </c>
      <c r="AM96" s="27" t="str">
        <f>IF('Sensor Detail'!M98=0,"",'Sensor Detail'!M98)</f>
        <v/>
      </c>
      <c r="AN96" s="27" t="str">
        <f>IF('Sensor Detail'!N98=0,"",'Sensor Detail'!N98)</f>
        <v/>
      </c>
      <c r="AO96" s="27" t="str">
        <f>IF('Sensor Detail'!O98=0,"",'Sensor Detail'!O98)</f>
        <v/>
      </c>
      <c r="AP96" s="15" t="str">
        <f t="shared" si="28"/>
        <v/>
      </c>
      <c r="AQ96" s="15" t="str">
        <f t="shared" si="29"/>
        <v/>
      </c>
    </row>
    <row r="97" spans="1:43">
      <c r="A97" s="13" t="str">
        <f t="shared" si="15"/>
        <v/>
      </c>
      <c r="B97" s="13" t="str">
        <f t="shared" si="16"/>
        <v/>
      </c>
      <c r="C97" s="15" t="str">
        <f t="shared" si="17"/>
        <v/>
      </c>
      <c r="D97" s="15" t="str">
        <f t="shared" si="18"/>
        <v/>
      </c>
      <c r="E97" s="15" t="str">
        <f t="shared" si="19"/>
        <v/>
      </c>
      <c r="F97" s="15" t="str">
        <f t="shared" si="20"/>
        <v/>
      </c>
      <c r="G97" s="15" t="str">
        <f t="shared" si="21"/>
        <v/>
      </c>
      <c r="H97" s="15" t="str">
        <f t="shared" si="22"/>
        <v/>
      </c>
      <c r="I97" s="15" t="str">
        <f t="shared" si="23"/>
        <v/>
      </c>
      <c r="J97" s="15" t="str">
        <f t="shared" si="24"/>
        <v/>
      </c>
      <c r="K97" s="13" t="str">
        <f>IF('Cylinder Detail'!U99=0,"",'Cylinder Detail'!U99)</f>
        <v/>
      </c>
      <c r="L97" s="13" t="str">
        <f>IF('Cylinder Detail'!Z99=0,"",_xlfn.TEXTBEFORE('Cylinder Detail'!Z99, ","))</f>
        <v/>
      </c>
      <c r="M97" s="13" t="str">
        <f t="shared" si="25"/>
        <v/>
      </c>
      <c r="N97" s="17" t="str">
        <f>IF('Cylinder Detail'!V99=0,"",'Cylinder Detail'!V99)</f>
        <v/>
      </c>
      <c r="O97" s="17" t="str">
        <f>IF('Cylinder Detail'!Z99=0,"",_xlfn.TEXTAFTER('Cylinder Detail'!Z99, ", "))</f>
        <v/>
      </c>
      <c r="P97" s="17" t="str">
        <f>IF('Cylinder Detail'!AA99=0,"",'Cylinder Detail'!AA99)</f>
        <v/>
      </c>
      <c r="Q97" s="19" t="str">
        <f>IF('Cylinder Detail'!W99=0,"",'Cylinder Detail'!W99)</f>
        <v/>
      </c>
      <c r="R97" s="19" t="str">
        <f>IF('Cylinder Detail'!Y99=0,"",'Cylinder Detail'!Y99)</f>
        <v/>
      </c>
      <c r="S97" s="21" t="str">
        <f>IF('Cylinder Detail'!X99=0,"",'Cylinder Detail'!X99)</f>
        <v/>
      </c>
      <c r="T97" s="21" t="str">
        <f>IF('Cylinder Detail'!F99=0,"",'Cylinder Detail'!F99)</f>
        <v/>
      </c>
      <c r="U97" s="21" t="str">
        <f>IF('Cylinder Detail'!R99=0,"",'Cylinder Detail'!R99)</f>
        <v/>
      </c>
      <c r="V97" s="21" t="str">
        <f>IF('Cylinder Detail'!Q99=0,"",'Cylinder Detail'!Q99)</f>
        <v/>
      </c>
      <c r="W97" s="21" t="str">
        <f>IF('Cylinder Detail'!E99=0,"","+" &amp; 'Cylinder Detail'!E99)</f>
        <v/>
      </c>
      <c r="X97" s="21" t="str">
        <f t="shared" si="26"/>
        <v/>
      </c>
      <c r="Y97" s="21" t="str">
        <f>IF('Cylinder Detail'!S99=0,"",'Cylinder Detail'!S99)</f>
        <v/>
      </c>
      <c r="Z97" s="21" t="str">
        <f>IF('Cylinder Detail'!T99=0,"",'Cylinder Detail'!T99)</f>
        <v/>
      </c>
      <c r="AA97" s="21" t="str">
        <f>IF('Cylinder Detail'!H99=0,"",'Cylinder Detail'!H99)</f>
        <v/>
      </c>
      <c r="AB97" s="21" t="str">
        <f>IF('Cylinder Detail'!I99=0,"",'Cylinder Detail'!I99)</f>
        <v/>
      </c>
      <c r="AC97" s="22" t="str">
        <f>IF('Cylinder Detail'!AB99=0,"",'Cylinder Detail'!AB99)</f>
        <v/>
      </c>
      <c r="AD97" s="25" t="str">
        <f>IF('Sensor Detail'!F99=0,"","=" &amp; 'Sensor Detail'!F99)</f>
        <v/>
      </c>
      <c r="AE97" s="25" t="str">
        <f>IF('Sensor Detail'!H99=0,"",'Sensor Detail'!H99)</f>
        <v/>
      </c>
      <c r="AF97" s="27" t="str">
        <f>IF('Sensor Detail'!G99=0,"","-" &amp; 'Sensor Detail'!G99)</f>
        <v/>
      </c>
      <c r="AG97" s="27" t="str">
        <f>IF('Sensor Detail'!I99=0,"",'Sensor Detail'!I99)</f>
        <v/>
      </c>
      <c r="AH97" s="27" t="str">
        <f>IF('Sensor Detail'!E99=0,"","+" &amp; 'Sensor Detail'!E99)</f>
        <v/>
      </c>
      <c r="AI97" s="27" t="str">
        <f t="shared" si="27"/>
        <v/>
      </c>
      <c r="AJ97" s="27" t="str">
        <f>IF('Sensor Detail'!J99=0,"",'Sensor Detail'!J99)</f>
        <v/>
      </c>
      <c r="AK97" s="27" t="str">
        <f>IF('Sensor Detail'!K99=0,"",'Sensor Detail'!K99)</f>
        <v/>
      </c>
      <c r="AL97" s="27" t="str">
        <f>IF('Sensor Detail'!L99=0,"",'Sensor Detail'!L99)</f>
        <v/>
      </c>
      <c r="AM97" s="27" t="str">
        <f>IF('Sensor Detail'!M99=0,"",'Sensor Detail'!M99)</f>
        <v/>
      </c>
      <c r="AN97" s="27" t="str">
        <f>IF('Sensor Detail'!N99=0,"",'Sensor Detail'!N99)</f>
        <v/>
      </c>
      <c r="AO97" s="27" t="str">
        <f>IF('Sensor Detail'!O99=0,"",'Sensor Detail'!O99)</f>
        <v/>
      </c>
      <c r="AP97" s="15" t="str">
        <f t="shared" si="28"/>
        <v/>
      </c>
      <c r="AQ97" s="15" t="str">
        <f t="shared" si="29"/>
        <v/>
      </c>
    </row>
    <row r="98" spans="1:43">
      <c r="A98" s="13" t="str">
        <f t="shared" si="15"/>
        <v/>
      </c>
      <c r="B98" s="13" t="str">
        <f t="shared" si="16"/>
        <v/>
      </c>
      <c r="C98" s="15" t="str">
        <f t="shared" si="17"/>
        <v/>
      </c>
      <c r="D98" s="15" t="str">
        <f t="shared" si="18"/>
        <v/>
      </c>
      <c r="E98" s="15" t="str">
        <f t="shared" si="19"/>
        <v/>
      </c>
      <c r="F98" s="15" t="str">
        <f t="shared" si="20"/>
        <v/>
      </c>
      <c r="G98" s="15" t="str">
        <f t="shared" si="21"/>
        <v/>
      </c>
      <c r="H98" s="15" t="str">
        <f t="shared" si="22"/>
        <v/>
      </c>
      <c r="I98" s="15" t="str">
        <f t="shared" si="23"/>
        <v/>
      </c>
      <c r="J98" s="15" t="str">
        <f t="shared" si="24"/>
        <v/>
      </c>
      <c r="K98" s="13" t="str">
        <f>IF('Cylinder Detail'!U100=0,"",'Cylinder Detail'!U100)</f>
        <v/>
      </c>
      <c r="L98" s="13" t="str">
        <f>IF('Cylinder Detail'!Z100=0,"",_xlfn.TEXTBEFORE('Cylinder Detail'!Z100, ","))</f>
        <v/>
      </c>
      <c r="M98" s="13" t="str">
        <f t="shared" si="25"/>
        <v/>
      </c>
      <c r="N98" s="17" t="str">
        <f>IF('Cylinder Detail'!V100=0,"",'Cylinder Detail'!V100)</f>
        <v/>
      </c>
      <c r="O98" s="17" t="str">
        <f>IF('Cylinder Detail'!Z100=0,"",_xlfn.TEXTAFTER('Cylinder Detail'!Z100, ", "))</f>
        <v/>
      </c>
      <c r="P98" s="17" t="str">
        <f>IF('Cylinder Detail'!AA100=0,"",'Cylinder Detail'!AA100)</f>
        <v/>
      </c>
      <c r="Q98" s="19" t="str">
        <f>IF('Cylinder Detail'!W100=0,"",'Cylinder Detail'!W100)</f>
        <v/>
      </c>
      <c r="R98" s="19" t="str">
        <f>IF('Cylinder Detail'!Y100=0,"",'Cylinder Detail'!Y100)</f>
        <v/>
      </c>
      <c r="S98" s="21" t="str">
        <f>IF('Cylinder Detail'!X100=0,"",'Cylinder Detail'!X100)</f>
        <v/>
      </c>
      <c r="T98" s="21" t="str">
        <f>IF('Cylinder Detail'!F100=0,"",'Cylinder Detail'!F100)</f>
        <v/>
      </c>
      <c r="U98" s="21" t="str">
        <f>IF('Cylinder Detail'!R100=0,"",'Cylinder Detail'!R100)</f>
        <v/>
      </c>
      <c r="V98" s="21" t="str">
        <f>IF('Cylinder Detail'!Q100=0,"",'Cylinder Detail'!Q100)</f>
        <v/>
      </c>
      <c r="W98" s="21" t="str">
        <f>IF('Cylinder Detail'!E100=0,"","+" &amp; 'Cylinder Detail'!E100)</f>
        <v/>
      </c>
      <c r="X98" s="21" t="str">
        <f t="shared" si="26"/>
        <v/>
      </c>
      <c r="Y98" s="21" t="str">
        <f>IF('Cylinder Detail'!S100=0,"",'Cylinder Detail'!S100)</f>
        <v/>
      </c>
      <c r="Z98" s="21" t="str">
        <f>IF('Cylinder Detail'!T100=0,"",'Cylinder Detail'!T100)</f>
        <v/>
      </c>
      <c r="AA98" s="21" t="str">
        <f>IF('Cylinder Detail'!H100=0,"",'Cylinder Detail'!H100)</f>
        <v/>
      </c>
      <c r="AB98" s="21" t="str">
        <f>IF('Cylinder Detail'!I100=0,"",'Cylinder Detail'!I100)</f>
        <v/>
      </c>
      <c r="AC98" s="22" t="str">
        <f>IF('Cylinder Detail'!AB100=0,"",'Cylinder Detail'!AB100)</f>
        <v/>
      </c>
      <c r="AD98" s="25" t="str">
        <f>IF('Sensor Detail'!F100=0,"","=" &amp; 'Sensor Detail'!F100)</f>
        <v/>
      </c>
      <c r="AE98" s="25" t="str">
        <f>IF('Sensor Detail'!H100=0,"",'Sensor Detail'!H100)</f>
        <v/>
      </c>
      <c r="AF98" s="27" t="str">
        <f>IF('Sensor Detail'!G100=0,"","-" &amp; 'Sensor Detail'!G100)</f>
        <v/>
      </c>
      <c r="AG98" s="27" t="str">
        <f>IF('Sensor Detail'!I100=0,"",'Sensor Detail'!I100)</f>
        <v/>
      </c>
      <c r="AH98" s="27" t="str">
        <f>IF('Sensor Detail'!E100=0,"","+" &amp; 'Sensor Detail'!E100)</f>
        <v/>
      </c>
      <c r="AI98" s="27" t="str">
        <f t="shared" si="27"/>
        <v/>
      </c>
      <c r="AJ98" s="27" t="str">
        <f>IF('Sensor Detail'!J100=0,"",'Sensor Detail'!J100)</f>
        <v/>
      </c>
      <c r="AK98" s="27" t="str">
        <f>IF('Sensor Detail'!K100=0,"",'Sensor Detail'!K100)</f>
        <v/>
      </c>
      <c r="AL98" s="27" t="str">
        <f>IF('Sensor Detail'!L100=0,"",'Sensor Detail'!L100)</f>
        <v/>
      </c>
      <c r="AM98" s="27" t="str">
        <f>IF('Sensor Detail'!M100=0,"",'Sensor Detail'!M100)</f>
        <v/>
      </c>
      <c r="AN98" s="27" t="str">
        <f>IF('Sensor Detail'!N100=0,"",'Sensor Detail'!N100)</f>
        <v/>
      </c>
      <c r="AO98" s="27" t="str">
        <f>IF('Sensor Detail'!O100=0,"",'Sensor Detail'!O100)</f>
        <v/>
      </c>
      <c r="AP98" s="15" t="str">
        <f t="shared" si="28"/>
        <v/>
      </c>
      <c r="AQ98" s="15" t="str">
        <f t="shared" si="29"/>
        <v/>
      </c>
    </row>
    <row r="99" spans="1:43">
      <c r="A99" s="13" t="str">
        <f t="shared" si="15"/>
        <v/>
      </c>
      <c r="B99" s="13" t="str">
        <f t="shared" si="16"/>
        <v/>
      </c>
      <c r="C99" s="15" t="str">
        <f t="shared" si="17"/>
        <v/>
      </c>
      <c r="D99" s="15" t="str">
        <f t="shared" si="18"/>
        <v/>
      </c>
      <c r="E99" s="15" t="str">
        <f t="shared" si="19"/>
        <v/>
      </c>
      <c r="F99" s="15" t="str">
        <f t="shared" si="20"/>
        <v/>
      </c>
      <c r="G99" s="15" t="str">
        <f t="shared" si="21"/>
        <v/>
      </c>
      <c r="H99" s="15" t="str">
        <f t="shared" si="22"/>
        <v/>
      </c>
      <c r="I99" s="15" t="str">
        <f t="shared" si="23"/>
        <v/>
      </c>
      <c r="J99" s="15" t="str">
        <f t="shared" si="24"/>
        <v/>
      </c>
      <c r="K99" s="13" t="str">
        <f>IF('Cylinder Detail'!U101=0,"",'Cylinder Detail'!U101)</f>
        <v/>
      </c>
      <c r="L99" s="13" t="str">
        <f>IF('Cylinder Detail'!Z101=0,"",_xlfn.TEXTBEFORE('Cylinder Detail'!Z101, ","))</f>
        <v/>
      </c>
      <c r="M99" s="13" t="str">
        <f t="shared" si="25"/>
        <v/>
      </c>
      <c r="N99" s="17" t="str">
        <f>IF('Cylinder Detail'!V101=0,"",'Cylinder Detail'!V101)</f>
        <v/>
      </c>
      <c r="O99" s="17" t="str">
        <f>IF('Cylinder Detail'!Z101=0,"",_xlfn.TEXTAFTER('Cylinder Detail'!Z101, ", "))</f>
        <v/>
      </c>
      <c r="P99" s="17" t="str">
        <f>IF('Cylinder Detail'!AA101=0,"",'Cylinder Detail'!AA101)</f>
        <v/>
      </c>
      <c r="Q99" s="19" t="str">
        <f>IF('Cylinder Detail'!W101=0,"",'Cylinder Detail'!W101)</f>
        <v/>
      </c>
      <c r="R99" s="19" t="str">
        <f>IF('Cylinder Detail'!Y101=0,"",'Cylinder Detail'!Y101)</f>
        <v/>
      </c>
      <c r="S99" s="21" t="str">
        <f>IF('Cylinder Detail'!X101=0,"",'Cylinder Detail'!X101)</f>
        <v/>
      </c>
      <c r="T99" s="21" t="str">
        <f>IF('Cylinder Detail'!F101=0,"",'Cylinder Detail'!F101)</f>
        <v/>
      </c>
      <c r="U99" s="21" t="str">
        <f>IF('Cylinder Detail'!R101=0,"",'Cylinder Detail'!R101)</f>
        <v/>
      </c>
      <c r="V99" s="21" t="str">
        <f>IF('Cylinder Detail'!Q101=0,"",'Cylinder Detail'!Q101)</f>
        <v/>
      </c>
      <c r="W99" s="21" t="str">
        <f>IF('Cylinder Detail'!E101=0,"","+" &amp; 'Cylinder Detail'!E101)</f>
        <v/>
      </c>
      <c r="X99" s="21" t="str">
        <f t="shared" si="26"/>
        <v/>
      </c>
      <c r="Y99" s="21" t="str">
        <f>IF('Cylinder Detail'!S101=0,"",'Cylinder Detail'!S101)</f>
        <v/>
      </c>
      <c r="Z99" s="21" t="str">
        <f>IF('Cylinder Detail'!T101=0,"",'Cylinder Detail'!T101)</f>
        <v/>
      </c>
      <c r="AA99" s="21" t="str">
        <f>IF('Cylinder Detail'!H101=0,"",'Cylinder Detail'!H101)</f>
        <v/>
      </c>
      <c r="AB99" s="21" t="str">
        <f>IF('Cylinder Detail'!I101=0,"",'Cylinder Detail'!I101)</f>
        <v/>
      </c>
      <c r="AC99" s="22" t="str">
        <f>IF('Cylinder Detail'!AB101=0,"",'Cylinder Detail'!AB101)</f>
        <v/>
      </c>
      <c r="AD99" s="25" t="str">
        <f>IF('Sensor Detail'!F101=0,"","=" &amp; 'Sensor Detail'!F101)</f>
        <v/>
      </c>
      <c r="AE99" s="25" t="str">
        <f>IF('Sensor Detail'!H101=0,"",'Sensor Detail'!H101)</f>
        <v/>
      </c>
      <c r="AF99" s="27" t="str">
        <f>IF('Sensor Detail'!G101=0,"","-" &amp; 'Sensor Detail'!G101)</f>
        <v/>
      </c>
      <c r="AG99" s="27" t="str">
        <f>IF('Sensor Detail'!I101=0,"",'Sensor Detail'!I101)</f>
        <v/>
      </c>
      <c r="AH99" s="27" t="str">
        <f>IF('Sensor Detail'!E101=0,"","+" &amp; 'Sensor Detail'!E101)</f>
        <v/>
      </c>
      <c r="AI99" s="27" t="str">
        <f t="shared" si="27"/>
        <v/>
      </c>
      <c r="AJ99" s="27" t="str">
        <f>IF('Sensor Detail'!J101=0,"",'Sensor Detail'!J101)</f>
        <v/>
      </c>
      <c r="AK99" s="27" t="str">
        <f>IF('Sensor Detail'!K101=0,"",'Sensor Detail'!K101)</f>
        <v/>
      </c>
      <c r="AL99" s="27" t="str">
        <f>IF('Sensor Detail'!L101=0,"",'Sensor Detail'!L101)</f>
        <v/>
      </c>
      <c r="AM99" s="27" t="str">
        <f>IF('Sensor Detail'!M101=0,"",'Sensor Detail'!M101)</f>
        <v/>
      </c>
      <c r="AN99" s="27" t="str">
        <f>IF('Sensor Detail'!N101=0,"",'Sensor Detail'!N101)</f>
        <v/>
      </c>
      <c r="AO99" s="27" t="str">
        <f>IF('Sensor Detail'!O101=0,"",'Sensor Detail'!O101)</f>
        <v/>
      </c>
      <c r="AP99" s="15" t="str">
        <f t="shared" si="28"/>
        <v/>
      </c>
      <c r="AQ99" s="15" t="str">
        <f t="shared" si="29"/>
        <v/>
      </c>
    </row>
    <row r="100" spans="1:43">
      <c r="A100" s="13" t="str">
        <f t="shared" si="15"/>
        <v/>
      </c>
      <c r="B100" s="13" t="str">
        <f t="shared" si="16"/>
        <v/>
      </c>
      <c r="C100" s="15" t="str">
        <f t="shared" si="17"/>
        <v/>
      </c>
      <c r="D100" s="15" t="str">
        <f t="shared" si="18"/>
        <v/>
      </c>
      <c r="E100" s="15" t="str">
        <f t="shared" si="19"/>
        <v/>
      </c>
      <c r="F100" s="15" t="str">
        <f t="shared" si="20"/>
        <v/>
      </c>
      <c r="G100" s="15" t="str">
        <f t="shared" si="21"/>
        <v/>
      </c>
      <c r="H100" s="15" t="str">
        <f t="shared" si="22"/>
        <v/>
      </c>
      <c r="I100" s="15" t="str">
        <f t="shared" si="23"/>
        <v/>
      </c>
      <c r="J100" s="15" t="str">
        <f t="shared" si="24"/>
        <v/>
      </c>
      <c r="K100" s="13" t="str">
        <f>IF('Cylinder Detail'!U102=0,"",'Cylinder Detail'!U102)</f>
        <v/>
      </c>
      <c r="L100" s="13" t="str">
        <f>IF('Cylinder Detail'!Z102=0,"",_xlfn.TEXTBEFORE('Cylinder Detail'!Z102, ","))</f>
        <v/>
      </c>
      <c r="M100" s="13" t="str">
        <f t="shared" si="25"/>
        <v/>
      </c>
      <c r="N100" s="17" t="str">
        <f>IF('Cylinder Detail'!V102=0,"",'Cylinder Detail'!V102)</f>
        <v/>
      </c>
      <c r="O100" s="17" t="str">
        <f>IF('Cylinder Detail'!Z102=0,"",_xlfn.TEXTAFTER('Cylinder Detail'!Z102, ", "))</f>
        <v/>
      </c>
      <c r="P100" s="17" t="str">
        <f>IF('Cylinder Detail'!AA102=0,"",'Cylinder Detail'!AA102)</f>
        <v/>
      </c>
      <c r="Q100" s="19" t="str">
        <f>IF('Cylinder Detail'!W102=0,"",'Cylinder Detail'!W102)</f>
        <v/>
      </c>
      <c r="R100" s="19" t="str">
        <f>IF('Cylinder Detail'!Y102=0,"",'Cylinder Detail'!Y102)</f>
        <v/>
      </c>
      <c r="S100" s="21" t="str">
        <f>IF('Cylinder Detail'!X102=0,"",'Cylinder Detail'!X102)</f>
        <v/>
      </c>
      <c r="T100" s="21" t="str">
        <f>IF('Cylinder Detail'!F102=0,"",'Cylinder Detail'!F102)</f>
        <v/>
      </c>
      <c r="U100" s="21" t="str">
        <f>IF('Cylinder Detail'!R102=0,"",'Cylinder Detail'!R102)</f>
        <v/>
      </c>
      <c r="V100" s="21" t="str">
        <f>IF('Cylinder Detail'!Q102=0,"",'Cylinder Detail'!Q102)</f>
        <v/>
      </c>
      <c r="W100" s="21" t="str">
        <f>IF('Cylinder Detail'!E102=0,"","+" &amp; 'Cylinder Detail'!E102)</f>
        <v/>
      </c>
      <c r="X100" s="21" t="str">
        <f t="shared" si="26"/>
        <v/>
      </c>
      <c r="Y100" s="21" t="str">
        <f>IF('Cylinder Detail'!S102=0,"",'Cylinder Detail'!S102)</f>
        <v/>
      </c>
      <c r="Z100" s="21" t="str">
        <f>IF('Cylinder Detail'!T102=0,"",'Cylinder Detail'!T102)</f>
        <v/>
      </c>
      <c r="AA100" s="21" t="str">
        <f>IF('Cylinder Detail'!H102=0,"",'Cylinder Detail'!H102)</f>
        <v/>
      </c>
      <c r="AB100" s="21" t="str">
        <f>IF('Cylinder Detail'!I102=0,"",'Cylinder Detail'!I102)</f>
        <v/>
      </c>
      <c r="AC100" s="22" t="str">
        <f>IF('Cylinder Detail'!AB102=0,"",'Cylinder Detail'!AB102)</f>
        <v/>
      </c>
      <c r="AD100" s="25" t="str">
        <f>IF('Sensor Detail'!F102=0,"","=" &amp; 'Sensor Detail'!F102)</f>
        <v/>
      </c>
      <c r="AE100" s="25" t="str">
        <f>IF('Sensor Detail'!H102=0,"",'Sensor Detail'!H102)</f>
        <v/>
      </c>
      <c r="AF100" s="27" t="str">
        <f>IF('Sensor Detail'!G102=0,"","-" &amp; 'Sensor Detail'!G102)</f>
        <v/>
      </c>
      <c r="AG100" s="27" t="str">
        <f>IF('Sensor Detail'!I102=0,"",'Sensor Detail'!I102)</f>
        <v/>
      </c>
      <c r="AH100" s="27" t="str">
        <f>IF('Sensor Detail'!E102=0,"","+" &amp; 'Sensor Detail'!E102)</f>
        <v/>
      </c>
      <c r="AI100" s="27" t="str">
        <f t="shared" si="27"/>
        <v/>
      </c>
      <c r="AJ100" s="27" t="str">
        <f>IF('Sensor Detail'!J102=0,"",'Sensor Detail'!J102)</f>
        <v/>
      </c>
      <c r="AK100" s="27" t="str">
        <f>IF('Sensor Detail'!K102=0,"",'Sensor Detail'!K102)</f>
        <v/>
      </c>
      <c r="AL100" s="27" t="str">
        <f>IF('Sensor Detail'!L102=0,"",'Sensor Detail'!L102)</f>
        <v/>
      </c>
      <c r="AM100" s="27" t="str">
        <f>IF('Sensor Detail'!M102=0,"",'Sensor Detail'!M102)</f>
        <v/>
      </c>
      <c r="AN100" s="27" t="str">
        <f>IF('Sensor Detail'!N102=0,"",'Sensor Detail'!N102)</f>
        <v/>
      </c>
      <c r="AO100" s="27" t="str">
        <f>IF('Sensor Detail'!O102=0,"",'Sensor Detail'!O102)</f>
        <v/>
      </c>
      <c r="AP100" s="15" t="str">
        <f t="shared" si="28"/>
        <v/>
      </c>
      <c r="AQ100" s="15" t="str">
        <f t="shared" si="29"/>
        <v/>
      </c>
    </row>
    <row r="101" spans="1:43">
      <c r="A101" s="13" t="str">
        <f t="shared" si="15"/>
        <v/>
      </c>
      <c r="B101" s="13" t="str">
        <f t="shared" si="16"/>
        <v/>
      </c>
      <c r="C101" s="15" t="str">
        <f t="shared" si="17"/>
        <v/>
      </c>
      <c r="D101" s="15" t="str">
        <f t="shared" si="18"/>
        <v/>
      </c>
      <c r="E101" s="15" t="str">
        <f t="shared" si="19"/>
        <v/>
      </c>
      <c r="F101" s="15" t="str">
        <f t="shared" si="20"/>
        <v/>
      </c>
      <c r="G101" s="15" t="str">
        <f t="shared" si="21"/>
        <v/>
      </c>
      <c r="H101" s="15" t="str">
        <f t="shared" si="22"/>
        <v/>
      </c>
      <c r="I101" s="15" t="str">
        <f t="shared" si="23"/>
        <v/>
      </c>
      <c r="J101" s="15" t="str">
        <f t="shared" si="24"/>
        <v/>
      </c>
      <c r="K101" s="13" t="str">
        <f>IF('Cylinder Detail'!U103=0,"",'Cylinder Detail'!U103)</f>
        <v/>
      </c>
      <c r="L101" s="13" t="str">
        <f>IF('Cylinder Detail'!Z103=0,"",_xlfn.TEXTBEFORE('Cylinder Detail'!Z103, ","))</f>
        <v/>
      </c>
      <c r="M101" s="13" t="str">
        <f t="shared" si="25"/>
        <v/>
      </c>
      <c r="N101" s="17" t="str">
        <f>IF('Cylinder Detail'!V103=0,"",'Cylinder Detail'!V103)</f>
        <v/>
      </c>
      <c r="O101" s="17" t="str">
        <f>IF('Cylinder Detail'!Z103=0,"",_xlfn.TEXTAFTER('Cylinder Detail'!Z103, ", "))</f>
        <v/>
      </c>
      <c r="P101" s="17" t="str">
        <f>IF('Cylinder Detail'!AA103=0,"",'Cylinder Detail'!AA103)</f>
        <v/>
      </c>
      <c r="Q101" s="19" t="str">
        <f>IF('Cylinder Detail'!W103=0,"",'Cylinder Detail'!W103)</f>
        <v/>
      </c>
      <c r="R101" s="19" t="str">
        <f>IF('Cylinder Detail'!Y103=0,"",'Cylinder Detail'!Y103)</f>
        <v/>
      </c>
      <c r="S101" s="21" t="str">
        <f>IF('Cylinder Detail'!X103=0,"",'Cylinder Detail'!X103)</f>
        <v/>
      </c>
      <c r="T101" s="21" t="str">
        <f>IF('Cylinder Detail'!F103=0,"",'Cylinder Detail'!F103)</f>
        <v/>
      </c>
      <c r="U101" s="21" t="str">
        <f>IF('Cylinder Detail'!R103=0,"",'Cylinder Detail'!R103)</f>
        <v/>
      </c>
      <c r="V101" s="21" t="str">
        <f>IF('Cylinder Detail'!Q103=0,"",'Cylinder Detail'!Q103)</f>
        <v/>
      </c>
      <c r="W101" s="21" t="str">
        <f>IF('Cylinder Detail'!E103=0,"","+" &amp; 'Cylinder Detail'!E103)</f>
        <v/>
      </c>
      <c r="X101" s="21" t="str">
        <f t="shared" si="26"/>
        <v/>
      </c>
      <c r="Y101" s="21" t="str">
        <f>IF('Cylinder Detail'!S103=0,"",'Cylinder Detail'!S103)</f>
        <v/>
      </c>
      <c r="Z101" s="21" t="str">
        <f>IF('Cylinder Detail'!T103=0,"",'Cylinder Detail'!T103)</f>
        <v/>
      </c>
      <c r="AA101" s="21" t="str">
        <f>IF('Cylinder Detail'!H103=0,"",'Cylinder Detail'!H103)</f>
        <v/>
      </c>
      <c r="AB101" s="21" t="str">
        <f>IF('Cylinder Detail'!I103=0,"",'Cylinder Detail'!I103)</f>
        <v/>
      </c>
      <c r="AC101" s="22" t="str">
        <f>IF('Cylinder Detail'!AB103=0,"",'Cylinder Detail'!AB103)</f>
        <v/>
      </c>
      <c r="AD101" s="25" t="str">
        <f>IF('Sensor Detail'!F103=0,"","=" &amp; 'Sensor Detail'!F103)</f>
        <v/>
      </c>
      <c r="AE101" s="25" t="str">
        <f>IF('Sensor Detail'!H103=0,"",'Sensor Detail'!H103)</f>
        <v/>
      </c>
      <c r="AF101" s="27" t="str">
        <f>IF('Sensor Detail'!G103=0,"","-" &amp; 'Sensor Detail'!G103)</f>
        <v/>
      </c>
      <c r="AG101" s="27" t="str">
        <f>IF('Sensor Detail'!I103=0,"",'Sensor Detail'!I103)</f>
        <v/>
      </c>
      <c r="AH101" s="27" t="str">
        <f>IF('Sensor Detail'!E103=0,"","+" &amp; 'Sensor Detail'!E103)</f>
        <v/>
      </c>
      <c r="AI101" s="27" t="str">
        <f t="shared" si="27"/>
        <v/>
      </c>
      <c r="AJ101" s="27" t="str">
        <f>IF('Sensor Detail'!J103=0,"",'Sensor Detail'!J103)</f>
        <v/>
      </c>
      <c r="AK101" s="27" t="str">
        <f>IF('Sensor Detail'!K103=0,"",'Sensor Detail'!K103)</f>
        <v/>
      </c>
      <c r="AL101" s="27" t="str">
        <f>IF('Sensor Detail'!L103=0,"",'Sensor Detail'!L103)</f>
        <v/>
      </c>
      <c r="AM101" s="27" t="str">
        <f>IF('Sensor Detail'!M103=0,"",'Sensor Detail'!M103)</f>
        <v/>
      </c>
      <c r="AN101" s="27" t="str">
        <f>IF('Sensor Detail'!N103=0,"",'Sensor Detail'!N103)</f>
        <v/>
      </c>
      <c r="AO101" s="27" t="str">
        <f>IF('Sensor Detail'!O103=0,"",'Sensor Detail'!O103)</f>
        <v/>
      </c>
      <c r="AP101" s="15" t="str">
        <f t="shared" si="28"/>
        <v/>
      </c>
      <c r="AQ101" s="15" t="str">
        <f t="shared" si="29"/>
        <v/>
      </c>
    </row>
    <row r="102" spans="1:43">
      <c r="A102" s="13" t="str">
        <f t="shared" si="15"/>
        <v/>
      </c>
      <c r="B102" s="13" t="str">
        <f t="shared" si="16"/>
        <v/>
      </c>
      <c r="C102" s="15" t="str">
        <f t="shared" si="17"/>
        <v/>
      </c>
      <c r="D102" s="15" t="str">
        <f t="shared" si="18"/>
        <v/>
      </c>
      <c r="E102" s="15" t="str">
        <f t="shared" si="19"/>
        <v/>
      </c>
      <c r="F102" s="15" t="str">
        <f t="shared" si="20"/>
        <v/>
      </c>
      <c r="G102" s="15" t="str">
        <f t="shared" si="21"/>
        <v/>
      </c>
      <c r="H102" s="15" t="str">
        <f t="shared" si="22"/>
        <v/>
      </c>
      <c r="I102" s="15" t="str">
        <f t="shared" si="23"/>
        <v/>
      </c>
      <c r="J102" s="15" t="str">
        <f t="shared" si="24"/>
        <v/>
      </c>
      <c r="K102" s="13" t="str">
        <f>IF('Cylinder Detail'!U104=0,"",'Cylinder Detail'!U104)</f>
        <v/>
      </c>
      <c r="L102" s="13" t="str">
        <f>IF('Cylinder Detail'!Z104=0,"",_xlfn.TEXTBEFORE('Cylinder Detail'!Z104, ","))</f>
        <v/>
      </c>
      <c r="M102" s="13" t="str">
        <f t="shared" si="25"/>
        <v/>
      </c>
      <c r="N102" s="17" t="str">
        <f>IF('Cylinder Detail'!V104=0,"",'Cylinder Detail'!V104)</f>
        <v/>
      </c>
      <c r="O102" s="17" t="str">
        <f>IF('Cylinder Detail'!Z104=0,"",_xlfn.TEXTAFTER('Cylinder Detail'!Z104, ", "))</f>
        <v/>
      </c>
      <c r="P102" s="17" t="str">
        <f>IF('Cylinder Detail'!AA104=0,"",'Cylinder Detail'!AA104)</f>
        <v/>
      </c>
      <c r="Q102" s="19" t="str">
        <f>IF('Cylinder Detail'!W104=0,"",'Cylinder Detail'!W104)</f>
        <v/>
      </c>
      <c r="R102" s="19" t="str">
        <f>IF('Cylinder Detail'!Y104=0,"",'Cylinder Detail'!Y104)</f>
        <v/>
      </c>
      <c r="S102" s="21" t="str">
        <f>IF('Cylinder Detail'!X104=0,"",'Cylinder Detail'!X104)</f>
        <v/>
      </c>
      <c r="T102" s="21" t="str">
        <f>IF('Cylinder Detail'!F104=0,"",'Cylinder Detail'!F104)</f>
        <v/>
      </c>
      <c r="U102" s="21" t="str">
        <f>IF('Cylinder Detail'!R104=0,"",'Cylinder Detail'!R104)</f>
        <v/>
      </c>
      <c r="V102" s="21" t="str">
        <f>IF('Cylinder Detail'!Q104=0,"",'Cylinder Detail'!Q104)</f>
        <v/>
      </c>
      <c r="W102" s="21" t="str">
        <f>IF('Cylinder Detail'!E104=0,"","+" &amp; 'Cylinder Detail'!E104)</f>
        <v/>
      </c>
      <c r="X102" s="21" t="str">
        <f t="shared" si="26"/>
        <v/>
      </c>
      <c r="Y102" s="21" t="str">
        <f>IF('Cylinder Detail'!S104=0,"",'Cylinder Detail'!S104)</f>
        <v/>
      </c>
      <c r="Z102" s="21" t="str">
        <f>IF('Cylinder Detail'!T104=0,"",'Cylinder Detail'!T104)</f>
        <v/>
      </c>
      <c r="AA102" s="21" t="str">
        <f>IF('Cylinder Detail'!H104=0,"",'Cylinder Detail'!H104)</f>
        <v/>
      </c>
      <c r="AB102" s="21" t="str">
        <f>IF('Cylinder Detail'!I104=0,"",'Cylinder Detail'!I104)</f>
        <v/>
      </c>
      <c r="AC102" s="22" t="str">
        <f>IF('Cylinder Detail'!AB104=0,"",'Cylinder Detail'!AB104)</f>
        <v/>
      </c>
      <c r="AD102" s="25" t="str">
        <f>IF('Sensor Detail'!F104=0,"","=" &amp; 'Sensor Detail'!F104)</f>
        <v/>
      </c>
      <c r="AE102" s="25" t="str">
        <f>IF('Sensor Detail'!H104=0,"",'Sensor Detail'!H104)</f>
        <v/>
      </c>
      <c r="AF102" s="27" t="str">
        <f>IF('Sensor Detail'!G104=0,"","-" &amp; 'Sensor Detail'!G104)</f>
        <v/>
      </c>
      <c r="AG102" s="27" t="str">
        <f>IF('Sensor Detail'!I104=0,"",'Sensor Detail'!I104)</f>
        <v/>
      </c>
      <c r="AH102" s="27" t="str">
        <f>IF('Sensor Detail'!E104=0,"","+" &amp; 'Sensor Detail'!E104)</f>
        <v/>
      </c>
      <c r="AI102" s="27" t="str">
        <f t="shared" si="27"/>
        <v/>
      </c>
      <c r="AJ102" s="27" t="str">
        <f>IF('Sensor Detail'!J104=0,"",'Sensor Detail'!J104)</f>
        <v/>
      </c>
      <c r="AK102" s="27" t="str">
        <f>IF('Sensor Detail'!K104=0,"",'Sensor Detail'!K104)</f>
        <v/>
      </c>
      <c r="AL102" s="27" t="str">
        <f>IF('Sensor Detail'!L104=0,"",'Sensor Detail'!L104)</f>
        <v/>
      </c>
      <c r="AM102" s="27" t="str">
        <f>IF('Sensor Detail'!M104=0,"",'Sensor Detail'!M104)</f>
        <v/>
      </c>
      <c r="AN102" s="27" t="str">
        <f>IF('Sensor Detail'!N104=0,"",'Sensor Detail'!N104)</f>
        <v/>
      </c>
      <c r="AO102" s="27" t="str">
        <f>IF('Sensor Detail'!O104=0,"",'Sensor Detail'!O104)</f>
        <v/>
      </c>
      <c r="AP102" s="15" t="str">
        <f t="shared" si="28"/>
        <v/>
      </c>
      <c r="AQ102" s="15" t="str">
        <f t="shared" si="29"/>
        <v/>
      </c>
    </row>
    <row r="103" spans="1:43">
      <c r="A103" s="13" t="str">
        <f t="shared" si="15"/>
        <v/>
      </c>
      <c r="B103" s="13" t="str">
        <f t="shared" si="16"/>
        <v/>
      </c>
      <c r="C103" s="15" t="str">
        <f t="shared" si="17"/>
        <v/>
      </c>
      <c r="D103" s="15" t="str">
        <f t="shared" si="18"/>
        <v/>
      </c>
      <c r="E103" s="15" t="str">
        <f t="shared" si="19"/>
        <v/>
      </c>
      <c r="F103" s="15" t="str">
        <f t="shared" si="20"/>
        <v/>
      </c>
      <c r="G103" s="15" t="str">
        <f t="shared" si="21"/>
        <v/>
      </c>
      <c r="H103" s="15" t="str">
        <f t="shared" si="22"/>
        <v/>
      </c>
      <c r="I103" s="15" t="str">
        <f t="shared" si="23"/>
        <v/>
      </c>
      <c r="J103" s="15" t="str">
        <f t="shared" si="24"/>
        <v/>
      </c>
      <c r="K103" s="13" t="str">
        <f>IF('Cylinder Detail'!U105=0,"",'Cylinder Detail'!U105)</f>
        <v/>
      </c>
      <c r="L103" s="13" t="str">
        <f>IF('Cylinder Detail'!Z105=0,"",_xlfn.TEXTBEFORE('Cylinder Detail'!Z105, ","))</f>
        <v/>
      </c>
      <c r="M103" s="13" t="str">
        <f t="shared" si="25"/>
        <v/>
      </c>
      <c r="N103" s="17" t="str">
        <f>IF('Cylinder Detail'!V105=0,"",'Cylinder Detail'!V105)</f>
        <v/>
      </c>
      <c r="O103" s="17" t="str">
        <f>IF('Cylinder Detail'!Z105=0,"",_xlfn.TEXTAFTER('Cylinder Detail'!Z105, ", "))</f>
        <v/>
      </c>
      <c r="P103" s="17" t="str">
        <f>IF('Cylinder Detail'!AA105=0,"",'Cylinder Detail'!AA105)</f>
        <v/>
      </c>
      <c r="Q103" s="19" t="str">
        <f>IF('Cylinder Detail'!W105=0,"",'Cylinder Detail'!W105)</f>
        <v/>
      </c>
      <c r="R103" s="19" t="str">
        <f>IF('Cylinder Detail'!Y105=0,"",'Cylinder Detail'!Y105)</f>
        <v/>
      </c>
      <c r="S103" s="21" t="str">
        <f>IF('Cylinder Detail'!X105=0,"",'Cylinder Detail'!X105)</f>
        <v/>
      </c>
      <c r="T103" s="21" t="str">
        <f>IF('Cylinder Detail'!F105=0,"",'Cylinder Detail'!F105)</f>
        <v/>
      </c>
      <c r="U103" s="21" t="str">
        <f>IF('Cylinder Detail'!R105=0,"",'Cylinder Detail'!R105)</f>
        <v/>
      </c>
      <c r="V103" s="21" t="str">
        <f>IF('Cylinder Detail'!Q105=0,"",'Cylinder Detail'!Q105)</f>
        <v/>
      </c>
      <c r="W103" s="21" t="str">
        <f>IF('Cylinder Detail'!E105=0,"","+" &amp; 'Cylinder Detail'!E105)</f>
        <v/>
      </c>
      <c r="X103" s="21" t="str">
        <f t="shared" si="26"/>
        <v/>
      </c>
      <c r="Y103" s="21" t="str">
        <f>IF('Cylinder Detail'!S105=0,"",'Cylinder Detail'!S105)</f>
        <v/>
      </c>
      <c r="Z103" s="21" t="str">
        <f>IF('Cylinder Detail'!T105=0,"",'Cylinder Detail'!T105)</f>
        <v/>
      </c>
      <c r="AA103" s="21" t="str">
        <f>IF('Cylinder Detail'!H105=0,"",'Cylinder Detail'!H105)</f>
        <v/>
      </c>
      <c r="AB103" s="21" t="str">
        <f>IF('Cylinder Detail'!I105=0,"",'Cylinder Detail'!I105)</f>
        <v/>
      </c>
      <c r="AC103" s="22" t="str">
        <f>IF('Cylinder Detail'!AB105=0,"",'Cylinder Detail'!AB105)</f>
        <v/>
      </c>
      <c r="AD103" s="25" t="str">
        <f>IF('Sensor Detail'!F105=0,"","=" &amp; 'Sensor Detail'!F105)</f>
        <v/>
      </c>
      <c r="AE103" s="25" t="str">
        <f>IF('Sensor Detail'!H105=0,"",'Sensor Detail'!H105)</f>
        <v/>
      </c>
      <c r="AF103" s="27" t="str">
        <f>IF('Sensor Detail'!G105=0,"","-" &amp; 'Sensor Detail'!G105)</f>
        <v/>
      </c>
      <c r="AG103" s="27" t="str">
        <f>IF('Sensor Detail'!I105=0,"",'Sensor Detail'!I105)</f>
        <v/>
      </c>
      <c r="AH103" s="27" t="str">
        <f>IF('Sensor Detail'!E105=0,"","+" &amp; 'Sensor Detail'!E105)</f>
        <v/>
      </c>
      <c r="AI103" s="27" t="str">
        <f t="shared" si="27"/>
        <v/>
      </c>
      <c r="AJ103" s="27" t="str">
        <f>IF('Sensor Detail'!J105=0,"",'Sensor Detail'!J105)</f>
        <v/>
      </c>
      <c r="AK103" s="27" t="str">
        <f>IF('Sensor Detail'!K105=0,"",'Sensor Detail'!K105)</f>
        <v/>
      </c>
      <c r="AL103" s="27" t="str">
        <f>IF('Sensor Detail'!L105=0,"",'Sensor Detail'!L105)</f>
        <v/>
      </c>
      <c r="AM103" s="27" t="str">
        <f>IF('Sensor Detail'!M105=0,"",'Sensor Detail'!M105)</f>
        <v/>
      </c>
      <c r="AN103" s="27" t="str">
        <f>IF('Sensor Detail'!N105=0,"",'Sensor Detail'!N105)</f>
        <v/>
      </c>
      <c r="AO103" s="27" t="str">
        <f>IF('Sensor Detail'!O105=0,"",'Sensor Detail'!O105)</f>
        <v/>
      </c>
      <c r="AP103" s="15" t="str">
        <f t="shared" si="28"/>
        <v/>
      </c>
      <c r="AQ103" s="15" t="str">
        <f t="shared" si="29"/>
        <v/>
      </c>
    </row>
    <row r="104" spans="1:43">
      <c r="A104" s="13" t="str">
        <f t="shared" si="15"/>
        <v/>
      </c>
      <c r="B104" s="13" t="str">
        <f t="shared" si="16"/>
        <v/>
      </c>
      <c r="C104" s="15" t="str">
        <f t="shared" si="17"/>
        <v/>
      </c>
      <c r="D104" s="15" t="str">
        <f t="shared" si="18"/>
        <v/>
      </c>
      <c r="E104" s="15" t="str">
        <f t="shared" si="19"/>
        <v/>
      </c>
      <c r="F104" s="15" t="str">
        <f t="shared" si="20"/>
        <v/>
      </c>
      <c r="G104" s="15" t="str">
        <f t="shared" si="21"/>
        <v/>
      </c>
      <c r="H104" s="15" t="str">
        <f t="shared" si="22"/>
        <v/>
      </c>
      <c r="I104" s="15" t="str">
        <f t="shared" si="23"/>
        <v/>
      </c>
      <c r="J104" s="15" t="str">
        <f t="shared" si="24"/>
        <v/>
      </c>
      <c r="K104" s="13" t="str">
        <f>IF('Cylinder Detail'!U106=0,"",'Cylinder Detail'!U106)</f>
        <v/>
      </c>
      <c r="L104" s="13" t="str">
        <f>IF('Cylinder Detail'!Z106=0,"",_xlfn.TEXTBEFORE('Cylinder Detail'!Z106, ","))</f>
        <v/>
      </c>
      <c r="M104" s="13" t="str">
        <f t="shared" si="25"/>
        <v/>
      </c>
      <c r="N104" s="17" t="str">
        <f>IF('Cylinder Detail'!V106=0,"",'Cylinder Detail'!V106)</f>
        <v/>
      </c>
      <c r="O104" s="17" t="str">
        <f>IF('Cylinder Detail'!Z106=0,"",_xlfn.TEXTAFTER('Cylinder Detail'!Z106, ", "))</f>
        <v/>
      </c>
      <c r="P104" s="17" t="str">
        <f>IF('Cylinder Detail'!AA106=0,"",'Cylinder Detail'!AA106)</f>
        <v/>
      </c>
      <c r="Q104" s="19" t="str">
        <f>IF('Cylinder Detail'!W106=0,"",'Cylinder Detail'!W106)</f>
        <v/>
      </c>
      <c r="R104" s="19" t="str">
        <f>IF('Cylinder Detail'!Y106=0,"",'Cylinder Detail'!Y106)</f>
        <v/>
      </c>
      <c r="S104" s="21" t="str">
        <f>IF('Cylinder Detail'!X106=0,"",'Cylinder Detail'!X106)</f>
        <v/>
      </c>
      <c r="T104" s="21" t="str">
        <f>IF('Cylinder Detail'!F106=0,"",'Cylinder Detail'!F106)</f>
        <v/>
      </c>
      <c r="U104" s="21" t="str">
        <f>IF('Cylinder Detail'!R106=0,"",'Cylinder Detail'!R106)</f>
        <v/>
      </c>
      <c r="V104" s="21" t="str">
        <f>IF('Cylinder Detail'!Q106=0,"",'Cylinder Detail'!Q106)</f>
        <v/>
      </c>
      <c r="W104" s="21" t="str">
        <f>IF('Cylinder Detail'!E106=0,"","+" &amp; 'Cylinder Detail'!E106)</f>
        <v/>
      </c>
      <c r="X104" s="21" t="str">
        <f t="shared" si="26"/>
        <v/>
      </c>
      <c r="Y104" s="21" t="str">
        <f>IF('Cylinder Detail'!S106=0,"",'Cylinder Detail'!S106)</f>
        <v/>
      </c>
      <c r="Z104" s="21" t="str">
        <f>IF('Cylinder Detail'!T106=0,"",'Cylinder Detail'!T106)</f>
        <v/>
      </c>
      <c r="AA104" s="21" t="str">
        <f>IF('Cylinder Detail'!H106=0,"",'Cylinder Detail'!H106)</f>
        <v/>
      </c>
      <c r="AB104" s="21" t="str">
        <f>IF('Cylinder Detail'!I106=0,"",'Cylinder Detail'!I106)</f>
        <v/>
      </c>
      <c r="AC104" s="22" t="str">
        <f>IF('Cylinder Detail'!AB106=0,"",'Cylinder Detail'!AB106)</f>
        <v/>
      </c>
      <c r="AD104" s="25" t="str">
        <f>IF('Sensor Detail'!F106=0,"","=" &amp; 'Sensor Detail'!F106)</f>
        <v/>
      </c>
      <c r="AE104" s="25" t="str">
        <f>IF('Sensor Detail'!H106=0,"",'Sensor Detail'!H106)</f>
        <v/>
      </c>
      <c r="AF104" s="27" t="str">
        <f>IF('Sensor Detail'!G106=0,"","-" &amp; 'Sensor Detail'!G106)</f>
        <v/>
      </c>
      <c r="AG104" s="27" t="str">
        <f>IF('Sensor Detail'!I106=0,"",'Sensor Detail'!I106)</f>
        <v/>
      </c>
      <c r="AH104" s="27" t="str">
        <f>IF('Sensor Detail'!E106=0,"","+" &amp; 'Sensor Detail'!E106)</f>
        <v/>
      </c>
      <c r="AI104" s="27" t="str">
        <f t="shared" si="27"/>
        <v/>
      </c>
      <c r="AJ104" s="27" t="str">
        <f>IF('Sensor Detail'!J106=0,"",'Sensor Detail'!J106)</f>
        <v/>
      </c>
      <c r="AK104" s="27" t="str">
        <f>IF('Sensor Detail'!K106=0,"",'Sensor Detail'!K106)</f>
        <v/>
      </c>
      <c r="AL104" s="27" t="str">
        <f>IF('Sensor Detail'!L106=0,"",'Sensor Detail'!L106)</f>
        <v/>
      </c>
      <c r="AM104" s="27" t="str">
        <f>IF('Sensor Detail'!M106=0,"",'Sensor Detail'!M106)</f>
        <v/>
      </c>
      <c r="AN104" s="27" t="str">
        <f>IF('Sensor Detail'!N106=0,"",'Sensor Detail'!N106)</f>
        <v/>
      </c>
      <c r="AO104" s="27" t="str">
        <f>IF('Sensor Detail'!O106=0,"",'Sensor Detail'!O106)</f>
        <v/>
      </c>
      <c r="AP104" s="15" t="str">
        <f t="shared" si="28"/>
        <v/>
      </c>
      <c r="AQ104" s="15" t="str">
        <f t="shared" si="29"/>
        <v/>
      </c>
    </row>
    <row r="105" spans="1:43">
      <c r="A105" s="13" t="str">
        <f t="shared" si="15"/>
        <v/>
      </c>
      <c r="B105" s="13" t="str">
        <f t="shared" si="16"/>
        <v/>
      </c>
      <c r="C105" s="15" t="str">
        <f t="shared" si="17"/>
        <v/>
      </c>
      <c r="D105" s="15" t="str">
        <f t="shared" si="18"/>
        <v/>
      </c>
      <c r="E105" s="15" t="str">
        <f t="shared" si="19"/>
        <v/>
      </c>
      <c r="F105" s="15" t="str">
        <f t="shared" si="20"/>
        <v/>
      </c>
      <c r="G105" s="15" t="str">
        <f t="shared" si="21"/>
        <v/>
      </c>
      <c r="H105" s="15" t="str">
        <f t="shared" si="22"/>
        <v/>
      </c>
      <c r="I105" s="15" t="str">
        <f t="shared" si="23"/>
        <v/>
      </c>
      <c r="J105" s="15" t="str">
        <f t="shared" si="24"/>
        <v/>
      </c>
      <c r="K105" s="13" t="str">
        <f>IF('Cylinder Detail'!U107=0,"",'Cylinder Detail'!U107)</f>
        <v/>
      </c>
      <c r="L105" s="13" t="str">
        <f>IF('Cylinder Detail'!Z107=0,"",_xlfn.TEXTBEFORE('Cylinder Detail'!Z107, ","))</f>
        <v/>
      </c>
      <c r="M105" s="13" t="str">
        <f t="shared" si="25"/>
        <v/>
      </c>
      <c r="N105" s="17" t="str">
        <f>IF('Cylinder Detail'!V107=0,"",'Cylinder Detail'!V107)</f>
        <v/>
      </c>
      <c r="O105" s="17" t="str">
        <f>IF('Cylinder Detail'!Z107=0,"",_xlfn.TEXTAFTER('Cylinder Detail'!Z107, ", "))</f>
        <v/>
      </c>
      <c r="P105" s="17" t="str">
        <f>IF('Cylinder Detail'!AA107=0,"",'Cylinder Detail'!AA107)</f>
        <v/>
      </c>
      <c r="Q105" s="19" t="str">
        <f>IF('Cylinder Detail'!W107=0,"",'Cylinder Detail'!W107)</f>
        <v/>
      </c>
      <c r="R105" s="19" t="str">
        <f>IF('Cylinder Detail'!Y107=0,"",'Cylinder Detail'!Y107)</f>
        <v/>
      </c>
      <c r="S105" s="21" t="str">
        <f>IF('Cylinder Detail'!X107=0,"",'Cylinder Detail'!X107)</f>
        <v/>
      </c>
      <c r="T105" s="21" t="str">
        <f>IF('Cylinder Detail'!F107=0,"",'Cylinder Detail'!F107)</f>
        <v/>
      </c>
      <c r="U105" s="21" t="str">
        <f>IF('Cylinder Detail'!R107=0,"",'Cylinder Detail'!R107)</f>
        <v/>
      </c>
      <c r="V105" s="21" t="str">
        <f>IF('Cylinder Detail'!Q107=0,"",'Cylinder Detail'!Q107)</f>
        <v/>
      </c>
      <c r="W105" s="21" t="str">
        <f>IF('Cylinder Detail'!E107=0,"","+" &amp; 'Cylinder Detail'!E107)</f>
        <v/>
      </c>
      <c r="X105" s="21" t="str">
        <f t="shared" si="26"/>
        <v/>
      </c>
      <c r="Y105" s="21" t="str">
        <f>IF('Cylinder Detail'!S107=0,"",'Cylinder Detail'!S107)</f>
        <v/>
      </c>
      <c r="Z105" s="21" t="str">
        <f>IF('Cylinder Detail'!T107=0,"",'Cylinder Detail'!T107)</f>
        <v/>
      </c>
      <c r="AA105" s="21" t="str">
        <f>IF('Cylinder Detail'!H107=0,"",'Cylinder Detail'!H107)</f>
        <v/>
      </c>
      <c r="AB105" s="21" t="str">
        <f>IF('Cylinder Detail'!I107=0,"",'Cylinder Detail'!I107)</f>
        <v/>
      </c>
      <c r="AC105" s="22" t="str">
        <f>IF('Cylinder Detail'!AB107=0,"",'Cylinder Detail'!AB107)</f>
        <v/>
      </c>
      <c r="AD105" s="25" t="str">
        <f>IF('Sensor Detail'!F107=0,"","=" &amp; 'Sensor Detail'!F107)</f>
        <v/>
      </c>
      <c r="AE105" s="25" t="str">
        <f>IF('Sensor Detail'!H107=0,"",'Sensor Detail'!H107)</f>
        <v/>
      </c>
      <c r="AF105" s="27" t="str">
        <f>IF('Sensor Detail'!G107=0,"","-" &amp; 'Sensor Detail'!G107)</f>
        <v/>
      </c>
      <c r="AG105" s="27" t="str">
        <f>IF('Sensor Detail'!I107=0,"",'Sensor Detail'!I107)</f>
        <v/>
      </c>
      <c r="AH105" s="27" t="str">
        <f>IF('Sensor Detail'!E107=0,"","+" &amp; 'Sensor Detail'!E107)</f>
        <v/>
      </c>
      <c r="AI105" s="27" t="str">
        <f t="shared" si="27"/>
        <v/>
      </c>
      <c r="AJ105" s="27" t="str">
        <f>IF('Sensor Detail'!J107=0,"",'Sensor Detail'!J107)</f>
        <v/>
      </c>
      <c r="AK105" s="27" t="str">
        <f>IF('Sensor Detail'!K107=0,"",'Sensor Detail'!K107)</f>
        <v/>
      </c>
      <c r="AL105" s="27" t="str">
        <f>IF('Sensor Detail'!L107=0,"",'Sensor Detail'!L107)</f>
        <v/>
      </c>
      <c r="AM105" s="27" t="str">
        <f>IF('Sensor Detail'!M107=0,"",'Sensor Detail'!M107)</f>
        <v/>
      </c>
      <c r="AN105" s="27" t="str">
        <f>IF('Sensor Detail'!N107=0,"",'Sensor Detail'!N107)</f>
        <v/>
      </c>
      <c r="AO105" s="27" t="str">
        <f>IF('Sensor Detail'!O107=0,"",'Sensor Detail'!O107)</f>
        <v/>
      </c>
      <c r="AP105" s="15" t="str">
        <f t="shared" si="28"/>
        <v/>
      </c>
      <c r="AQ105" s="15" t="str">
        <f t="shared" si="29"/>
        <v/>
      </c>
    </row>
    <row r="106" spans="1:43">
      <c r="A106" s="13" t="str">
        <f t="shared" si="15"/>
        <v/>
      </c>
      <c r="B106" s="13" t="str">
        <f t="shared" si="16"/>
        <v/>
      </c>
      <c r="C106" s="15" t="str">
        <f t="shared" si="17"/>
        <v/>
      </c>
      <c r="D106" s="15" t="str">
        <f t="shared" si="18"/>
        <v/>
      </c>
      <c r="E106" s="15" t="str">
        <f t="shared" si="19"/>
        <v/>
      </c>
      <c r="F106" s="15" t="str">
        <f t="shared" si="20"/>
        <v/>
      </c>
      <c r="G106" s="15" t="str">
        <f t="shared" si="21"/>
        <v/>
      </c>
      <c r="H106" s="15" t="str">
        <f t="shared" si="22"/>
        <v/>
      </c>
      <c r="I106" s="15" t="str">
        <f t="shared" si="23"/>
        <v/>
      </c>
      <c r="J106" s="15" t="str">
        <f t="shared" si="24"/>
        <v/>
      </c>
      <c r="K106" s="13" t="str">
        <f>IF('Cylinder Detail'!U108=0,"",'Cylinder Detail'!U108)</f>
        <v/>
      </c>
      <c r="L106" s="13" t="str">
        <f>IF('Cylinder Detail'!Z108=0,"",_xlfn.TEXTBEFORE('Cylinder Detail'!Z108, ","))</f>
        <v/>
      </c>
      <c r="M106" s="13" t="str">
        <f t="shared" si="25"/>
        <v/>
      </c>
      <c r="N106" s="17" t="str">
        <f>IF('Cylinder Detail'!V108=0,"",'Cylinder Detail'!V108)</f>
        <v/>
      </c>
      <c r="O106" s="17" t="str">
        <f>IF('Cylinder Detail'!Z108=0,"",_xlfn.TEXTAFTER('Cylinder Detail'!Z108, ", "))</f>
        <v/>
      </c>
      <c r="P106" s="17" t="str">
        <f>IF('Cylinder Detail'!AA108=0,"",'Cylinder Detail'!AA108)</f>
        <v/>
      </c>
      <c r="Q106" s="19" t="str">
        <f>IF('Cylinder Detail'!W108=0,"",'Cylinder Detail'!W108)</f>
        <v/>
      </c>
      <c r="R106" s="19" t="str">
        <f>IF('Cylinder Detail'!Y108=0,"",'Cylinder Detail'!Y108)</f>
        <v/>
      </c>
      <c r="S106" s="21" t="str">
        <f>IF('Cylinder Detail'!X108=0,"",'Cylinder Detail'!X108)</f>
        <v/>
      </c>
      <c r="T106" s="21" t="str">
        <f>IF('Cylinder Detail'!F108=0,"",'Cylinder Detail'!F108)</f>
        <v/>
      </c>
      <c r="U106" s="21" t="str">
        <f>IF('Cylinder Detail'!R108=0,"",'Cylinder Detail'!R108)</f>
        <v/>
      </c>
      <c r="V106" s="21" t="str">
        <f>IF('Cylinder Detail'!Q108=0,"",'Cylinder Detail'!Q108)</f>
        <v/>
      </c>
      <c r="W106" s="21" t="str">
        <f>IF('Cylinder Detail'!E108=0,"","+" &amp; 'Cylinder Detail'!E108)</f>
        <v/>
      </c>
      <c r="X106" s="21" t="str">
        <f t="shared" si="26"/>
        <v/>
      </c>
      <c r="Y106" s="21" t="str">
        <f>IF('Cylinder Detail'!S108=0,"",'Cylinder Detail'!S108)</f>
        <v/>
      </c>
      <c r="Z106" s="21" t="str">
        <f>IF('Cylinder Detail'!T108=0,"",'Cylinder Detail'!T108)</f>
        <v/>
      </c>
      <c r="AA106" s="21" t="str">
        <f>IF('Cylinder Detail'!H108=0,"",'Cylinder Detail'!H108)</f>
        <v/>
      </c>
      <c r="AB106" s="21" t="str">
        <f>IF('Cylinder Detail'!I108=0,"",'Cylinder Detail'!I108)</f>
        <v/>
      </c>
      <c r="AC106" s="22" t="str">
        <f>IF('Cylinder Detail'!AB108=0,"",'Cylinder Detail'!AB108)</f>
        <v/>
      </c>
      <c r="AD106" s="25" t="str">
        <f>IF('Sensor Detail'!F108=0,"","=" &amp; 'Sensor Detail'!F108)</f>
        <v/>
      </c>
      <c r="AE106" s="25" t="str">
        <f>IF('Sensor Detail'!H108=0,"",'Sensor Detail'!H108)</f>
        <v/>
      </c>
      <c r="AF106" s="27" t="str">
        <f>IF('Sensor Detail'!G108=0,"","-" &amp; 'Sensor Detail'!G108)</f>
        <v/>
      </c>
      <c r="AG106" s="27" t="str">
        <f>IF('Sensor Detail'!I108=0,"",'Sensor Detail'!I108)</f>
        <v/>
      </c>
      <c r="AH106" s="27" t="str">
        <f>IF('Sensor Detail'!E108=0,"","+" &amp; 'Sensor Detail'!E108)</f>
        <v/>
      </c>
      <c r="AI106" s="27" t="str">
        <f t="shared" si="27"/>
        <v/>
      </c>
      <c r="AJ106" s="27" t="str">
        <f>IF('Sensor Detail'!J108=0,"",'Sensor Detail'!J108)</f>
        <v/>
      </c>
      <c r="AK106" s="27" t="str">
        <f>IF('Sensor Detail'!K108=0,"",'Sensor Detail'!K108)</f>
        <v/>
      </c>
      <c r="AL106" s="27" t="str">
        <f>IF('Sensor Detail'!L108=0,"",'Sensor Detail'!L108)</f>
        <v/>
      </c>
      <c r="AM106" s="27" t="str">
        <f>IF('Sensor Detail'!M108=0,"",'Sensor Detail'!M108)</f>
        <v/>
      </c>
      <c r="AN106" s="27" t="str">
        <f>IF('Sensor Detail'!N108=0,"",'Sensor Detail'!N108)</f>
        <v/>
      </c>
      <c r="AO106" s="27" t="str">
        <f>IF('Sensor Detail'!O108=0,"",'Sensor Detail'!O108)</f>
        <v/>
      </c>
      <c r="AP106" s="15" t="str">
        <f t="shared" si="28"/>
        <v/>
      </c>
      <c r="AQ106" s="15" t="str">
        <f t="shared" si="29"/>
        <v/>
      </c>
    </row>
    <row r="107" spans="1:43">
      <c r="A107" s="13" t="str">
        <f t="shared" si="15"/>
        <v/>
      </c>
      <c r="B107" s="13" t="str">
        <f t="shared" si="16"/>
        <v/>
      </c>
      <c r="C107" s="15" t="str">
        <f t="shared" si="17"/>
        <v/>
      </c>
      <c r="D107" s="15" t="str">
        <f t="shared" si="18"/>
        <v/>
      </c>
      <c r="E107" s="15" t="str">
        <f t="shared" si="19"/>
        <v/>
      </c>
      <c r="F107" s="15" t="str">
        <f t="shared" si="20"/>
        <v/>
      </c>
      <c r="G107" s="15" t="str">
        <f t="shared" si="21"/>
        <v/>
      </c>
      <c r="H107" s="15" t="str">
        <f t="shared" si="22"/>
        <v/>
      </c>
      <c r="I107" s="15" t="str">
        <f t="shared" si="23"/>
        <v/>
      </c>
      <c r="J107" s="15" t="str">
        <f t="shared" si="24"/>
        <v/>
      </c>
      <c r="K107" s="13" t="str">
        <f>IF('Cylinder Detail'!U109=0,"",'Cylinder Detail'!U109)</f>
        <v/>
      </c>
      <c r="L107" s="13" t="str">
        <f>IF('Cylinder Detail'!Z109=0,"",_xlfn.TEXTBEFORE('Cylinder Detail'!Z109, ","))</f>
        <v/>
      </c>
      <c r="M107" s="13" t="str">
        <f t="shared" si="25"/>
        <v/>
      </c>
      <c r="N107" s="17" t="str">
        <f>IF('Cylinder Detail'!V109=0,"",'Cylinder Detail'!V109)</f>
        <v/>
      </c>
      <c r="O107" s="17" t="str">
        <f>IF('Cylinder Detail'!Z109=0,"",_xlfn.TEXTAFTER('Cylinder Detail'!Z109, ", "))</f>
        <v/>
      </c>
      <c r="P107" s="17" t="str">
        <f>IF('Cylinder Detail'!AA109=0,"",'Cylinder Detail'!AA109)</f>
        <v/>
      </c>
      <c r="Q107" s="19" t="str">
        <f>IF('Cylinder Detail'!W109=0,"",'Cylinder Detail'!W109)</f>
        <v/>
      </c>
      <c r="R107" s="19" t="str">
        <f>IF('Cylinder Detail'!Y109=0,"",'Cylinder Detail'!Y109)</f>
        <v/>
      </c>
      <c r="S107" s="21" t="str">
        <f>IF('Cylinder Detail'!X109=0,"",'Cylinder Detail'!X109)</f>
        <v/>
      </c>
      <c r="T107" s="21" t="str">
        <f>IF('Cylinder Detail'!F109=0,"",'Cylinder Detail'!F109)</f>
        <v/>
      </c>
      <c r="U107" s="21" t="str">
        <f>IF('Cylinder Detail'!R109=0,"",'Cylinder Detail'!R109)</f>
        <v/>
      </c>
      <c r="V107" s="21" t="str">
        <f>IF('Cylinder Detail'!Q109=0,"",'Cylinder Detail'!Q109)</f>
        <v/>
      </c>
      <c r="W107" s="21" t="str">
        <f>IF('Cylinder Detail'!E109=0,"","+" &amp; 'Cylinder Detail'!E109)</f>
        <v/>
      </c>
      <c r="X107" s="21" t="str">
        <f t="shared" si="26"/>
        <v/>
      </c>
      <c r="Y107" s="21" t="str">
        <f>IF('Cylinder Detail'!S109=0,"",'Cylinder Detail'!S109)</f>
        <v/>
      </c>
      <c r="Z107" s="21" t="str">
        <f>IF('Cylinder Detail'!T109=0,"",'Cylinder Detail'!T109)</f>
        <v/>
      </c>
      <c r="AA107" s="21" t="str">
        <f>IF('Cylinder Detail'!H109=0,"",'Cylinder Detail'!H109)</f>
        <v/>
      </c>
      <c r="AB107" s="21" t="str">
        <f>IF('Cylinder Detail'!I109=0,"",'Cylinder Detail'!I109)</f>
        <v/>
      </c>
      <c r="AC107" s="22" t="str">
        <f>IF('Cylinder Detail'!AB109=0,"",'Cylinder Detail'!AB109)</f>
        <v/>
      </c>
      <c r="AD107" s="25" t="str">
        <f>IF('Sensor Detail'!F109=0,"","=" &amp; 'Sensor Detail'!F109)</f>
        <v/>
      </c>
      <c r="AE107" s="25" t="str">
        <f>IF('Sensor Detail'!H109=0,"",'Sensor Detail'!H109)</f>
        <v/>
      </c>
      <c r="AF107" s="27" t="str">
        <f>IF('Sensor Detail'!G109=0,"","-" &amp; 'Sensor Detail'!G109)</f>
        <v/>
      </c>
      <c r="AG107" s="27" t="str">
        <f>IF('Sensor Detail'!I109=0,"",'Sensor Detail'!I109)</f>
        <v/>
      </c>
      <c r="AH107" s="27" t="str">
        <f>IF('Sensor Detail'!E109=0,"","+" &amp; 'Sensor Detail'!E109)</f>
        <v/>
      </c>
      <c r="AI107" s="27" t="str">
        <f t="shared" si="27"/>
        <v/>
      </c>
      <c r="AJ107" s="27" t="str">
        <f>IF('Sensor Detail'!J109=0,"",'Sensor Detail'!J109)</f>
        <v/>
      </c>
      <c r="AK107" s="27" t="str">
        <f>IF('Sensor Detail'!K109=0,"",'Sensor Detail'!K109)</f>
        <v/>
      </c>
      <c r="AL107" s="27" t="str">
        <f>IF('Sensor Detail'!L109=0,"",'Sensor Detail'!L109)</f>
        <v/>
      </c>
      <c r="AM107" s="27" t="str">
        <f>IF('Sensor Detail'!M109=0,"",'Sensor Detail'!M109)</f>
        <v/>
      </c>
      <c r="AN107" s="27" t="str">
        <f>IF('Sensor Detail'!N109=0,"",'Sensor Detail'!N109)</f>
        <v/>
      </c>
      <c r="AO107" s="27" t="str">
        <f>IF('Sensor Detail'!O109=0,"",'Sensor Detail'!O109)</f>
        <v/>
      </c>
      <c r="AP107" s="15" t="str">
        <f t="shared" si="28"/>
        <v/>
      </c>
      <c r="AQ107" s="15" t="str">
        <f t="shared" si="29"/>
        <v/>
      </c>
    </row>
    <row r="108" spans="1:43">
      <c r="A108" s="13" t="str">
        <f t="shared" si="15"/>
        <v/>
      </c>
      <c r="B108" s="13" t="str">
        <f t="shared" si="16"/>
        <v/>
      </c>
      <c r="C108" s="15" t="str">
        <f t="shared" si="17"/>
        <v/>
      </c>
      <c r="D108" s="15" t="str">
        <f t="shared" si="18"/>
        <v/>
      </c>
      <c r="E108" s="15" t="str">
        <f t="shared" si="19"/>
        <v/>
      </c>
      <c r="F108" s="15" t="str">
        <f t="shared" si="20"/>
        <v/>
      </c>
      <c r="G108" s="15" t="str">
        <f t="shared" si="21"/>
        <v/>
      </c>
      <c r="H108" s="15" t="str">
        <f t="shared" si="22"/>
        <v/>
      </c>
      <c r="I108" s="15" t="str">
        <f t="shared" si="23"/>
        <v/>
      </c>
      <c r="J108" s="15" t="str">
        <f t="shared" si="24"/>
        <v/>
      </c>
      <c r="K108" s="13" t="str">
        <f>IF('Cylinder Detail'!U110=0,"",'Cylinder Detail'!U110)</f>
        <v/>
      </c>
      <c r="L108" s="13" t="str">
        <f>IF('Cylinder Detail'!Z110=0,"",_xlfn.TEXTBEFORE('Cylinder Detail'!Z110, ","))</f>
        <v/>
      </c>
      <c r="M108" s="13" t="str">
        <f t="shared" si="25"/>
        <v/>
      </c>
      <c r="N108" s="17" t="str">
        <f>IF('Cylinder Detail'!V110=0,"",'Cylinder Detail'!V110)</f>
        <v/>
      </c>
      <c r="O108" s="17" t="str">
        <f>IF('Cylinder Detail'!Z110=0,"",_xlfn.TEXTAFTER('Cylinder Detail'!Z110, ", "))</f>
        <v/>
      </c>
      <c r="P108" s="17" t="str">
        <f>IF('Cylinder Detail'!AA110=0,"",'Cylinder Detail'!AA110)</f>
        <v/>
      </c>
      <c r="Q108" s="19" t="str">
        <f>IF('Cylinder Detail'!W110=0,"",'Cylinder Detail'!W110)</f>
        <v/>
      </c>
      <c r="R108" s="19" t="str">
        <f>IF('Cylinder Detail'!Y110=0,"",'Cylinder Detail'!Y110)</f>
        <v/>
      </c>
      <c r="S108" s="21" t="str">
        <f>IF('Cylinder Detail'!X110=0,"",'Cylinder Detail'!X110)</f>
        <v/>
      </c>
      <c r="T108" s="21" t="str">
        <f>IF('Cylinder Detail'!F110=0,"",'Cylinder Detail'!F110)</f>
        <v/>
      </c>
      <c r="U108" s="21" t="str">
        <f>IF('Cylinder Detail'!R110=0,"",'Cylinder Detail'!R110)</f>
        <v/>
      </c>
      <c r="V108" s="21" t="str">
        <f>IF('Cylinder Detail'!Q110=0,"",'Cylinder Detail'!Q110)</f>
        <v/>
      </c>
      <c r="W108" s="21" t="str">
        <f>IF('Cylinder Detail'!E110=0,"","+" &amp; 'Cylinder Detail'!E110)</f>
        <v/>
      </c>
      <c r="X108" s="21" t="str">
        <f t="shared" si="26"/>
        <v/>
      </c>
      <c r="Y108" s="21" t="str">
        <f>IF('Cylinder Detail'!S110=0,"",'Cylinder Detail'!S110)</f>
        <v/>
      </c>
      <c r="Z108" s="21" t="str">
        <f>IF('Cylinder Detail'!T110=0,"",'Cylinder Detail'!T110)</f>
        <v/>
      </c>
      <c r="AA108" s="21" t="str">
        <f>IF('Cylinder Detail'!H110=0,"",'Cylinder Detail'!H110)</f>
        <v/>
      </c>
      <c r="AB108" s="21" t="str">
        <f>IF('Cylinder Detail'!I110=0,"",'Cylinder Detail'!I110)</f>
        <v/>
      </c>
      <c r="AC108" s="22" t="str">
        <f>IF('Cylinder Detail'!AB110=0,"",'Cylinder Detail'!AB110)</f>
        <v/>
      </c>
      <c r="AD108" s="25" t="str">
        <f>IF('Sensor Detail'!F110=0,"","=" &amp; 'Sensor Detail'!F110)</f>
        <v/>
      </c>
      <c r="AE108" s="25" t="str">
        <f>IF('Sensor Detail'!H110=0,"",'Sensor Detail'!H110)</f>
        <v/>
      </c>
      <c r="AF108" s="27" t="str">
        <f>IF('Sensor Detail'!G110=0,"","-" &amp; 'Sensor Detail'!G110)</f>
        <v/>
      </c>
      <c r="AG108" s="27" t="str">
        <f>IF('Sensor Detail'!I110=0,"",'Sensor Detail'!I110)</f>
        <v/>
      </c>
      <c r="AH108" s="27" t="str">
        <f>IF('Sensor Detail'!E110=0,"","+" &amp; 'Sensor Detail'!E110)</f>
        <v/>
      </c>
      <c r="AI108" s="27" t="str">
        <f t="shared" si="27"/>
        <v/>
      </c>
      <c r="AJ108" s="27" t="str">
        <f>IF('Sensor Detail'!J110=0,"",'Sensor Detail'!J110)</f>
        <v/>
      </c>
      <c r="AK108" s="27" t="str">
        <f>IF('Sensor Detail'!K110=0,"",'Sensor Detail'!K110)</f>
        <v/>
      </c>
      <c r="AL108" s="27" t="str">
        <f>IF('Sensor Detail'!L110=0,"",'Sensor Detail'!L110)</f>
        <v/>
      </c>
      <c r="AM108" s="27" t="str">
        <f>IF('Sensor Detail'!M110=0,"",'Sensor Detail'!M110)</f>
        <v/>
      </c>
      <c r="AN108" s="27" t="str">
        <f>IF('Sensor Detail'!N110=0,"",'Sensor Detail'!N110)</f>
        <v/>
      </c>
      <c r="AO108" s="27" t="str">
        <f>IF('Sensor Detail'!O110=0,"",'Sensor Detail'!O110)</f>
        <v/>
      </c>
      <c r="AP108" s="15" t="str">
        <f t="shared" si="28"/>
        <v/>
      </c>
      <c r="AQ108" s="15" t="str">
        <f t="shared" si="29"/>
        <v/>
      </c>
    </row>
    <row r="109" spans="1:43">
      <c r="A109" s="13" t="str">
        <f t="shared" si="15"/>
        <v/>
      </c>
      <c r="B109" s="13" t="str">
        <f t="shared" si="16"/>
        <v/>
      </c>
      <c r="C109" s="15" t="str">
        <f t="shared" si="17"/>
        <v/>
      </c>
      <c r="D109" s="15" t="str">
        <f t="shared" si="18"/>
        <v/>
      </c>
      <c r="E109" s="15" t="str">
        <f t="shared" si="19"/>
        <v/>
      </c>
      <c r="F109" s="15" t="str">
        <f t="shared" si="20"/>
        <v/>
      </c>
      <c r="G109" s="15" t="str">
        <f t="shared" si="21"/>
        <v/>
      </c>
      <c r="H109" s="15" t="str">
        <f t="shared" si="22"/>
        <v/>
      </c>
      <c r="I109" s="15" t="str">
        <f t="shared" si="23"/>
        <v/>
      </c>
      <c r="J109" s="15" t="str">
        <f t="shared" si="24"/>
        <v/>
      </c>
      <c r="K109" s="13" t="str">
        <f>IF('Cylinder Detail'!U111=0,"",'Cylinder Detail'!U111)</f>
        <v/>
      </c>
      <c r="L109" s="13" t="str">
        <f>IF('Cylinder Detail'!Z111=0,"",_xlfn.TEXTBEFORE('Cylinder Detail'!Z111, ","))</f>
        <v/>
      </c>
      <c r="M109" s="13" t="str">
        <f t="shared" si="25"/>
        <v/>
      </c>
      <c r="N109" s="17" t="str">
        <f>IF('Cylinder Detail'!V111=0,"",'Cylinder Detail'!V111)</f>
        <v/>
      </c>
      <c r="O109" s="17" t="str">
        <f>IF('Cylinder Detail'!Z111=0,"",_xlfn.TEXTAFTER('Cylinder Detail'!Z111, ", "))</f>
        <v/>
      </c>
      <c r="P109" s="17" t="str">
        <f>IF('Cylinder Detail'!AA111=0,"",'Cylinder Detail'!AA111)</f>
        <v/>
      </c>
      <c r="Q109" s="19" t="str">
        <f>IF('Cylinder Detail'!W111=0,"",'Cylinder Detail'!W111)</f>
        <v/>
      </c>
      <c r="R109" s="19" t="str">
        <f>IF('Cylinder Detail'!Y111=0,"",'Cylinder Detail'!Y111)</f>
        <v/>
      </c>
      <c r="S109" s="21" t="str">
        <f>IF('Cylinder Detail'!X111=0,"",'Cylinder Detail'!X111)</f>
        <v/>
      </c>
      <c r="T109" s="21" t="str">
        <f>IF('Cylinder Detail'!F111=0,"",'Cylinder Detail'!F111)</f>
        <v/>
      </c>
      <c r="U109" s="21" t="str">
        <f>IF('Cylinder Detail'!R111=0,"",'Cylinder Detail'!R111)</f>
        <v/>
      </c>
      <c r="V109" s="21" t="str">
        <f>IF('Cylinder Detail'!Q111=0,"",'Cylinder Detail'!Q111)</f>
        <v/>
      </c>
      <c r="W109" s="21" t="str">
        <f>IF('Cylinder Detail'!E111=0,"","+" &amp; 'Cylinder Detail'!E111)</f>
        <v/>
      </c>
      <c r="X109" s="21" t="str">
        <f t="shared" si="26"/>
        <v/>
      </c>
      <c r="Y109" s="21" t="str">
        <f>IF('Cylinder Detail'!S111=0,"",'Cylinder Detail'!S111)</f>
        <v/>
      </c>
      <c r="Z109" s="21" t="str">
        <f>IF('Cylinder Detail'!T111=0,"",'Cylinder Detail'!T111)</f>
        <v/>
      </c>
      <c r="AA109" s="21" t="str">
        <f>IF('Cylinder Detail'!H111=0,"",'Cylinder Detail'!H111)</f>
        <v/>
      </c>
      <c r="AB109" s="21" t="str">
        <f>IF('Cylinder Detail'!I111=0,"",'Cylinder Detail'!I111)</f>
        <v/>
      </c>
      <c r="AC109" s="22" t="str">
        <f>IF('Cylinder Detail'!AB111=0,"",'Cylinder Detail'!AB111)</f>
        <v/>
      </c>
      <c r="AD109" s="25" t="str">
        <f>IF('Sensor Detail'!F111=0,"","=" &amp; 'Sensor Detail'!F111)</f>
        <v/>
      </c>
      <c r="AE109" s="25" t="str">
        <f>IF('Sensor Detail'!H111=0,"",'Sensor Detail'!H111)</f>
        <v/>
      </c>
      <c r="AF109" s="27" t="str">
        <f>IF('Sensor Detail'!G111=0,"","-" &amp; 'Sensor Detail'!G111)</f>
        <v/>
      </c>
      <c r="AG109" s="27" t="str">
        <f>IF('Sensor Detail'!I111=0,"",'Sensor Detail'!I111)</f>
        <v/>
      </c>
      <c r="AH109" s="27" t="str">
        <f>IF('Sensor Detail'!E111=0,"","+" &amp; 'Sensor Detail'!E111)</f>
        <v/>
      </c>
      <c r="AI109" s="27" t="str">
        <f t="shared" si="27"/>
        <v/>
      </c>
      <c r="AJ109" s="27" t="str">
        <f>IF('Sensor Detail'!J111=0,"",'Sensor Detail'!J111)</f>
        <v/>
      </c>
      <c r="AK109" s="27" t="str">
        <f>IF('Sensor Detail'!K111=0,"",'Sensor Detail'!K111)</f>
        <v/>
      </c>
      <c r="AL109" s="27" t="str">
        <f>IF('Sensor Detail'!L111=0,"",'Sensor Detail'!L111)</f>
        <v/>
      </c>
      <c r="AM109" s="27" t="str">
        <f>IF('Sensor Detail'!M111=0,"",'Sensor Detail'!M111)</f>
        <v/>
      </c>
      <c r="AN109" s="27" t="str">
        <f>IF('Sensor Detail'!N111=0,"",'Sensor Detail'!N111)</f>
        <v/>
      </c>
      <c r="AO109" s="27" t="str">
        <f>IF('Sensor Detail'!O111=0,"",'Sensor Detail'!O111)</f>
        <v/>
      </c>
      <c r="AP109" s="15" t="str">
        <f t="shared" si="28"/>
        <v/>
      </c>
      <c r="AQ109" s="15" t="str">
        <f t="shared" si="29"/>
        <v/>
      </c>
    </row>
    <row r="110" spans="1:43">
      <c r="A110" s="13" t="str">
        <f t="shared" si="15"/>
        <v/>
      </c>
      <c r="B110" s="13" t="str">
        <f t="shared" si="16"/>
        <v/>
      </c>
      <c r="C110" s="15" t="str">
        <f t="shared" si="17"/>
        <v/>
      </c>
      <c r="D110" s="15" t="str">
        <f t="shared" si="18"/>
        <v/>
      </c>
      <c r="E110" s="15" t="str">
        <f t="shared" si="19"/>
        <v/>
      </c>
      <c r="F110" s="15" t="str">
        <f t="shared" si="20"/>
        <v/>
      </c>
      <c r="G110" s="15" t="str">
        <f t="shared" si="21"/>
        <v/>
      </c>
      <c r="H110" s="15" t="str">
        <f t="shared" si="22"/>
        <v/>
      </c>
      <c r="I110" s="15" t="str">
        <f t="shared" si="23"/>
        <v/>
      </c>
      <c r="J110" s="15" t="str">
        <f t="shared" si="24"/>
        <v/>
      </c>
      <c r="K110" s="13" t="str">
        <f>IF('Cylinder Detail'!U112=0,"",'Cylinder Detail'!U112)</f>
        <v/>
      </c>
      <c r="L110" s="13" t="str">
        <f>IF('Cylinder Detail'!Z112=0,"",_xlfn.TEXTBEFORE('Cylinder Detail'!Z112, ","))</f>
        <v/>
      </c>
      <c r="M110" s="13" t="str">
        <f t="shared" si="25"/>
        <v/>
      </c>
      <c r="N110" s="17" t="str">
        <f>IF('Cylinder Detail'!V112=0,"",'Cylinder Detail'!V112)</f>
        <v/>
      </c>
      <c r="O110" s="17" t="str">
        <f>IF('Cylinder Detail'!Z112=0,"",_xlfn.TEXTAFTER('Cylinder Detail'!Z112, ", "))</f>
        <v/>
      </c>
      <c r="P110" s="17" t="str">
        <f>IF('Cylinder Detail'!AA112=0,"",'Cylinder Detail'!AA112)</f>
        <v/>
      </c>
      <c r="Q110" s="19" t="str">
        <f>IF('Cylinder Detail'!W112=0,"",'Cylinder Detail'!W112)</f>
        <v/>
      </c>
      <c r="R110" s="19" t="str">
        <f>IF('Cylinder Detail'!Y112=0,"",'Cylinder Detail'!Y112)</f>
        <v/>
      </c>
      <c r="S110" s="21" t="str">
        <f>IF('Cylinder Detail'!X112=0,"",'Cylinder Detail'!X112)</f>
        <v/>
      </c>
      <c r="T110" s="21" t="str">
        <f>IF('Cylinder Detail'!F112=0,"",'Cylinder Detail'!F112)</f>
        <v/>
      </c>
      <c r="U110" s="21" t="str">
        <f>IF('Cylinder Detail'!R112=0,"",'Cylinder Detail'!R112)</f>
        <v/>
      </c>
      <c r="V110" s="21" t="str">
        <f>IF('Cylinder Detail'!Q112=0,"",'Cylinder Detail'!Q112)</f>
        <v/>
      </c>
      <c r="W110" s="21" t="str">
        <f>IF('Cylinder Detail'!E112=0,"","+" &amp; 'Cylinder Detail'!E112)</f>
        <v/>
      </c>
      <c r="X110" s="21" t="str">
        <f t="shared" si="26"/>
        <v/>
      </c>
      <c r="Y110" s="21" t="str">
        <f>IF('Cylinder Detail'!S112=0,"",'Cylinder Detail'!S112)</f>
        <v/>
      </c>
      <c r="Z110" s="21" t="str">
        <f>IF('Cylinder Detail'!T112=0,"",'Cylinder Detail'!T112)</f>
        <v/>
      </c>
      <c r="AA110" s="21" t="str">
        <f>IF('Cylinder Detail'!H112=0,"",'Cylinder Detail'!H112)</f>
        <v/>
      </c>
      <c r="AB110" s="21" t="str">
        <f>IF('Cylinder Detail'!I112=0,"",'Cylinder Detail'!I112)</f>
        <v/>
      </c>
      <c r="AC110" s="22" t="str">
        <f>IF('Cylinder Detail'!AB112=0,"",'Cylinder Detail'!AB112)</f>
        <v/>
      </c>
      <c r="AD110" s="25" t="str">
        <f>IF('Sensor Detail'!F112=0,"","=" &amp; 'Sensor Detail'!F112)</f>
        <v/>
      </c>
      <c r="AE110" s="25" t="str">
        <f>IF('Sensor Detail'!H112=0,"",'Sensor Detail'!H112)</f>
        <v/>
      </c>
      <c r="AF110" s="27" t="str">
        <f>IF('Sensor Detail'!G112=0,"","-" &amp; 'Sensor Detail'!G112)</f>
        <v/>
      </c>
      <c r="AG110" s="27" t="str">
        <f>IF('Sensor Detail'!I112=0,"",'Sensor Detail'!I112)</f>
        <v/>
      </c>
      <c r="AH110" s="27" t="str">
        <f>IF('Sensor Detail'!E112=0,"","+" &amp; 'Sensor Detail'!E112)</f>
        <v/>
      </c>
      <c r="AI110" s="27" t="str">
        <f t="shared" si="27"/>
        <v/>
      </c>
      <c r="AJ110" s="27" t="str">
        <f>IF('Sensor Detail'!J112=0,"",'Sensor Detail'!J112)</f>
        <v/>
      </c>
      <c r="AK110" s="27" t="str">
        <f>IF('Sensor Detail'!K112=0,"",'Sensor Detail'!K112)</f>
        <v/>
      </c>
      <c r="AL110" s="27" t="str">
        <f>IF('Sensor Detail'!L112=0,"",'Sensor Detail'!L112)</f>
        <v/>
      </c>
      <c r="AM110" s="27" t="str">
        <f>IF('Sensor Detail'!M112=0,"",'Sensor Detail'!M112)</f>
        <v/>
      </c>
      <c r="AN110" s="27" t="str">
        <f>IF('Sensor Detail'!N112=0,"",'Sensor Detail'!N112)</f>
        <v/>
      </c>
      <c r="AO110" s="27" t="str">
        <f>IF('Sensor Detail'!O112=0,"",'Sensor Detail'!O112)</f>
        <v/>
      </c>
      <c r="AP110" s="15" t="str">
        <f t="shared" si="28"/>
        <v/>
      </c>
      <c r="AQ110" s="15" t="str">
        <f t="shared" si="29"/>
        <v/>
      </c>
    </row>
    <row r="111" spans="1:43">
      <c r="A111" s="13" t="str">
        <f t="shared" si="15"/>
        <v/>
      </c>
      <c r="B111" s="13" t="str">
        <f t="shared" si="16"/>
        <v/>
      </c>
      <c r="C111" s="15" t="str">
        <f t="shared" si="17"/>
        <v/>
      </c>
      <c r="D111" s="15" t="str">
        <f t="shared" si="18"/>
        <v/>
      </c>
      <c r="E111" s="15" t="str">
        <f t="shared" si="19"/>
        <v/>
      </c>
      <c r="F111" s="15" t="str">
        <f t="shared" si="20"/>
        <v/>
      </c>
      <c r="G111" s="15" t="str">
        <f t="shared" si="21"/>
        <v/>
      </c>
      <c r="H111" s="15" t="str">
        <f t="shared" si="22"/>
        <v/>
      </c>
      <c r="I111" s="15" t="str">
        <f t="shared" si="23"/>
        <v/>
      </c>
      <c r="J111" s="15" t="str">
        <f t="shared" si="24"/>
        <v/>
      </c>
      <c r="K111" s="13" t="str">
        <f>IF('Cylinder Detail'!U113=0,"",'Cylinder Detail'!U113)</f>
        <v/>
      </c>
      <c r="L111" s="13" t="str">
        <f>IF('Cylinder Detail'!Z113=0,"",_xlfn.TEXTBEFORE('Cylinder Detail'!Z113, ","))</f>
        <v/>
      </c>
      <c r="M111" s="13" t="str">
        <f t="shared" si="25"/>
        <v/>
      </c>
      <c r="N111" s="17" t="str">
        <f>IF('Cylinder Detail'!V113=0,"",'Cylinder Detail'!V113)</f>
        <v/>
      </c>
      <c r="O111" s="17" t="str">
        <f>IF('Cylinder Detail'!Z113=0,"",_xlfn.TEXTAFTER('Cylinder Detail'!Z113, ", "))</f>
        <v/>
      </c>
      <c r="P111" s="17" t="str">
        <f>IF('Cylinder Detail'!AA113=0,"",'Cylinder Detail'!AA113)</f>
        <v/>
      </c>
      <c r="Q111" s="19" t="str">
        <f>IF('Cylinder Detail'!W113=0,"",'Cylinder Detail'!W113)</f>
        <v/>
      </c>
      <c r="R111" s="19" t="str">
        <f>IF('Cylinder Detail'!Y113=0,"",'Cylinder Detail'!Y113)</f>
        <v/>
      </c>
      <c r="S111" s="21" t="str">
        <f>IF('Cylinder Detail'!X113=0,"",'Cylinder Detail'!X113)</f>
        <v/>
      </c>
      <c r="T111" s="21" t="str">
        <f>IF('Cylinder Detail'!F113=0,"",'Cylinder Detail'!F113)</f>
        <v/>
      </c>
      <c r="U111" s="21" t="str">
        <f>IF('Cylinder Detail'!R113=0,"",'Cylinder Detail'!R113)</f>
        <v/>
      </c>
      <c r="V111" s="21" t="str">
        <f>IF('Cylinder Detail'!Q113=0,"",'Cylinder Detail'!Q113)</f>
        <v/>
      </c>
      <c r="W111" s="21" t="str">
        <f>IF('Cylinder Detail'!E113=0,"","+" &amp; 'Cylinder Detail'!E113)</f>
        <v/>
      </c>
      <c r="X111" s="21" t="str">
        <f t="shared" si="26"/>
        <v/>
      </c>
      <c r="Y111" s="21" t="str">
        <f>IF('Cylinder Detail'!S113=0,"",'Cylinder Detail'!S113)</f>
        <v/>
      </c>
      <c r="Z111" s="21" t="str">
        <f>IF('Cylinder Detail'!T113=0,"",'Cylinder Detail'!T113)</f>
        <v/>
      </c>
      <c r="AA111" s="21" t="str">
        <f>IF('Cylinder Detail'!H113=0,"",'Cylinder Detail'!H113)</f>
        <v/>
      </c>
      <c r="AB111" s="21" t="str">
        <f>IF('Cylinder Detail'!I113=0,"",'Cylinder Detail'!I113)</f>
        <v/>
      </c>
      <c r="AC111" s="22" t="str">
        <f>IF('Cylinder Detail'!AB113=0,"",'Cylinder Detail'!AB113)</f>
        <v/>
      </c>
      <c r="AD111" s="25" t="str">
        <f>IF('Sensor Detail'!F113=0,"","=" &amp; 'Sensor Detail'!F113)</f>
        <v/>
      </c>
      <c r="AE111" s="25" t="str">
        <f>IF('Sensor Detail'!H113=0,"",'Sensor Detail'!H113)</f>
        <v/>
      </c>
      <c r="AF111" s="27" t="str">
        <f>IF('Sensor Detail'!G113=0,"","-" &amp; 'Sensor Detail'!G113)</f>
        <v/>
      </c>
      <c r="AG111" s="27" t="str">
        <f>IF('Sensor Detail'!I113=0,"",'Sensor Detail'!I113)</f>
        <v/>
      </c>
      <c r="AH111" s="27" t="str">
        <f>IF('Sensor Detail'!E113=0,"","+" &amp; 'Sensor Detail'!E113)</f>
        <v/>
      </c>
      <c r="AI111" s="27" t="str">
        <f t="shared" si="27"/>
        <v/>
      </c>
      <c r="AJ111" s="27" t="str">
        <f>IF('Sensor Detail'!J113=0,"",'Sensor Detail'!J113)</f>
        <v/>
      </c>
      <c r="AK111" s="27" t="str">
        <f>IF('Sensor Detail'!K113=0,"",'Sensor Detail'!K113)</f>
        <v/>
      </c>
      <c r="AL111" s="27" t="str">
        <f>IF('Sensor Detail'!L113=0,"",'Sensor Detail'!L113)</f>
        <v/>
      </c>
      <c r="AM111" s="27" t="str">
        <f>IF('Sensor Detail'!M113=0,"",'Sensor Detail'!M113)</f>
        <v/>
      </c>
      <c r="AN111" s="27" t="str">
        <f>IF('Sensor Detail'!N113=0,"",'Sensor Detail'!N113)</f>
        <v/>
      </c>
      <c r="AO111" s="27" t="str">
        <f>IF('Sensor Detail'!O113=0,"",'Sensor Detail'!O113)</f>
        <v/>
      </c>
      <c r="AP111" s="15" t="str">
        <f t="shared" si="28"/>
        <v/>
      </c>
      <c r="AQ111" s="15" t="str">
        <f t="shared" si="29"/>
        <v/>
      </c>
    </row>
    <row r="112" spans="1:43">
      <c r="A112" s="13" t="str">
        <f t="shared" si="15"/>
        <v/>
      </c>
      <c r="B112" s="13" t="str">
        <f t="shared" si="16"/>
        <v/>
      </c>
      <c r="C112" s="15" t="str">
        <f t="shared" si="17"/>
        <v/>
      </c>
      <c r="D112" s="15" t="str">
        <f t="shared" si="18"/>
        <v/>
      </c>
      <c r="E112" s="15" t="str">
        <f t="shared" si="19"/>
        <v/>
      </c>
      <c r="F112" s="15" t="str">
        <f t="shared" si="20"/>
        <v/>
      </c>
      <c r="G112" s="15" t="str">
        <f t="shared" si="21"/>
        <v/>
      </c>
      <c r="H112" s="15" t="str">
        <f t="shared" si="22"/>
        <v/>
      </c>
      <c r="I112" s="15" t="str">
        <f t="shared" si="23"/>
        <v/>
      </c>
      <c r="J112" s="15" t="str">
        <f t="shared" si="24"/>
        <v/>
      </c>
      <c r="K112" s="13" t="str">
        <f>IF('Cylinder Detail'!U114=0,"",'Cylinder Detail'!U114)</f>
        <v/>
      </c>
      <c r="L112" s="13" t="str">
        <f>IF('Cylinder Detail'!Z114=0,"",_xlfn.TEXTBEFORE('Cylinder Detail'!Z114, ","))</f>
        <v/>
      </c>
      <c r="M112" s="13" t="str">
        <f t="shared" si="25"/>
        <v/>
      </c>
      <c r="N112" s="17" t="str">
        <f>IF('Cylinder Detail'!V114=0,"",'Cylinder Detail'!V114)</f>
        <v/>
      </c>
      <c r="O112" s="17" t="str">
        <f>IF('Cylinder Detail'!Z114=0,"",_xlfn.TEXTAFTER('Cylinder Detail'!Z114, ", "))</f>
        <v/>
      </c>
      <c r="P112" s="17" t="str">
        <f>IF('Cylinder Detail'!AA114=0,"",'Cylinder Detail'!AA114)</f>
        <v/>
      </c>
      <c r="Q112" s="19" t="str">
        <f>IF('Cylinder Detail'!W114=0,"",'Cylinder Detail'!W114)</f>
        <v/>
      </c>
      <c r="R112" s="19" t="str">
        <f>IF('Cylinder Detail'!Y114=0,"",'Cylinder Detail'!Y114)</f>
        <v/>
      </c>
      <c r="S112" s="21" t="str">
        <f>IF('Cylinder Detail'!X114=0,"",'Cylinder Detail'!X114)</f>
        <v/>
      </c>
      <c r="T112" s="21" t="str">
        <f>IF('Cylinder Detail'!F114=0,"",'Cylinder Detail'!F114)</f>
        <v/>
      </c>
      <c r="U112" s="21" t="str">
        <f>IF('Cylinder Detail'!R114=0,"",'Cylinder Detail'!R114)</f>
        <v/>
      </c>
      <c r="V112" s="21" t="str">
        <f>IF('Cylinder Detail'!Q114=0,"",'Cylinder Detail'!Q114)</f>
        <v/>
      </c>
      <c r="W112" s="21" t="str">
        <f>IF('Cylinder Detail'!E114=0,"","+" &amp; 'Cylinder Detail'!E114)</f>
        <v/>
      </c>
      <c r="X112" s="21" t="str">
        <f t="shared" si="26"/>
        <v/>
      </c>
      <c r="Y112" s="21" t="str">
        <f>IF('Cylinder Detail'!S114=0,"",'Cylinder Detail'!S114)</f>
        <v/>
      </c>
      <c r="Z112" s="21" t="str">
        <f>IF('Cylinder Detail'!T114=0,"",'Cylinder Detail'!T114)</f>
        <v/>
      </c>
      <c r="AA112" s="21" t="str">
        <f>IF('Cylinder Detail'!H114=0,"",'Cylinder Detail'!H114)</f>
        <v/>
      </c>
      <c r="AB112" s="21" t="str">
        <f>IF('Cylinder Detail'!I114=0,"",'Cylinder Detail'!I114)</f>
        <v/>
      </c>
      <c r="AC112" s="22" t="str">
        <f>IF('Cylinder Detail'!AB114=0,"",'Cylinder Detail'!AB114)</f>
        <v/>
      </c>
      <c r="AD112" s="25" t="str">
        <f>IF('Sensor Detail'!F114=0,"","=" &amp; 'Sensor Detail'!F114)</f>
        <v/>
      </c>
      <c r="AE112" s="25" t="str">
        <f>IF('Sensor Detail'!H114=0,"",'Sensor Detail'!H114)</f>
        <v/>
      </c>
      <c r="AF112" s="27" t="str">
        <f>IF('Sensor Detail'!G114=0,"","-" &amp; 'Sensor Detail'!G114)</f>
        <v/>
      </c>
      <c r="AG112" s="27" t="str">
        <f>IF('Sensor Detail'!I114=0,"",'Sensor Detail'!I114)</f>
        <v/>
      </c>
      <c r="AH112" s="27" t="str">
        <f>IF('Sensor Detail'!E114=0,"","+" &amp; 'Sensor Detail'!E114)</f>
        <v/>
      </c>
      <c r="AI112" s="27" t="str">
        <f t="shared" si="27"/>
        <v/>
      </c>
      <c r="AJ112" s="27" t="str">
        <f>IF('Sensor Detail'!J114=0,"",'Sensor Detail'!J114)</f>
        <v/>
      </c>
      <c r="AK112" s="27" t="str">
        <f>IF('Sensor Detail'!K114=0,"",'Sensor Detail'!K114)</f>
        <v/>
      </c>
      <c r="AL112" s="27" t="str">
        <f>IF('Sensor Detail'!L114=0,"",'Sensor Detail'!L114)</f>
        <v/>
      </c>
      <c r="AM112" s="27" t="str">
        <f>IF('Sensor Detail'!M114=0,"",'Sensor Detail'!M114)</f>
        <v/>
      </c>
      <c r="AN112" s="27" t="str">
        <f>IF('Sensor Detail'!N114=0,"",'Sensor Detail'!N114)</f>
        <v/>
      </c>
      <c r="AO112" s="27" t="str">
        <f>IF('Sensor Detail'!O114=0,"",'Sensor Detail'!O114)</f>
        <v/>
      </c>
      <c r="AP112" s="15" t="str">
        <f t="shared" si="28"/>
        <v/>
      </c>
      <c r="AQ112" s="15" t="str">
        <f t="shared" si="29"/>
        <v/>
      </c>
    </row>
    <row r="113" spans="1:43">
      <c r="A113" s="13" t="str">
        <f t="shared" si="15"/>
        <v/>
      </c>
      <c r="B113" s="13" t="str">
        <f t="shared" si="16"/>
        <v/>
      </c>
      <c r="C113" s="15" t="str">
        <f t="shared" si="17"/>
        <v/>
      </c>
      <c r="D113" s="15" t="str">
        <f t="shared" si="18"/>
        <v/>
      </c>
      <c r="E113" s="15" t="str">
        <f t="shared" si="19"/>
        <v/>
      </c>
      <c r="F113" s="15" t="str">
        <f t="shared" si="20"/>
        <v/>
      </c>
      <c r="G113" s="15" t="str">
        <f t="shared" si="21"/>
        <v/>
      </c>
      <c r="H113" s="15" t="str">
        <f t="shared" si="22"/>
        <v/>
      </c>
      <c r="I113" s="15" t="str">
        <f t="shared" si="23"/>
        <v/>
      </c>
      <c r="J113" s="15" t="str">
        <f t="shared" si="24"/>
        <v/>
      </c>
      <c r="K113" s="13" t="str">
        <f>IF('Cylinder Detail'!U115=0,"",'Cylinder Detail'!U115)</f>
        <v/>
      </c>
      <c r="L113" s="13" t="str">
        <f>IF('Cylinder Detail'!Z115=0,"",_xlfn.TEXTBEFORE('Cylinder Detail'!Z115, ","))</f>
        <v/>
      </c>
      <c r="M113" s="13" t="str">
        <f t="shared" si="25"/>
        <v/>
      </c>
      <c r="N113" s="17" t="str">
        <f>IF('Cylinder Detail'!V115=0,"",'Cylinder Detail'!V115)</f>
        <v/>
      </c>
      <c r="O113" s="17" t="str">
        <f>IF('Cylinder Detail'!Z115=0,"",_xlfn.TEXTAFTER('Cylinder Detail'!Z115, ", "))</f>
        <v/>
      </c>
      <c r="P113" s="17" t="str">
        <f>IF('Cylinder Detail'!AA115=0,"",'Cylinder Detail'!AA115)</f>
        <v/>
      </c>
      <c r="Q113" s="19" t="str">
        <f>IF('Cylinder Detail'!W115=0,"",'Cylinder Detail'!W115)</f>
        <v/>
      </c>
      <c r="R113" s="19" t="str">
        <f>IF('Cylinder Detail'!Y115=0,"",'Cylinder Detail'!Y115)</f>
        <v/>
      </c>
      <c r="S113" s="21" t="str">
        <f>IF('Cylinder Detail'!X115=0,"",'Cylinder Detail'!X115)</f>
        <v/>
      </c>
      <c r="T113" s="21" t="str">
        <f>IF('Cylinder Detail'!F115=0,"",'Cylinder Detail'!F115)</f>
        <v/>
      </c>
      <c r="U113" s="21" t="str">
        <f>IF('Cylinder Detail'!R115=0,"",'Cylinder Detail'!R115)</f>
        <v/>
      </c>
      <c r="V113" s="21" t="str">
        <f>IF('Cylinder Detail'!Q115=0,"",'Cylinder Detail'!Q115)</f>
        <v/>
      </c>
      <c r="W113" s="21" t="str">
        <f>IF('Cylinder Detail'!E115=0,"","+" &amp; 'Cylinder Detail'!E115)</f>
        <v/>
      </c>
      <c r="X113" s="21" t="str">
        <f t="shared" si="26"/>
        <v/>
      </c>
      <c r="Y113" s="21" t="str">
        <f>IF('Cylinder Detail'!S115=0,"",'Cylinder Detail'!S115)</f>
        <v/>
      </c>
      <c r="Z113" s="21" t="str">
        <f>IF('Cylinder Detail'!T115=0,"",'Cylinder Detail'!T115)</f>
        <v/>
      </c>
      <c r="AA113" s="21" t="str">
        <f>IF('Cylinder Detail'!H115=0,"",'Cylinder Detail'!H115)</f>
        <v/>
      </c>
      <c r="AB113" s="21" t="str">
        <f>IF('Cylinder Detail'!I115=0,"",'Cylinder Detail'!I115)</f>
        <v/>
      </c>
      <c r="AC113" s="22" t="str">
        <f>IF('Cylinder Detail'!AB115=0,"",'Cylinder Detail'!AB115)</f>
        <v/>
      </c>
      <c r="AD113" s="25" t="str">
        <f>IF('Sensor Detail'!F115=0,"","=" &amp; 'Sensor Detail'!F115)</f>
        <v/>
      </c>
      <c r="AE113" s="25" t="str">
        <f>IF('Sensor Detail'!H115=0,"",'Sensor Detail'!H115)</f>
        <v/>
      </c>
      <c r="AF113" s="27" t="str">
        <f>IF('Sensor Detail'!G115=0,"","-" &amp; 'Sensor Detail'!G115)</f>
        <v/>
      </c>
      <c r="AG113" s="27" t="str">
        <f>IF('Sensor Detail'!I115=0,"",'Sensor Detail'!I115)</f>
        <v/>
      </c>
      <c r="AH113" s="27" t="str">
        <f>IF('Sensor Detail'!E115=0,"","+" &amp; 'Sensor Detail'!E115)</f>
        <v/>
      </c>
      <c r="AI113" s="27" t="str">
        <f t="shared" si="27"/>
        <v/>
      </c>
      <c r="AJ113" s="27" t="str">
        <f>IF('Sensor Detail'!J115=0,"",'Sensor Detail'!J115)</f>
        <v/>
      </c>
      <c r="AK113" s="27" t="str">
        <f>IF('Sensor Detail'!K115=0,"",'Sensor Detail'!K115)</f>
        <v/>
      </c>
      <c r="AL113" s="27" t="str">
        <f>IF('Sensor Detail'!L115=0,"",'Sensor Detail'!L115)</f>
        <v/>
      </c>
      <c r="AM113" s="27" t="str">
        <f>IF('Sensor Detail'!M115=0,"",'Sensor Detail'!M115)</f>
        <v/>
      </c>
      <c r="AN113" s="27" t="str">
        <f>IF('Sensor Detail'!N115=0,"",'Sensor Detail'!N115)</f>
        <v/>
      </c>
      <c r="AO113" s="27" t="str">
        <f>IF('Sensor Detail'!O115=0,"",'Sensor Detail'!O115)</f>
        <v/>
      </c>
      <c r="AP113" s="15" t="str">
        <f t="shared" si="28"/>
        <v/>
      </c>
      <c r="AQ113" s="15" t="str">
        <f t="shared" si="29"/>
        <v/>
      </c>
    </row>
    <row r="114" spans="1:43">
      <c r="A114" s="13" t="str">
        <f t="shared" si="15"/>
        <v/>
      </c>
      <c r="B114" s="13" t="str">
        <f t="shared" si="16"/>
        <v/>
      </c>
      <c r="C114" s="15" t="str">
        <f t="shared" si="17"/>
        <v/>
      </c>
      <c r="D114" s="15" t="str">
        <f t="shared" si="18"/>
        <v/>
      </c>
      <c r="E114" s="15" t="str">
        <f t="shared" si="19"/>
        <v/>
      </c>
      <c r="F114" s="15" t="str">
        <f t="shared" si="20"/>
        <v/>
      </c>
      <c r="G114" s="15" t="str">
        <f t="shared" si="21"/>
        <v/>
      </c>
      <c r="H114" s="15" t="str">
        <f t="shared" si="22"/>
        <v/>
      </c>
      <c r="I114" s="15" t="str">
        <f t="shared" si="23"/>
        <v/>
      </c>
      <c r="J114" s="15" t="str">
        <f t="shared" si="24"/>
        <v/>
      </c>
      <c r="K114" s="13" t="str">
        <f>IF('Cylinder Detail'!U116=0,"",'Cylinder Detail'!U116)</f>
        <v/>
      </c>
      <c r="L114" s="13" t="str">
        <f>IF('Cylinder Detail'!Z116=0,"",_xlfn.TEXTBEFORE('Cylinder Detail'!Z116, ","))</f>
        <v/>
      </c>
      <c r="M114" s="13" t="str">
        <f t="shared" si="25"/>
        <v/>
      </c>
      <c r="N114" s="17" t="str">
        <f>IF('Cylinder Detail'!V116=0,"",'Cylinder Detail'!V116)</f>
        <v/>
      </c>
      <c r="O114" s="17" t="str">
        <f>IF('Cylinder Detail'!Z116=0,"",_xlfn.TEXTAFTER('Cylinder Detail'!Z116, ", "))</f>
        <v/>
      </c>
      <c r="P114" s="17" t="str">
        <f>IF('Cylinder Detail'!AA116=0,"",'Cylinder Detail'!AA116)</f>
        <v/>
      </c>
      <c r="Q114" s="19" t="str">
        <f>IF('Cylinder Detail'!W116=0,"",'Cylinder Detail'!W116)</f>
        <v/>
      </c>
      <c r="R114" s="19" t="str">
        <f>IF('Cylinder Detail'!Y116=0,"",'Cylinder Detail'!Y116)</f>
        <v/>
      </c>
      <c r="S114" s="21" t="str">
        <f>IF('Cylinder Detail'!X116=0,"",'Cylinder Detail'!X116)</f>
        <v/>
      </c>
      <c r="T114" s="21" t="str">
        <f>IF('Cylinder Detail'!F116=0,"",'Cylinder Detail'!F116)</f>
        <v/>
      </c>
      <c r="U114" s="21" t="str">
        <f>IF('Cylinder Detail'!R116=0,"",'Cylinder Detail'!R116)</f>
        <v/>
      </c>
      <c r="V114" s="21" t="str">
        <f>IF('Cylinder Detail'!Q116=0,"",'Cylinder Detail'!Q116)</f>
        <v/>
      </c>
      <c r="W114" s="21" t="str">
        <f>IF('Cylinder Detail'!E116=0,"","+" &amp; 'Cylinder Detail'!E116)</f>
        <v/>
      </c>
      <c r="X114" s="21" t="str">
        <f t="shared" si="26"/>
        <v/>
      </c>
      <c r="Y114" s="21" t="str">
        <f>IF('Cylinder Detail'!S116=0,"",'Cylinder Detail'!S116)</f>
        <v/>
      </c>
      <c r="Z114" s="21" t="str">
        <f>IF('Cylinder Detail'!T116=0,"",'Cylinder Detail'!T116)</f>
        <v/>
      </c>
      <c r="AA114" s="21" t="str">
        <f>IF('Cylinder Detail'!H116=0,"",'Cylinder Detail'!H116)</f>
        <v/>
      </c>
      <c r="AB114" s="21" t="str">
        <f>IF('Cylinder Detail'!I116=0,"",'Cylinder Detail'!I116)</f>
        <v/>
      </c>
      <c r="AC114" s="22" t="str">
        <f>IF('Cylinder Detail'!AB116=0,"",'Cylinder Detail'!AB116)</f>
        <v/>
      </c>
      <c r="AD114" s="25" t="str">
        <f>IF('Sensor Detail'!F116=0,"","=" &amp; 'Sensor Detail'!F116)</f>
        <v/>
      </c>
      <c r="AE114" s="25" t="str">
        <f>IF('Sensor Detail'!H116=0,"",'Sensor Detail'!H116)</f>
        <v/>
      </c>
      <c r="AF114" s="27" t="str">
        <f>IF('Sensor Detail'!G116=0,"","-" &amp; 'Sensor Detail'!G116)</f>
        <v/>
      </c>
      <c r="AG114" s="27" t="str">
        <f>IF('Sensor Detail'!I116=0,"",'Sensor Detail'!I116)</f>
        <v/>
      </c>
      <c r="AH114" s="27" t="str">
        <f>IF('Sensor Detail'!E116=0,"","+" &amp; 'Sensor Detail'!E116)</f>
        <v/>
      </c>
      <c r="AI114" s="27" t="str">
        <f t="shared" si="27"/>
        <v/>
      </c>
      <c r="AJ114" s="27" t="str">
        <f>IF('Sensor Detail'!J116=0,"",'Sensor Detail'!J116)</f>
        <v/>
      </c>
      <c r="AK114" s="27" t="str">
        <f>IF('Sensor Detail'!K116=0,"",'Sensor Detail'!K116)</f>
        <v/>
      </c>
      <c r="AL114" s="27" t="str">
        <f>IF('Sensor Detail'!L116=0,"",'Sensor Detail'!L116)</f>
        <v/>
      </c>
      <c r="AM114" s="27" t="str">
        <f>IF('Sensor Detail'!M116=0,"",'Sensor Detail'!M116)</f>
        <v/>
      </c>
      <c r="AN114" s="27" t="str">
        <f>IF('Sensor Detail'!N116=0,"",'Sensor Detail'!N116)</f>
        <v/>
      </c>
      <c r="AO114" s="27" t="str">
        <f>IF('Sensor Detail'!O116=0,"",'Sensor Detail'!O116)</f>
        <v/>
      </c>
      <c r="AP114" s="15" t="str">
        <f t="shared" si="28"/>
        <v/>
      </c>
      <c r="AQ114" s="15" t="str">
        <f t="shared" si="29"/>
        <v/>
      </c>
    </row>
    <row r="115" spans="1:43">
      <c r="A115" s="13" t="str">
        <f t="shared" si="15"/>
        <v/>
      </c>
      <c r="B115" s="13" t="str">
        <f t="shared" si="16"/>
        <v/>
      </c>
      <c r="C115" s="15" t="str">
        <f t="shared" si="17"/>
        <v/>
      </c>
      <c r="D115" s="15" t="str">
        <f t="shared" si="18"/>
        <v/>
      </c>
      <c r="E115" s="15" t="str">
        <f t="shared" si="19"/>
        <v/>
      </c>
      <c r="F115" s="15" t="str">
        <f t="shared" si="20"/>
        <v/>
      </c>
      <c r="G115" s="15" t="str">
        <f t="shared" si="21"/>
        <v/>
      </c>
      <c r="H115" s="15" t="str">
        <f t="shared" si="22"/>
        <v/>
      </c>
      <c r="I115" s="15" t="str">
        <f t="shared" si="23"/>
        <v/>
      </c>
      <c r="J115" s="15" t="str">
        <f t="shared" si="24"/>
        <v/>
      </c>
      <c r="K115" s="13" t="str">
        <f>IF('Cylinder Detail'!U117=0,"",'Cylinder Detail'!U117)</f>
        <v/>
      </c>
      <c r="L115" s="13" t="str">
        <f>IF('Cylinder Detail'!Z117=0,"",_xlfn.TEXTBEFORE('Cylinder Detail'!Z117, ","))</f>
        <v/>
      </c>
      <c r="M115" s="13" t="str">
        <f t="shared" si="25"/>
        <v/>
      </c>
      <c r="N115" s="17" t="str">
        <f>IF('Cylinder Detail'!V117=0,"",'Cylinder Detail'!V117)</f>
        <v/>
      </c>
      <c r="O115" s="17" t="str">
        <f>IF('Cylinder Detail'!Z117=0,"",_xlfn.TEXTAFTER('Cylinder Detail'!Z117, ", "))</f>
        <v/>
      </c>
      <c r="P115" s="17" t="str">
        <f>IF('Cylinder Detail'!AA117=0,"",'Cylinder Detail'!AA117)</f>
        <v/>
      </c>
      <c r="Q115" s="19" t="str">
        <f>IF('Cylinder Detail'!W117=0,"",'Cylinder Detail'!W117)</f>
        <v/>
      </c>
      <c r="R115" s="19" t="str">
        <f>IF('Cylinder Detail'!Y117=0,"",'Cylinder Detail'!Y117)</f>
        <v/>
      </c>
      <c r="S115" s="21" t="str">
        <f>IF('Cylinder Detail'!X117=0,"",'Cylinder Detail'!X117)</f>
        <v/>
      </c>
      <c r="T115" s="21" t="str">
        <f>IF('Cylinder Detail'!F117=0,"",'Cylinder Detail'!F117)</f>
        <v/>
      </c>
      <c r="U115" s="21" t="str">
        <f>IF('Cylinder Detail'!R117=0,"",'Cylinder Detail'!R117)</f>
        <v/>
      </c>
      <c r="V115" s="21" t="str">
        <f>IF('Cylinder Detail'!Q117=0,"",'Cylinder Detail'!Q117)</f>
        <v/>
      </c>
      <c r="W115" s="21" t="str">
        <f>IF('Cylinder Detail'!E117=0,"","+" &amp; 'Cylinder Detail'!E117)</f>
        <v/>
      </c>
      <c r="X115" s="21" t="str">
        <f t="shared" si="26"/>
        <v/>
      </c>
      <c r="Y115" s="21" t="str">
        <f>IF('Cylinder Detail'!S117=0,"",'Cylinder Detail'!S117)</f>
        <v/>
      </c>
      <c r="Z115" s="21" t="str">
        <f>IF('Cylinder Detail'!T117=0,"",'Cylinder Detail'!T117)</f>
        <v/>
      </c>
      <c r="AA115" s="21" t="str">
        <f>IF('Cylinder Detail'!H117=0,"",'Cylinder Detail'!H117)</f>
        <v/>
      </c>
      <c r="AB115" s="21" t="str">
        <f>IF('Cylinder Detail'!I117=0,"",'Cylinder Detail'!I117)</f>
        <v/>
      </c>
      <c r="AC115" s="22" t="str">
        <f>IF('Cylinder Detail'!AB117=0,"",'Cylinder Detail'!AB117)</f>
        <v/>
      </c>
      <c r="AD115" s="25" t="str">
        <f>IF('Sensor Detail'!F117=0,"","=" &amp; 'Sensor Detail'!F117)</f>
        <v/>
      </c>
      <c r="AE115" s="25" t="str">
        <f>IF('Sensor Detail'!H117=0,"",'Sensor Detail'!H117)</f>
        <v/>
      </c>
      <c r="AF115" s="27" t="str">
        <f>IF('Sensor Detail'!G117=0,"","-" &amp; 'Sensor Detail'!G117)</f>
        <v/>
      </c>
      <c r="AG115" s="27" t="str">
        <f>IF('Sensor Detail'!I117=0,"",'Sensor Detail'!I117)</f>
        <v/>
      </c>
      <c r="AH115" s="27" t="str">
        <f>IF('Sensor Detail'!E117=0,"","+" &amp; 'Sensor Detail'!E117)</f>
        <v/>
      </c>
      <c r="AI115" s="27" t="str">
        <f t="shared" si="27"/>
        <v/>
      </c>
      <c r="AJ115" s="27" t="str">
        <f>IF('Sensor Detail'!J117=0,"",'Sensor Detail'!J117)</f>
        <v/>
      </c>
      <c r="AK115" s="27" t="str">
        <f>IF('Sensor Detail'!K117=0,"",'Sensor Detail'!K117)</f>
        <v/>
      </c>
      <c r="AL115" s="27" t="str">
        <f>IF('Sensor Detail'!L117=0,"",'Sensor Detail'!L117)</f>
        <v/>
      </c>
      <c r="AM115" s="27" t="str">
        <f>IF('Sensor Detail'!M117=0,"",'Sensor Detail'!M117)</f>
        <v/>
      </c>
      <c r="AN115" s="27" t="str">
        <f>IF('Sensor Detail'!N117=0,"",'Sensor Detail'!N117)</f>
        <v/>
      </c>
      <c r="AO115" s="27" t="str">
        <f>IF('Sensor Detail'!O117=0,"",'Sensor Detail'!O117)</f>
        <v/>
      </c>
      <c r="AP115" s="15" t="str">
        <f t="shared" si="28"/>
        <v/>
      </c>
      <c r="AQ115" s="15" t="str">
        <f t="shared" si="29"/>
        <v/>
      </c>
    </row>
    <row r="116" spans="1:43">
      <c r="A116" s="13" t="str">
        <f t="shared" si="15"/>
        <v/>
      </c>
      <c r="B116" s="13" t="str">
        <f t="shared" si="16"/>
        <v/>
      </c>
      <c r="C116" s="15" t="str">
        <f t="shared" si="17"/>
        <v/>
      </c>
      <c r="D116" s="15" t="str">
        <f t="shared" si="18"/>
        <v/>
      </c>
      <c r="E116" s="15" t="str">
        <f t="shared" si="19"/>
        <v/>
      </c>
      <c r="F116" s="15" t="str">
        <f t="shared" si="20"/>
        <v/>
      </c>
      <c r="G116" s="15" t="str">
        <f t="shared" si="21"/>
        <v/>
      </c>
      <c r="H116" s="15" t="str">
        <f t="shared" si="22"/>
        <v/>
      </c>
      <c r="I116" s="15" t="str">
        <f t="shared" si="23"/>
        <v/>
      </c>
      <c r="J116" s="15" t="str">
        <f t="shared" si="24"/>
        <v/>
      </c>
      <c r="K116" s="13" t="str">
        <f>IF('Cylinder Detail'!U118=0,"",'Cylinder Detail'!U118)</f>
        <v/>
      </c>
      <c r="L116" s="13" t="str">
        <f>IF('Cylinder Detail'!Z118=0,"",_xlfn.TEXTBEFORE('Cylinder Detail'!Z118, ","))</f>
        <v/>
      </c>
      <c r="M116" s="13" t="str">
        <f t="shared" si="25"/>
        <v/>
      </c>
      <c r="N116" s="17" t="str">
        <f>IF('Cylinder Detail'!V118=0,"",'Cylinder Detail'!V118)</f>
        <v/>
      </c>
      <c r="O116" s="17" t="str">
        <f>IF('Cylinder Detail'!Z118=0,"",_xlfn.TEXTAFTER('Cylinder Detail'!Z118, ", "))</f>
        <v/>
      </c>
      <c r="P116" s="17" t="str">
        <f>IF('Cylinder Detail'!AA118=0,"",'Cylinder Detail'!AA118)</f>
        <v/>
      </c>
      <c r="Q116" s="19" t="str">
        <f>IF('Cylinder Detail'!W118=0,"",'Cylinder Detail'!W118)</f>
        <v/>
      </c>
      <c r="R116" s="19" t="str">
        <f>IF('Cylinder Detail'!Y118=0,"",'Cylinder Detail'!Y118)</f>
        <v/>
      </c>
      <c r="S116" s="21" t="str">
        <f>IF('Cylinder Detail'!X118=0,"",'Cylinder Detail'!X118)</f>
        <v/>
      </c>
      <c r="T116" s="21" t="str">
        <f>IF('Cylinder Detail'!F118=0,"",'Cylinder Detail'!F118)</f>
        <v/>
      </c>
      <c r="U116" s="21" t="str">
        <f>IF('Cylinder Detail'!R118=0,"",'Cylinder Detail'!R118)</f>
        <v/>
      </c>
      <c r="V116" s="21" t="str">
        <f>IF('Cylinder Detail'!Q118=0,"",'Cylinder Detail'!Q118)</f>
        <v/>
      </c>
      <c r="W116" s="21" t="str">
        <f>IF('Cylinder Detail'!E118=0,"","+" &amp; 'Cylinder Detail'!E118)</f>
        <v/>
      </c>
      <c r="X116" s="21" t="str">
        <f t="shared" si="26"/>
        <v/>
      </c>
      <c r="Y116" s="21" t="str">
        <f>IF('Cylinder Detail'!S118=0,"",'Cylinder Detail'!S118)</f>
        <v/>
      </c>
      <c r="Z116" s="21" t="str">
        <f>IF('Cylinder Detail'!T118=0,"",'Cylinder Detail'!T118)</f>
        <v/>
      </c>
      <c r="AA116" s="21" t="str">
        <f>IF('Cylinder Detail'!H118=0,"",'Cylinder Detail'!H118)</f>
        <v/>
      </c>
      <c r="AB116" s="21" t="str">
        <f>IF('Cylinder Detail'!I118=0,"",'Cylinder Detail'!I118)</f>
        <v/>
      </c>
      <c r="AC116" s="22" t="str">
        <f>IF('Cylinder Detail'!AB118=0,"",'Cylinder Detail'!AB118)</f>
        <v/>
      </c>
      <c r="AD116" s="25" t="str">
        <f>IF('Sensor Detail'!F118=0,"","=" &amp; 'Sensor Detail'!F118)</f>
        <v/>
      </c>
      <c r="AE116" s="25" t="str">
        <f>IF('Sensor Detail'!H118=0,"",'Sensor Detail'!H118)</f>
        <v/>
      </c>
      <c r="AF116" s="27" t="str">
        <f>IF('Sensor Detail'!G118=0,"","-" &amp; 'Sensor Detail'!G118)</f>
        <v/>
      </c>
      <c r="AG116" s="27" t="str">
        <f>IF('Sensor Detail'!I118=0,"",'Sensor Detail'!I118)</f>
        <v/>
      </c>
      <c r="AH116" s="27" t="str">
        <f>IF('Sensor Detail'!E118=0,"","+" &amp; 'Sensor Detail'!E118)</f>
        <v/>
      </c>
      <c r="AI116" s="27" t="str">
        <f t="shared" si="27"/>
        <v/>
      </c>
      <c r="AJ116" s="27" t="str">
        <f>IF('Sensor Detail'!J118=0,"",'Sensor Detail'!J118)</f>
        <v/>
      </c>
      <c r="AK116" s="27" t="str">
        <f>IF('Sensor Detail'!K118=0,"",'Sensor Detail'!K118)</f>
        <v/>
      </c>
      <c r="AL116" s="27" t="str">
        <f>IF('Sensor Detail'!L118=0,"",'Sensor Detail'!L118)</f>
        <v/>
      </c>
      <c r="AM116" s="27" t="str">
        <f>IF('Sensor Detail'!M118=0,"",'Sensor Detail'!M118)</f>
        <v/>
      </c>
      <c r="AN116" s="27" t="str">
        <f>IF('Sensor Detail'!N118=0,"",'Sensor Detail'!N118)</f>
        <v/>
      </c>
      <c r="AO116" s="27" t="str">
        <f>IF('Sensor Detail'!O118=0,"",'Sensor Detail'!O118)</f>
        <v/>
      </c>
      <c r="AP116" s="15" t="str">
        <f t="shared" si="28"/>
        <v/>
      </c>
      <c r="AQ116" s="15" t="str">
        <f t="shared" si="29"/>
        <v/>
      </c>
    </row>
    <row r="117" spans="1:43">
      <c r="A117" s="13" t="str">
        <f t="shared" si="15"/>
        <v/>
      </c>
      <c r="B117" s="13" t="str">
        <f t="shared" si="16"/>
        <v/>
      </c>
      <c r="C117" s="15" t="str">
        <f t="shared" si="17"/>
        <v/>
      </c>
      <c r="D117" s="15" t="str">
        <f t="shared" si="18"/>
        <v/>
      </c>
      <c r="E117" s="15" t="str">
        <f t="shared" si="19"/>
        <v/>
      </c>
      <c r="F117" s="15" t="str">
        <f t="shared" si="20"/>
        <v/>
      </c>
      <c r="G117" s="15" t="str">
        <f t="shared" si="21"/>
        <v/>
      </c>
      <c r="H117" s="15" t="str">
        <f t="shared" si="22"/>
        <v/>
      </c>
      <c r="I117" s="15" t="str">
        <f t="shared" si="23"/>
        <v/>
      </c>
      <c r="J117" s="15" t="str">
        <f t="shared" si="24"/>
        <v/>
      </c>
      <c r="K117" s="13" t="str">
        <f>IF('Cylinder Detail'!U119=0,"",'Cylinder Detail'!U119)</f>
        <v/>
      </c>
      <c r="L117" s="13" t="str">
        <f>IF('Cylinder Detail'!Z119=0,"",_xlfn.TEXTBEFORE('Cylinder Detail'!Z119, ","))</f>
        <v/>
      </c>
      <c r="M117" s="13" t="str">
        <f t="shared" si="25"/>
        <v/>
      </c>
      <c r="N117" s="17" t="str">
        <f>IF('Cylinder Detail'!V119=0,"",'Cylinder Detail'!V119)</f>
        <v/>
      </c>
      <c r="O117" s="17" t="str">
        <f>IF('Cylinder Detail'!Z119=0,"",_xlfn.TEXTAFTER('Cylinder Detail'!Z119, ", "))</f>
        <v/>
      </c>
      <c r="P117" s="17" t="str">
        <f>IF('Cylinder Detail'!AA119=0,"",'Cylinder Detail'!AA119)</f>
        <v/>
      </c>
      <c r="Q117" s="19" t="str">
        <f>IF('Cylinder Detail'!W119=0,"",'Cylinder Detail'!W119)</f>
        <v/>
      </c>
      <c r="R117" s="19" t="str">
        <f>IF('Cylinder Detail'!Y119=0,"",'Cylinder Detail'!Y119)</f>
        <v/>
      </c>
      <c r="S117" s="21" t="str">
        <f>IF('Cylinder Detail'!X119=0,"",'Cylinder Detail'!X119)</f>
        <v/>
      </c>
      <c r="T117" s="21" t="str">
        <f>IF('Cylinder Detail'!F119=0,"",'Cylinder Detail'!F119)</f>
        <v/>
      </c>
      <c r="U117" s="21" t="str">
        <f>IF('Cylinder Detail'!R119=0,"",'Cylinder Detail'!R119)</f>
        <v/>
      </c>
      <c r="V117" s="21" t="str">
        <f>IF('Cylinder Detail'!Q119=0,"",'Cylinder Detail'!Q119)</f>
        <v/>
      </c>
      <c r="W117" s="21" t="str">
        <f>IF('Cylinder Detail'!E119=0,"","+" &amp; 'Cylinder Detail'!E119)</f>
        <v/>
      </c>
      <c r="X117" s="21" t="str">
        <f t="shared" si="26"/>
        <v/>
      </c>
      <c r="Y117" s="21" t="str">
        <f>IF('Cylinder Detail'!S119=0,"",'Cylinder Detail'!S119)</f>
        <v/>
      </c>
      <c r="Z117" s="21" t="str">
        <f>IF('Cylinder Detail'!T119=0,"",'Cylinder Detail'!T119)</f>
        <v/>
      </c>
      <c r="AA117" s="21" t="str">
        <f>IF('Cylinder Detail'!H119=0,"",'Cylinder Detail'!H119)</f>
        <v/>
      </c>
      <c r="AB117" s="21" t="str">
        <f>IF('Cylinder Detail'!I119=0,"",'Cylinder Detail'!I119)</f>
        <v/>
      </c>
      <c r="AC117" s="22" t="str">
        <f>IF('Cylinder Detail'!AB119=0,"",'Cylinder Detail'!AB119)</f>
        <v/>
      </c>
      <c r="AD117" s="25" t="str">
        <f>IF('Sensor Detail'!F119=0,"","=" &amp; 'Sensor Detail'!F119)</f>
        <v/>
      </c>
      <c r="AE117" s="25" t="str">
        <f>IF('Sensor Detail'!H119=0,"",'Sensor Detail'!H119)</f>
        <v/>
      </c>
      <c r="AF117" s="27" t="str">
        <f>IF('Sensor Detail'!G119=0,"","-" &amp; 'Sensor Detail'!G119)</f>
        <v/>
      </c>
      <c r="AG117" s="27" t="str">
        <f>IF('Sensor Detail'!I119=0,"",'Sensor Detail'!I119)</f>
        <v/>
      </c>
      <c r="AH117" s="27" t="str">
        <f>IF('Sensor Detail'!E119=0,"","+" &amp; 'Sensor Detail'!E119)</f>
        <v/>
      </c>
      <c r="AI117" s="27" t="str">
        <f t="shared" si="27"/>
        <v/>
      </c>
      <c r="AJ117" s="27" t="str">
        <f>IF('Sensor Detail'!J119=0,"",'Sensor Detail'!J119)</f>
        <v/>
      </c>
      <c r="AK117" s="27" t="str">
        <f>IF('Sensor Detail'!K119=0,"",'Sensor Detail'!K119)</f>
        <v/>
      </c>
      <c r="AL117" s="27" t="str">
        <f>IF('Sensor Detail'!L119=0,"",'Sensor Detail'!L119)</f>
        <v/>
      </c>
      <c r="AM117" s="27" t="str">
        <f>IF('Sensor Detail'!M119=0,"",'Sensor Detail'!M119)</f>
        <v/>
      </c>
      <c r="AN117" s="27" t="str">
        <f>IF('Sensor Detail'!N119=0,"",'Sensor Detail'!N119)</f>
        <v/>
      </c>
      <c r="AO117" s="27" t="str">
        <f>IF('Sensor Detail'!O119=0,"",'Sensor Detail'!O119)</f>
        <v/>
      </c>
      <c r="AP117" s="15" t="str">
        <f t="shared" si="28"/>
        <v/>
      </c>
      <c r="AQ117" s="15" t="str">
        <f t="shared" si="29"/>
        <v/>
      </c>
    </row>
    <row r="118" spans="1:43">
      <c r="A118" s="13" t="str">
        <f t="shared" si="15"/>
        <v/>
      </c>
      <c r="B118" s="13" t="str">
        <f t="shared" si="16"/>
        <v/>
      </c>
      <c r="C118" s="15" t="str">
        <f t="shared" si="17"/>
        <v/>
      </c>
      <c r="D118" s="15" t="str">
        <f t="shared" si="18"/>
        <v/>
      </c>
      <c r="E118" s="15" t="str">
        <f t="shared" si="19"/>
        <v/>
      </c>
      <c r="F118" s="15" t="str">
        <f t="shared" si="20"/>
        <v/>
      </c>
      <c r="G118" s="15" t="str">
        <f t="shared" si="21"/>
        <v/>
      </c>
      <c r="H118" s="15" t="str">
        <f t="shared" si="22"/>
        <v/>
      </c>
      <c r="I118" s="15" t="str">
        <f t="shared" si="23"/>
        <v/>
      </c>
      <c r="J118" s="15" t="str">
        <f t="shared" si="24"/>
        <v/>
      </c>
      <c r="K118" s="13" t="str">
        <f>IF('Cylinder Detail'!U120=0,"",'Cylinder Detail'!U120)</f>
        <v/>
      </c>
      <c r="L118" s="13" t="str">
        <f>IF('Cylinder Detail'!Z120=0,"",_xlfn.TEXTBEFORE('Cylinder Detail'!Z120, ","))</f>
        <v/>
      </c>
      <c r="M118" s="13" t="str">
        <f t="shared" si="25"/>
        <v/>
      </c>
      <c r="N118" s="17" t="str">
        <f>IF('Cylinder Detail'!V120=0,"",'Cylinder Detail'!V120)</f>
        <v/>
      </c>
      <c r="O118" s="17" t="str">
        <f>IF('Cylinder Detail'!Z120=0,"",_xlfn.TEXTAFTER('Cylinder Detail'!Z120, ", "))</f>
        <v/>
      </c>
      <c r="P118" s="17" t="str">
        <f>IF('Cylinder Detail'!AA120=0,"",'Cylinder Detail'!AA120)</f>
        <v/>
      </c>
      <c r="Q118" s="19" t="str">
        <f>IF('Cylinder Detail'!W120=0,"",'Cylinder Detail'!W120)</f>
        <v/>
      </c>
      <c r="R118" s="19" t="str">
        <f>IF('Cylinder Detail'!Y120=0,"",'Cylinder Detail'!Y120)</f>
        <v/>
      </c>
      <c r="S118" s="21" t="str">
        <f>IF('Cylinder Detail'!X120=0,"",'Cylinder Detail'!X120)</f>
        <v/>
      </c>
      <c r="T118" s="21" t="str">
        <f>IF('Cylinder Detail'!F120=0,"",'Cylinder Detail'!F120)</f>
        <v/>
      </c>
      <c r="U118" s="21" t="str">
        <f>IF('Cylinder Detail'!R120=0,"",'Cylinder Detail'!R120)</f>
        <v/>
      </c>
      <c r="V118" s="21" t="str">
        <f>IF('Cylinder Detail'!Q120=0,"",'Cylinder Detail'!Q120)</f>
        <v/>
      </c>
      <c r="W118" s="21" t="str">
        <f>IF('Cylinder Detail'!E120=0,"","+" &amp; 'Cylinder Detail'!E120)</f>
        <v/>
      </c>
      <c r="X118" s="21" t="str">
        <f t="shared" si="26"/>
        <v/>
      </c>
      <c r="Y118" s="21" t="str">
        <f>IF('Cylinder Detail'!S120=0,"",'Cylinder Detail'!S120)</f>
        <v/>
      </c>
      <c r="Z118" s="21" t="str">
        <f>IF('Cylinder Detail'!T120=0,"",'Cylinder Detail'!T120)</f>
        <v/>
      </c>
      <c r="AA118" s="21" t="str">
        <f>IF('Cylinder Detail'!H120=0,"",'Cylinder Detail'!H120)</f>
        <v/>
      </c>
      <c r="AB118" s="21" t="str">
        <f>IF('Cylinder Detail'!I120=0,"",'Cylinder Detail'!I120)</f>
        <v/>
      </c>
      <c r="AC118" s="22" t="str">
        <f>IF('Cylinder Detail'!AB120=0,"",'Cylinder Detail'!AB120)</f>
        <v/>
      </c>
      <c r="AD118" s="25" t="str">
        <f>IF('Sensor Detail'!F120=0,"","=" &amp; 'Sensor Detail'!F120)</f>
        <v/>
      </c>
      <c r="AE118" s="25" t="str">
        <f>IF('Sensor Detail'!H120=0,"",'Sensor Detail'!H120)</f>
        <v/>
      </c>
      <c r="AF118" s="27" t="str">
        <f>IF('Sensor Detail'!G120=0,"","-" &amp; 'Sensor Detail'!G120)</f>
        <v/>
      </c>
      <c r="AG118" s="27" t="str">
        <f>IF('Sensor Detail'!I120=0,"",'Sensor Detail'!I120)</f>
        <v/>
      </c>
      <c r="AH118" s="27" t="str">
        <f>IF('Sensor Detail'!E120=0,"","+" &amp; 'Sensor Detail'!E120)</f>
        <v/>
      </c>
      <c r="AI118" s="27" t="str">
        <f t="shared" si="27"/>
        <v/>
      </c>
      <c r="AJ118" s="27" t="str">
        <f>IF('Sensor Detail'!J120=0,"",'Sensor Detail'!J120)</f>
        <v/>
      </c>
      <c r="AK118" s="27" t="str">
        <f>IF('Sensor Detail'!K120=0,"",'Sensor Detail'!K120)</f>
        <v/>
      </c>
      <c r="AL118" s="27" t="str">
        <f>IF('Sensor Detail'!L120=0,"",'Sensor Detail'!L120)</f>
        <v/>
      </c>
      <c r="AM118" s="27" t="str">
        <f>IF('Sensor Detail'!M120=0,"",'Sensor Detail'!M120)</f>
        <v/>
      </c>
      <c r="AN118" s="27" t="str">
        <f>IF('Sensor Detail'!N120=0,"",'Sensor Detail'!N120)</f>
        <v/>
      </c>
      <c r="AO118" s="27" t="str">
        <f>IF('Sensor Detail'!O120=0,"",'Sensor Detail'!O120)</f>
        <v/>
      </c>
      <c r="AP118" s="15" t="str">
        <f t="shared" si="28"/>
        <v/>
      </c>
      <c r="AQ118" s="15" t="str">
        <f t="shared" si="29"/>
        <v/>
      </c>
    </row>
    <row r="119" spans="1:43">
      <c r="A119" s="13" t="str">
        <f t="shared" si="15"/>
        <v/>
      </c>
      <c r="B119" s="13" t="str">
        <f t="shared" si="16"/>
        <v/>
      </c>
      <c r="C119" s="15" t="str">
        <f t="shared" si="17"/>
        <v/>
      </c>
      <c r="D119" s="15" t="str">
        <f t="shared" si="18"/>
        <v/>
      </c>
      <c r="E119" s="15" t="str">
        <f t="shared" si="19"/>
        <v/>
      </c>
      <c r="F119" s="15" t="str">
        <f t="shared" si="20"/>
        <v/>
      </c>
      <c r="G119" s="15" t="str">
        <f t="shared" si="21"/>
        <v/>
      </c>
      <c r="H119" s="15" t="str">
        <f t="shared" si="22"/>
        <v/>
      </c>
      <c r="I119" s="15" t="str">
        <f t="shared" si="23"/>
        <v/>
      </c>
      <c r="J119" s="15" t="str">
        <f t="shared" si="24"/>
        <v/>
      </c>
      <c r="K119" s="13" t="str">
        <f>IF('Cylinder Detail'!U121=0,"",'Cylinder Detail'!U121)</f>
        <v/>
      </c>
      <c r="L119" s="13" t="str">
        <f>IF('Cylinder Detail'!Z121=0,"",_xlfn.TEXTBEFORE('Cylinder Detail'!Z121, ","))</f>
        <v/>
      </c>
      <c r="M119" s="13" t="str">
        <f t="shared" si="25"/>
        <v/>
      </c>
      <c r="N119" s="17" t="str">
        <f>IF('Cylinder Detail'!V121=0,"",'Cylinder Detail'!V121)</f>
        <v/>
      </c>
      <c r="O119" s="17" t="str">
        <f>IF('Cylinder Detail'!Z121=0,"",_xlfn.TEXTAFTER('Cylinder Detail'!Z121, ", "))</f>
        <v/>
      </c>
      <c r="P119" s="17" t="str">
        <f>IF('Cylinder Detail'!AA121=0,"",'Cylinder Detail'!AA121)</f>
        <v/>
      </c>
      <c r="Q119" s="19" t="str">
        <f>IF('Cylinder Detail'!W121=0,"",'Cylinder Detail'!W121)</f>
        <v/>
      </c>
      <c r="R119" s="19" t="str">
        <f>IF('Cylinder Detail'!Y121=0,"",'Cylinder Detail'!Y121)</f>
        <v/>
      </c>
      <c r="S119" s="21" t="str">
        <f>IF('Cylinder Detail'!X121=0,"",'Cylinder Detail'!X121)</f>
        <v/>
      </c>
      <c r="T119" s="21" t="str">
        <f>IF('Cylinder Detail'!F121=0,"",'Cylinder Detail'!F121)</f>
        <v/>
      </c>
      <c r="U119" s="21" t="str">
        <f>IF('Cylinder Detail'!R121=0,"",'Cylinder Detail'!R121)</f>
        <v/>
      </c>
      <c r="V119" s="21" t="str">
        <f>IF('Cylinder Detail'!Q121=0,"",'Cylinder Detail'!Q121)</f>
        <v/>
      </c>
      <c r="W119" s="21" t="str">
        <f>IF('Cylinder Detail'!E121=0,"","+" &amp; 'Cylinder Detail'!E121)</f>
        <v/>
      </c>
      <c r="X119" s="21" t="str">
        <f t="shared" si="26"/>
        <v/>
      </c>
      <c r="Y119" s="21" t="str">
        <f>IF('Cylinder Detail'!S121=0,"",'Cylinder Detail'!S121)</f>
        <v/>
      </c>
      <c r="Z119" s="21" t="str">
        <f>IF('Cylinder Detail'!T121=0,"",'Cylinder Detail'!T121)</f>
        <v/>
      </c>
      <c r="AA119" s="21" t="str">
        <f>IF('Cylinder Detail'!H121=0,"",'Cylinder Detail'!H121)</f>
        <v/>
      </c>
      <c r="AB119" s="21" t="str">
        <f>IF('Cylinder Detail'!I121=0,"",'Cylinder Detail'!I121)</f>
        <v/>
      </c>
      <c r="AC119" s="22" t="str">
        <f>IF('Cylinder Detail'!AB121=0,"",'Cylinder Detail'!AB121)</f>
        <v/>
      </c>
      <c r="AD119" s="25" t="str">
        <f>IF('Sensor Detail'!F121=0,"","=" &amp; 'Sensor Detail'!F121)</f>
        <v/>
      </c>
      <c r="AE119" s="25" t="str">
        <f>IF('Sensor Detail'!H121=0,"",'Sensor Detail'!H121)</f>
        <v/>
      </c>
      <c r="AF119" s="27" t="str">
        <f>IF('Sensor Detail'!G121=0,"","-" &amp; 'Sensor Detail'!G121)</f>
        <v/>
      </c>
      <c r="AG119" s="27" t="str">
        <f>IF('Sensor Detail'!I121=0,"",'Sensor Detail'!I121)</f>
        <v/>
      </c>
      <c r="AH119" s="27" t="str">
        <f>IF('Sensor Detail'!E121=0,"","+" &amp; 'Sensor Detail'!E121)</f>
        <v/>
      </c>
      <c r="AI119" s="27" t="str">
        <f t="shared" si="27"/>
        <v/>
      </c>
      <c r="AJ119" s="27" t="str">
        <f>IF('Sensor Detail'!J121=0,"",'Sensor Detail'!J121)</f>
        <v/>
      </c>
      <c r="AK119" s="27" t="str">
        <f>IF('Sensor Detail'!K121=0,"",'Sensor Detail'!K121)</f>
        <v/>
      </c>
      <c r="AL119" s="27" t="str">
        <f>IF('Sensor Detail'!L121=0,"",'Sensor Detail'!L121)</f>
        <v/>
      </c>
      <c r="AM119" s="27" t="str">
        <f>IF('Sensor Detail'!M121=0,"",'Sensor Detail'!M121)</f>
        <v/>
      </c>
      <c r="AN119" s="27" t="str">
        <f>IF('Sensor Detail'!N121=0,"",'Sensor Detail'!N121)</f>
        <v/>
      </c>
      <c r="AO119" s="27" t="str">
        <f>IF('Sensor Detail'!O121=0,"",'Sensor Detail'!O121)</f>
        <v/>
      </c>
      <c r="AP119" s="15" t="str">
        <f t="shared" si="28"/>
        <v/>
      </c>
      <c r="AQ119" s="15" t="str">
        <f t="shared" si="29"/>
        <v/>
      </c>
    </row>
    <row r="120" spans="1:43">
      <c r="A120" s="13" t="str">
        <f t="shared" si="15"/>
        <v/>
      </c>
      <c r="B120" s="13" t="str">
        <f t="shared" si="16"/>
        <v/>
      </c>
      <c r="C120" s="15" t="str">
        <f t="shared" si="17"/>
        <v/>
      </c>
      <c r="D120" s="15" t="str">
        <f t="shared" si="18"/>
        <v/>
      </c>
      <c r="E120" s="15" t="str">
        <f t="shared" si="19"/>
        <v/>
      </c>
      <c r="F120" s="15" t="str">
        <f t="shared" si="20"/>
        <v/>
      </c>
      <c r="G120" s="15" t="str">
        <f t="shared" si="21"/>
        <v/>
      </c>
      <c r="H120" s="15" t="str">
        <f t="shared" si="22"/>
        <v/>
      </c>
      <c r="I120" s="15" t="str">
        <f t="shared" si="23"/>
        <v/>
      </c>
      <c r="J120" s="15" t="str">
        <f t="shared" si="24"/>
        <v/>
      </c>
      <c r="K120" s="13" t="str">
        <f>IF('Cylinder Detail'!U122=0,"",'Cylinder Detail'!U122)</f>
        <v/>
      </c>
      <c r="L120" s="13" t="str">
        <f>IF('Cylinder Detail'!Z122=0,"",_xlfn.TEXTBEFORE('Cylinder Detail'!Z122, ","))</f>
        <v/>
      </c>
      <c r="M120" s="13" t="str">
        <f t="shared" si="25"/>
        <v/>
      </c>
      <c r="N120" s="17" t="str">
        <f>IF('Cylinder Detail'!V122=0,"",'Cylinder Detail'!V122)</f>
        <v/>
      </c>
      <c r="O120" s="17" t="str">
        <f>IF('Cylinder Detail'!Z122=0,"",_xlfn.TEXTAFTER('Cylinder Detail'!Z122, ", "))</f>
        <v/>
      </c>
      <c r="P120" s="17" t="str">
        <f>IF('Cylinder Detail'!AA122=0,"",'Cylinder Detail'!AA122)</f>
        <v/>
      </c>
      <c r="Q120" s="19" t="str">
        <f>IF('Cylinder Detail'!W122=0,"",'Cylinder Detail'!W122)</f>
        <v/>
      </c>
      <c r="R120" s="19" t="str">
        <f>IF('Cylinder Detail'!Y122=0,"",'Cylinder Detail'!Y122)</f>
        <v/>
      </c>
      <c r="S120" s="21" t="str">
        <f>IF('Cylinder Detail'!X122=0,"",'Cylinder Detail'!X122)</f>
        <v/>
      </c>
      <c r="T120" s="21" t="str">
        <f>IF('Cylinder Detail'!F122=0,"",'Cylinder Detail'!F122)</f>
        <v/>
      </c>
      <c r="U120" s="21" t="str">
        <f>IF('Cylinder Detail'!R122=0,"",'Cylinder Detail'!R122)</f>
        <v/>
      </c>
      <c r="V120" s="21" t="str">
        <f>IF('Cylinder Detail'!Q122=0,"",'Cylinder Detail'!Q122)</f>
        <v/>
      </c>
      <c r="W120" s="21" t="str">
        <f>IF('Cylinder Detail'!E122=0,"","+" &amp; 'Cylinder Detail'!E122)</f>
        <v/>
      </c>
      <c r="X120" s="21" t="str">
        <f t="shared" si="26"/>
        <v/>
      </c>
      <c r="Y120" s="21" t="str">
        <f>IF('Cylinder Detail'!S122=0,"",'Cylinder Detail'!S122)</f>
        <v/>
      </c>
      <c r="Z120" s="21" t="str">
        <f>IF('Cylinder Detail'!T122=0,"",'Cylinder Detail'!T122)</f>
        <v/>
      </c>
      <c r="AA120" s="21" t="str">
        <f>IF('Cylinder Detail'!H122=0,"",'Cylinder Detail'!H122)</f>
        <v/>
      </c>
      <c r="AB120" s="21" t="str">
        <f>IF('Cylinder Detail'!I122=0,"",'Cylinder Detail'!I122)</f>
        <v/>
      </c>
      <c r="AC120" s="22" t="str">
        <f>IF('Cylinder Detail'!AB122=0,"",'Cylinder Detail'!AB122)</f>
        <v/>
      </c>
      <c r="AD120" s="25" t="str">
        <f>IF('Sensor Detail'!F122=0,"","=" &amp; 'Sensor Detail'!F122)</f>
        <v/>
      </c>
      <c r="AE120" s="25" t="str">
        <f>IF('Sensor Detail'!H122=0,"",'Sensor Detail'!H122)</f>
        <v/>
      </c>
      <c r="AF120" s="27" t="str">
        <f>IF('Sensor Detail'!G122=0,"","-" &amp; 'Sensor Detail'!G122)</f>
        <v/>
      </c>
      <c r="AG120" s="27" t="str">
        <f>IF('Sensor Detail'!I122=0,"",'Sensor Detail'!I122)</f>
        <v/>
      </c>
      <c r="AH120" s="27" t="str">
        <f>IF('Sensor Detail'!E122=0,"","+" &amp; 'Sensor Detail'!E122)</f>
        <v/>
      </c>
      <c r="AI120" s="27" t="str">
        <f t="shared" si="27"/>
        <v/>
      </c>
      <c r="AJ120" s="27" t="str">
        <f>IF('Sensor Detail'!J122=0,"",'Sensor Detail'!J122)</f>
        <v/>
      </c>
      <c r="AK120" s="27" t="str">
        <f>IF('Sensor Detail'!K122=0,"",'Sensor Detail'!K122)</f>
        <v/>
      </c>
      <c r="AL120" s="27" t="str">
        <f>IF('Sensor Detail'!L122=0,"",'Sensor Detail'!L122)</f>
        <v/>
      </c>
      <c r="AM120" s="27" t="str">
        <f>IF('Sensor Detail'!M122=0,"",'Sensor Detail'!M122)</f>
        <v/>
      </c>
      <c r="AN120" s="27" t="str">
        <f>IF('Sensor Detail'!N122=0,"",'Sensor Detail'!N122)</f>
        <v/>
      </c>
      <c r="AO120" s="27" t="str">
        <f>IF('Sensor Detail'!O122=0,"",'Sensor Detail'!O122)</f>
        <v/>
      </c>
      <c r="AP120" s="15" t="str">
        <f t="shared" si="28"/>
        <v/>
      </c>
      <c r="AQ120" s="15" t="str">
        <f t="shared" si="29"/>
        <v/>
      </c>
    </row>
    <row r="121" spans="1:43">
      <c r="A121" s="13" t="str">
        <f t="shared" si="15"/>
        <v/>
      </c>
      <c r="B121" s="13" t="str">
        <f t="shared" si="16"/>
        <v/>
      </c>
      <c r="C121" s="15" t="str">
        <f t="shared" si="17"/>
        <v/>
      </c>
      <c r="D121" s="15" t="str">
        <f t="shared" si="18"/>
        <v/>
      </c>
      <c r="E121" s="15" t="str">
        <f t="shared" si="19"/>
        <v/>
      </c>
      <c r="F121" s="15" t="str">
        <f t="shared" si="20"/>
        <v/>
      </c>
      <c r="G121" s="15" t="str">
        <f t="shared" si="21"/>
        <v/>
      </c>
      <c r="H121" s="15" t="str">
        <f t="shared" si="22"/>
        <v/>
      </c>
      <c r="I121" s="15" t="str">
        <f t="shared" si="23"/>
        <v/>
      </c>
      <c r="J121" s="15" t="str">
        <f t="shared" si="24"/>
        <v/>
      </c>
      <c r="K121" s="13" t="str">
        <f>IF('Cylinder Detail'!U123=0,"",'Cylinder Detail'!U123)</f>
        <v/>
      </c>
      <c r="L121" s="13" t="str">
        <f>IF('Cylinder Detail'!Z123=0,"",_xlfn.TEXTBEFORE('Cylinder Detail'!Z123, ","))</f>
        <v/>
      </c>
      <c r="M121" s="13" t="str">
        <f t="shared" si="25"/>
        <v/>
      </c>
      <c r="N121" s="17" t="str">
        <f>IF('Cylinder Detail'!V123=0,"",'Cylinder Detail'!V123)</f>
        <v/>
      </c>
      <c r="O121" s="17" t="str">
        <f>IF('Cylinder Detail'!Z123=0,"",_xlfn.TEXTAFTER('Cylinder Detail'!Z123, ", "))</f>
        <v/>
      </c>
      <c r="P121" s="17" t="str">
        <f>IF('Cylinder Detail'!AA123=0,"",'Cylinder Detail'!AA123)</f>
        <v/>
      </c>
      <c r="Q121" s="19" t="str">
        <f>IF('Cylinder Detail'!W123=0,"",'Cylinder Detail'!W123)</f>
        <v/>
      </c>
      <c r="R121" s="19" t="str">
        <f>IF('Cylinder Detail'!Y123=0,"",'Cylinder Detail'!Y123)</f>
        <v/>
      </c>
      <c r="S121" s="21" t="str">
        <f>IF('Cylinder Detail'!X123=0,"",'Cylinder Detail'!X123)</f>
        <v/>
      </c>
      <c r="T121" s="21" t="str">
        <f>IF('Cylinder Detail'!F123=0,"",'Cylinder Detail'!F123)</f>
        <v/>
      </c>
      <c r="U121" s="21" t="str">
        <f>IF('Cylinder Detail'!R123=0,"",'Cylinder Detail'!R123)</f>
        <v/>
      </c>
      <c r="V121" s="21" t="str">
        <f>IF('Cylinder Detail'!Q123=0,"",'Cylinder Detail'!Q123)</f>
        <v/>
      </c>
      <c r="W121" s="21" t="str">
        <f>IF('Cylinder Detail'!E123=0,"","+" &amp; 'Cylinder Detail'!E123)</f>
        <v/>
      </c>
      <c r="X121" s="21" t="str">
        <f t="shared" si="26"/>
        <v/>
      </c>
      <c r="Y121" s="21" t="str">
        <f>IF('Cylinder Detail'!S123=0,"",'Cylinder Detail'!S123)</f>
        <v/>
      </c>
      <c r="Z121" s="21" t="str">
        <f>IF('Cylinder Detail'!T123=0,"",'Cylinder Detail'!T123)</f>
        <v/>
      </c>
      <c r="AA121" s="21" t="str">
        <f>IF('Cylinder Detail'!H123=0,"",'Cylinder Detail'!H123)</f>
        <v/>
      </c>
      <c r="AB121" s="21" t="str">
        <f>IF('Cylinder Detail'!I123=0,"",'Cylinder Detail'!I123)</f>
        <v/>
      </c>
      <c r="AC121" s="22" t="str">
        <f>IF('Cylinder Detail'!AB123=0,"",'Cylinder Detail'!AB123)</f>
        <v/>
      </c>
      <c r="AD121" s="25" t="str">
        <f>IF('Sensor Detail'!F123=0,"","=" &amp; 'Sensor Detail'!F123)</f>
        <v/>
      </c>
      <c r="AE121" s="25" t="str">
        <f>IF('Sensor Detail'!H123=0,"",'Sensor Detail'!H123)</f>
        <v/>
      </c>
      <c r="AF121" s="27" t="str">
        <f>IF('Sensor Detail'!G123=0,"","-" &amp; 'Sensor Detail'!G123)</f>
        <v/>
      </c>
      <c r="AG121" s="27" t="str">
        <f>IF('Sensor Detail'!I123=0,"",'Sensor Detail'!I123)</f>
        <v/>
      </c>
      <c r="AH121" s="27" t="str">
        <f>IF('Sensor Detail'!E123=0,"","+" &amp; 'Sensor Detail'!E123)</f>
        <v/>
      </c>
      <c r="AI121" s="27" t="str">
        <f t="shared" si="27"/>
        <v/>
      </c>
      <c r="AJ121" s="27" t="str">
        <f>IF('Sensor Detail'!J123=0,"",'Sensor Detail'!J123)</f>
        <v/>
      </c>
      <c r="AK121" s="27" t="str">
        <f>IF('Sensor Detail'!K123=0,"",'Sensor Detail'!K123)</f>
        <v/>
      </c>
      <c r="AL121" s="27" t="str">
        <f>IF('Sensor Detail'!L123=0,"",'Sensor Detail'!L123)</f>
        <v/>
      </c>
      <c r="AM121" s="27" t="str">
        <f>IF('Sensor Detail'!M123=0,"",'Sensor Detail'!M123)</f>
        <v/>
      </c>
      <c r="AN121" s="27" t="str">
        <f>IF('Sensor Detail'!N123=0,"",'Sensor Detail'!N123)</f>
        <v/>
      </c>
      <c r="AO121" s="27" t="str">
        <f>IF('Sensor Detail'!O123=0,"",'Sensor Detail'!O123)</f>
        <v/>
      </c>
      <c r="AP121" s="15" t="str">
        <f t="shared" si="28"/>
        <v/>
      </c>
      <c r="AQ121" s="15" t="str">
        <f t="shared" si="29"/>
        <v/>
      </c>
    </row>
    <row r="122" spans="1:43">
      <c r="A122" s="13" t="str">
        <f t="shared" si="15"/>
        <v/>
      </c>
      <c r="B122" s="13" t="str">
        <f t="shared" si="16"/>
        <v/>
      </c>
      <c r="C122" s="15" t="str">
        <f t="shared" si="17"/>
        <v/>
      </c>
      <c r="D122" s="15" t="str">
        <f t="shared" si="18"/>
        <v/>
      </c>
      <c r="E122" s="15" t="str">
        <f t="shared" si="19"/>
        <v/>
      </c>
      <c r="F122" s="15" t="str">
        <f t="shared" si="20"/>
        <v/>
      </c>
      <c r="G122" s="15" t="str">
        <f t="shared" si="21"/>
        <v/>
      </c>
      <c r="H122" s="15" t="str">
        <f t="shared" si="22"/>
        <v/>
      </c>
      <c r="I122" s="15" t="str">
        <f t="shared" si="23"/>
        <v/>
      </c>
      <c r="J122" s="15" t="str">
        <f t="shared" si="24"/>
        <v/>
      </c>
      <c r="K122" s="13" t="str">
        <f>IF('Cylinder Detail'!U124=0,"",'Cylinder Detail'!U124)</f>
        <v/>
      </c>
      <c r="L122" s="13" t="str">
        <f>IF('Cylinder Detail'!Z124=0,"",_xlfn.TEXTBEFORE('Cylinder Detail'!Z124, ","))</f>
        <v/>
      </c>
      <c r="M122" s="13" t="str">
        <f t="shared" si="25"/>
        <v/>
      </c>
      <c r="N122" s="17" t="str">
        <f>IF('Cylinder Detail'!V124=0,"",'Cylinder Detail'!V124)</f>
        <v/>
      </c>
      <c r="O122" s="17" t="str">
        <f>IF('Cylinder Detail'!Z124=0,"",_xlfn.TEXTAFTER('Cylinder Detail'!Z124, ", "))</f>
        <v/>
      </c>
      <c r="P122" s="17" t="str">
        <f>IF('Cylinder Detail'!AA124=0,"",'Cylinder Detail'!AA124)</f>
        <v/>
      </c>
      <c r="Q122" s="19" t="str">
        <f>IF('Cylinder Detail'!W124=0,"",'Cylinder Detail'!W124)</f>
        <v/>
      </c>
      <c r="R122" s="19" t="str">
        <f>IF('Cylinder Detail'!Y124=0,"",'Cylinder Detail'!Y124)</f>
        <v/>
      </c>
      <c r="S122" s="21" t="str">
        <f>IF('Cylinder Detail'!X124=0,"",'Cylinder Detail'!X124)</f>
        <v/>
      </c>
      <c r="T122" s="21" t="str">
        <f>IF('Cylinder Detail'!F124=0,"",'Cylinder Detail'!F124)</f>
        <v/>
      </c>
      <c r="U122" s="21" t="str">
        <f>IF('Cylinder Detail'!R124=0,"",'Cylinder Detail'!R124)</f>
        <v/>
      </c>
      <c r="V122" s="21" t="str">
        <f>IF('Cylinder Detail'!Q124=0,"",'Cylinder Detail'!Q124)</f>
        <v/>
      </c>
      <c r="W122" s="21" t="str">
        <f>IF('Cylinder Detail'!E124=0,"","+" &amp; 'Cylinder Detail'!E124)</f>
        <v/>
      </c>
      <c r="X122" s="21" t="str">
        <f t="shared" si="26"/>
        <v/>
      </c>
      <c r="Y122" s="21" t="str">
        <f>IF('Cylinder Detail'!S124=0,"",'Cylinder Detail'!S124)</f>
        <v/>
      </c>
      <c r="Z122" s="21" t="str">
        <f>IF('Cylinder Detail'!T124=0,"",'Cylinder Detail'!T124)</f>
        <v/>
      </c>
      <c r="AA122" s="21" t="str">
        <f>IF('Cylinder Detail'!H124=0,"",'Cylinder Detail'!H124)</f>
        <v/>
      </c>
      <c r="AB122" s="21" t="str">
        <f>IF('Cylinder Detail'!I124=0,"",'Cylinder Detail'!I124)</f>
        <v/>
      </c>
      <c r="AC122" s="22" t="str">
        <f>IF('Cylinder Detail'!AB124=0,"",'Cylinder Detail'!AB124)</f>
        <v/>
      </c>
      <c r="AD122" s="25" t="str">
        <f>IF('Sensor Detail'!F124=0,"","=" &amp; 'Sensor Detail'!F124)</f>
        <v/>
      </c>
      <c r="AE122" s="25" t="str">
        <f>IF('Sensor Detail'!H124=0,"",'Sensor Detail'!H124)</f>
        <v/>
      </c>
      <c r="AF122" s="27" t="str">
        <f>IF('Sensor Detail'!G124=0,"","-" &amp; 'Sensor Detail'!G124)</f>
        <v/>
      </c>
      <c r="AG122" s="27" t="str">
        <f>IF('Sensor Detail'!I124=0,"",'Sensor Detail'!I124)</f>
        <v/>
      </c>
      <c r="AH122" s="27" t="str">
        <f>IF('Sensor Detail'!E124=0,"","+" &amp; 'Sensor Detail'!E124)</f>
        <v/>
      </c>
      <c r="AI122" s="27" t="str">
        <f t="shared" si="27"/>
        <v/>
      </c>
      <c r="AJ122" s="27" t="str">
        <f>IF('Sensor Detail'!J124=0,"",'Sensor Detail'!J124)</f>
        <v/>
      </c>
      <c r="AK122" s="27" t="str">
        <f>IF('Sensor Detail'!K124=0,"",'Sensor Detail'!K124)</f>
        <v/>
      </c>
      <c r="AL122" s="27" t="str">
        <f>IF('Sensor Detail'!L124=0,"",'Sensor Detail'!L124)</f>
        <v/>
      </c>
      <c r="AM122" s="27" t="str">
        <f>IF('Sensor Detail'!M124=0,"",'Sensor Detail'!M124)</f>
        <v/>
      </c>
      <c r="AN122" s="27" t="str">
        <f>IF('Sensor Detail'!N124=0,"",'Sensor Detail'!N124)</f>
        <v/>
      </c>
      <c r="AO122" s="27" t="str">
        <f>IF('Sensor Detail'!O124=0,"",'Sensor Detail'!O124)</f>
        <v/>
      </c>
      <c r="AP122" s="15" t="str">
        <f t="shared" si="28"/>
        <v/>
      </c>
      <c r="AQ122" s="15" t="str">
        <f t="shared" si="29"/>
        <v/>
      </c>
    </row>
    <row r="123" spans="1:43">
      <c r="A123" s="13" t="str">
        <f t="shared" si="15"/>
        <v/>
      </c>
      <c r="B123" s="13" t="str">
        <f t="shared" si="16"/>
        <v/>
      </c>
      <c r="C123" s="15" t="str">
        <f t="shared" si="17"/>
        <v/>
      </c>
      <c r="D123" s="15" t="str">
        <f t="shared" si="18"/>
        <v/>
      </c>
      <c r="E123" s="15" t="str">
        <f t="shared" si="19"/>
        <v/>
      </c>
      <c r="F123" s="15" t="str">
        <f t="shared" si="20"/>
        <v/>
      </c>
      <c r="G123" s="15" t="str">
        <f t="shared" si="21"/>
        <v/>
      </c>
      <c r="H123" s="15" t="str">
        <f t="shared" si="22"/>
        <v/>
      </c>
      <c r="I123" s="15" t="str">
        <f t="shared" si="23"/>
        <v/>
      </c>
      <c r="J123" s="15" t="str">
        <f t="shared" si="24"/>
        <v/>
      </c>
      <c r="K123" s="13" t="str">
        <f>IF('Cylinder Detail'!U125=0,"",'Cylinder Detail'!U125)</f>
        <v/>
      </c>
      <c r="L123" s="13" t="str">
        <f>IF('Cylinder Detail'!Z125=0,"",_xlfn.TEXTBEFORE('Cylinder Detail'!Z125, ","))</f>
        <v/>
      </c>
      <c r="M123" s="13" t="str">
        <f t="shared" si="25"/>
        <v/>
      </c>
      <c r="N123" s="17" t="str">
        <f>IF('Cylinder Detail'!V125=0,"",'Cylinder Detail'!V125)</f>
        <v/>
      </c>
      <c r="O123" s="17" t="str">
        <f>IF('Cylinder Detail'!Z125=0,"",_xlfn.TEXTAFTER('Cylinder Detail'!Z125, ", "))</f>
        <v/>
      </c>
      <c r="P123" s="17" t="str">
        <f>IF('Cylinder Detail'!AA125=0,"",'Cylinder Detail'!AA125)</f>
        <v/>
      </c>
      <c r="Q123" s="19" t="str">
        <f>IF('Cylinder Detail'!W125=0,"",'Cylinder Detail'!W125)</f>
        <v/>
      </c>
      <c r="R123" s="19" t="str">
        <f>IF('Cylinder Detail'!Y125=0,"",'Cylinder Detail'!Y125)</f>
        <v/>
      </c>
      <c r="S123" s="21" t="str">
        <f>IF('Cylinder Detail'!X125=0,"",'Cylinder Detail'!X125)</f>
        <v/>
      </c>
      <c r="T123" s="21" t="str">
        <f>IF('Cylinder Detail'!F125=0,"",'Cylinder Detail'!F125)</f>
        <v/>
      </c>
      <c r="U123" s="21" t="str">
        <f>IF('Cylinder Detail'!R125=0,"",'Cylinder Detail'!R125)</f>
        <v/>
      </c>
      <c r="V123" s="21" t="str">
        <f>IF('Cylinder Detail'!Q125=0,"",'Cylinder Detail'!Q125)</f>
        <v/>
      </c>
      <c r="W123" s="21" t="str">
        <f>IF('Cylinder Detail'!E125=0,"","+" &amp; 'Cylinder Detail'!E125)</f>
        <v/>
      </c>
      <c r="X123" s="21" t="str">
        <f t="shared" si="26"/>
        <v/>
      </c>
      <c r="Y123" s="21" t="str">
        <f>IF('Cylinder Detail'!S125=0,"",'Cylinder Detail'!S125)</f>
        <v/>
      </c>
      <c r="Z123" s="21" t="str">
        <f>IF('Cylinder Detail'!T125=0,"",'Cylinder Detail'!T125)</f>
        <v/>
      </c>
      <c r="AA123" s="21" t="str">
        <f>IF('Cylinder Detail'!H125=0,"",'Cylinder Detail'!H125)</f>
        <v/>
      </c>
      <c r="AB123" s="21" t="str">
        <f>IF('Cylinder Detail'!I125=0,"",'Cylinder Detail'!I125)</f>
        <v/>
      </c>
      <c r="AC123" s="22" t="str">
        <f>IF('Cylinder Detail'!AB125=0,"",'Cylinder Detail'!AB125)</f>
        <v/>
      </c>
      <c r="AD123" s="25" t="str">
        <f>IF('Sensor Detail'!F125=0,"","=" &amp; 'Sensor Detail'!F125)</f>
        <v/>
      </c>
      <c r="AE123" s="25" t="str">
        <f>IF('Sensor Detail'!H125=0,"",'Sensor Detail'!H125)</f>
        <v/>
      </c>
      <c r="AF123" s="27" t="str">
        <f>IF('Sensor Detail'!G125=0,"","-" &amp; 'Sensor Detail'!G125)</f>
        <v/>
      </c>
      <c r="AG123" s="27" t="str">
        <f>IF('Sensor Detail'!I125=0,"",'Sensor Detail'!I125)</f>
        <v/>
      </c>
      <c r="AH123" s="27" t="str">
        <f>IF('Sensor Detail'!E125=0,"","+" &amp; 'Sensor Detail'!E125)</f>
        <v/>
      </c>
      <c r="AI123" s="27" t="str">
        <f t="shared" si="27"/>
        <v/>
      </c>
      <c r="AJ123" s="27" t="str">
        <f>IF('Sensor Detail'!J125=0,"",'Sensor Detail'!J125)</f>
        <v/>
      </c>
      <c r="AK123" s="27" t="str">
        <f>IF('Sensor Detail'!K125=0,"",'Sensor Detail'!K125)</f>
        <v/>
      </c>
      <c r="AL123" s="27" t="str">
        <f>IF('Sensor Detail'!L125=0,"",'Sensor Detail'!L125)</f>
        <v/>
      </c>
      <c r="AM123" s="27" t="str">
        <f>IF('Sensor Detail'!M125=0,"",'Sensor Detail'!M125)</f>
        <v/>
      </c>
      <c r="AN123" s="27" t="str">
        <f>IF('Sensor Detail'!N125=0,"",'Sensor Detail'!N125)</f>
        <v/>
      </c>
      <c r="AO123" s="27" t="str">
        <f>IF('Sensor Detail'!O125=0,"",'Sensor Detail'!O125)</f>
        <v/>
      </c>
      <c r="AP123" s="15" t="str">
        <f t="shared" si="28"/>
        <v/>
      </c>
      <c r="AQ123" s="15" t="str">
        <f t="shared" si="29"/>
        <v/>
      </c>
    </row>
    <row r="124" spans="1:43">
      <c r="A124" s="13" t="str">
        <f t="shared" si="15"/>
        <v/>
      </c>
      <c r="B124" s="13" t="str">
        <f t="shared" si="16"/>
        <v/>
      </c>
      <c r="C124" s="15" t="str">
        <f t="shared" si="17"/>
        <v/>
      </c>
      <c r="D124" s="15" t="str">
        <f t="shared" si="18"/>
        <v/>
      </c>
      <c r="E124" s="15" t="str">
        <f t="shared" si="19"/>
        <v/>
      </c>
      <c r="F124" s="15" t="str">
        <f t="shared" si="20"/>
        <v/>
      </c>
      <c r="G124" s="15" t="str">
        <f t="shared" si="21"/>
        <v/>
      </c>
      <c r="H124" s="15" t="str">
        <f t="shared" si="22"/>
        <v/>
      </c>
      <c r="I124" s="15" t="str">
        <f t="shared" si="23"/>
        <v/>
      </c>
      <c r="J124" s="15" t="str">
        <f t="shared" si="24"/>
        <v/>
      </c>
      <c r="K124" s="13" t="str">
        <f>IF('Cylinder Detail'!U126=0,"",'Cylinder Detail'!U126)</f>
        <v/>
      </c>
      <c r="L124" s="13" t="str">
        <f>IF('Cylinder Detail'!Z126=0,"",_xlfn.TEXTBEFORE('Cylinder Detail'!Z126, ","))</f>
        <v/>
      </c>
      <c r="M124" s="13" t="str">
        <f t="shared" si="25"/>
        <v/>
      </c>
      <c r="N124" s="17" t="str">
        <f>IF('Cylinder Detail'!V126=0,"",'Cylinder Detail'!V126)</f>
        <v/>
      </c>
      <c r="O124" s="17" t="str">
        <f>IF('Cylinder Detail'!Z126=0,"",_xlfn.TEXTAFTER('Cylinder Detail'!Z126, ", "))</f>
        <v/>
      </c>
      <c r="P124" s="17" t="str">
        <f>IF('Cylinder Detail'!AA126=0,"",'Cylinder Detail'!AA126)</f>
        <v/>
      </c>
      <c r="Q124" s="19" t="str">
        <f>IF('Cylinder Detail'!W126=0,"",'Cylinder Detail'!W126)</f>
        <v/>
      </c>
      <c r="R124" s="19" t="str">
        <f>IF('Cylinder Detail'!Y126=0,"",'Cylinder Detail'!Y126)</f>
        <v/>
      </c>
      <c r="S124" s="21" t="str">
        <f>IF('Cylinder Detail'!X126=0,"",'Cylinder Detail'!X126)</f>
        <v/>
      </c>
      <c r="T124" s="21" t="str">
        <f>IF('Cylinder Detail'!F126=0,"",'Cylinder Detail'!F126)</f>
        <v/>
      </c>
      <c r="U124" s="21" t="str">
        <f>IF('Cylinder Detail'!R126=0,"",'Cylinder Detail'!R126)</f>
        <v/>
      </c>
      <c r="V124" s="21" t="str">
        <f>IF('Cylinder Detail'!Q126=0,"",'Cylinder Detail'!Q126)</f>
        <v/>
      </c>
      <c r="W124" s="21" t="str">
        <f>IF('Cylinder Detail'!E126=0,"","+" &amp; 'Cylinder Detail'!E126)</f>
        <v/>
      </c>
      <c r="X124" s="21" t="str">
        <f t="shared" si="26"/>
        <v/>
      </c>
      <c r="Y124" s="21" t="str">
        <f>IF('Cylinder Detail'!S126=0,"",'Cylinder Detail'!S126)</f>
        <v/>
      </c>
      <c r="Z124" s="21" t="str">
        <f>IF('Cylinder Detail'!T126=0,"",'Cylinder Detail'!T126)</f>
        <v/>
      </c>
      <c r="AA124" s="21" t="str">
        <f>IF('Cylinder Detail'!H126=0,"",'Cylinder Detail'!H126)</f>
        <v/>
      </c>
      <c r="AB124" s="21" t="str">
        <f>IF('Cylinder Detail'!I126=0,"",'Cylinder Detail'!I126)</f>
        <v/>
      </c>
      <c r="AC124" s="22" t="str">
        <f>IF('Cylinder Detail'!AB126=0,"",'Cylinder Detail'!AB126)</f>
        <v/>
      </c>
      <c r="AD124" s="25" t="str">
        <f>IF('Sensor Detail'!F126=0,"","=" &amp; 'Sensor Detail'!F126)</f>
        <v/>
      </c>
      <c r="AE124" s="25" t="str">
        <f>IF('Sensor Detail'!H126=0,"",'Sensor Detail'!H126)</f>
        <v/>
      </c>
      <c r="AF124" s="27" t="str">
        <f>IF('Sensor Detail'!G126=0,"","-" &amp; 'Sensor Detail'!G126)</f>
        <v/>
      </c>
      <c r="AG124" s="27" t="str">
        <f>IF('Sensor Detail'!I126=0,"",'Sensor Detail'!I126)</f>
        <v/>
      </c>
      <c r="AH124" s="27" t="str">
        <f>IF('Sensor Detail'!E126=0,"","+" &amp; 'Sensor Detail'!E126)</f>
        <v/>
      </c>
      <c r="AI124" s="27" t="str">
        <f t="shared" si="27"/>
        <v/>
      </c>
      <c r="AJ124" s="27" t="str">
        <f>IF('Sensor Detail'!J126=0,"",'Sensor Detail'!J126)</f>
        <v/>
      </c>
      <c r="AK124" s="27" t="str">
        <f>IF('Sensor Detail'!K126=0,"",'Sensor Detail'!K126)</f>
        <v/>
      </c>
      <c r="AL124" s="27" t="str">
        <f>IF('Sensor Detail'!L126=0,"",'Sensor Detail'!L126)</f>
        <v/>
      </c>
      <c r="AM124" s="27" t="str">
        <f>IF('Sensor Detail'!M126=0,"",'Sensor Detail'!M126)</f>
        <v/>
      </c>
      <c r="AN124" s="27" t="str">
        <f>IF('Sensor Detail'!N126=0,"",'Sensor Detail'!N126)</f>
        <v/>
      </c>
      <c r="AO124" s="27" t="str">
        <f>IF('Sensor Detail'!O126=0,"",'Sensor Detail'!O126)</f>
        <v/>
      </c>
      <c r="AP124" s="15" t="str">
        <f t="shared" si="28"/>
        <v/>
      </c>
      <c r="AQ124" s="15" t="str">
        <f t="shared" si="29"/>
        <v/>
      </c>
    </row>
    <row r="125" spans="1:43">
      <c r="A125" s="13" t="str">
        <f t="shared" si="15"/>
        <v/>
      </c>
      <c r="B125" s="13" t="str">
        <f t="shared" si="16"/>
        <v/>
      </c>
      <c r="C125" s="15" t="str">
        <f t="shared" si="17"/>
        <v/>
      </c>
      <c r="D125" s="15" t="str">
        <f t="shared" si="18"/>
        <v/>
      </c>
      <c r="E125" s="15" t="str">
        <f t="shared" si="19"/>
        <v/>
      </c>
      <c r="F125" s="15" t="str">
        <f t="shared" si="20"/>
        <v/>
      </c>
      <c r="G125" s="15" t="str">
        <f t="shared" si="21"/>
        <v/>
      </c>
      <c r="H125" s="15" t="str">
        <f t="shared" si="22"/>
        <v/>
      </c>
      <c r="I125" s="15" t="str">
        <f t="shared" si="23"/>
        <v/>
      </c>
      <c r="J125" s="15" t="str">
        <f t="shared" si="24"/>
        <v/>
      </c>
      <c r="K125" s="13" t="str">
        <f>IF('Cylinder Detail'!U127=0,"",'Cylinder Detail'!U127)</f>
        <v/>
      </c>
      <c r="L125" s="13" t="str">
        <f>IF('Cylinder Detail'!Z127=0,"",_xlfn.TEXTBEFORE('Cylinder Detail'!Z127, ","))</f>
        <v/>
      </c>
      <c r="M125" s="13" t="str">
        <f t="shared" si="25"/>
        <v/>
      </c>
      <c r="N125" s="17" t="str">
        <f>IF('Cylinder Detail'!V127=0,"",'Cylinder Detail'!V127)</f>
        <v/>
      </c>
      <c r="O125" s="17" t="str">
        <f>IF('Cylinder Detail'!Z127=0,"",_xlfn.TEXTAFTER('Cylinder Detail'!Z127, ", "))</f>
        <v/>
      </c>
      <c r="P125" s="17" t="str">
        <f>IF('Cylinder Detail'!AA127=0,"",'Cylinder Detail'!AA127)</f>
        <v/>
      </c>
      <c r="Q125" s="19" t="str">
        <f>IF('Cylinder Detail'!W127=0,"",'Cylinder Detail'!W127)</f>
        <v/>
      </c>
      <c r="R125" s="19" t="str">
        <f>IF('Cylinder Detail'!Y127=0,"",'Cylinder Detail'!Y127)</f>
        <v/>
      </c>
      <c r="S125" s="21" t="str">
        <f>IF('Cylinder Detail'!X127=0,"",'Cylinder Detail'!X127)</f>
        <v/>
      </c>
      <c r="T125" s="21" t="str">
        <f>IF('Cylinder Detail'!F127=0,"",'Cylinder Detail'!F127)</f>
        <v/>
      </c>
      <c r="U125" s="21" t="str">
        <f>IF('Cylinder Detail'!R127=0,"",'Cylinder Detail'!R127)</f>
        <v/>
      </c>
      <c r="V125" s="21" t="str">
        <f>IF('Cylinder Detail'!Q127=0,"",'Cylinder Detail'!Q127)</f>
        <v/>
      </c>
      <c r="W125" s="21" t="str">
        <f>IF('Cylinder Detail'!E127=0,"","+" &amp; 'Cylinder Detail'!E127)</f>
        <v/>
      </c>
      <c r="X125" s="21" t="str">
        <f t="shared" si="26"/>
        <v/>
      </c>
      <c r="Y125" s="21" t="str">
        <f>IF('Cylinder Detail'!S127=0,"",'Cylinder Detail'!S127)</f>
        <v/>
      </c>
      <c r="Z125" s="21" t="str">
        <f>IF('Cylinder Detail'!T127=0,"",'Cylinder Detail'!T127)</f>
        <v/>
      </c>
      <c r="AA125" s="21" t="str">
        <f>IF('Cylinder Detail'!H127=0,"",'Cylinder Detail'!H127)</f>
        <v/>
      </c>
      <c r="AB125" s="21" t="str">
        <f>IF('Cylinder Detail'!I127=0,"",'Cylinder Detail'!I127)</f>
        <v/>
      </c>
      <c r="AC125" s="22" t="str">
        <f>IF('Cylinder Detail'!AB127=0,"",'Cylinder Detail'!AB127)</f>
        <v/>
      </c>
      <c r="AD125" s="25" t="str">
        <f>IF('Sensor Detail'!F127=0,"","=" &amp; 'Sensor Detail'!F127)</f>
        <v/>
      </c>
      <c r="AE125" s="25" t="str">
        <f>IF('Sensor Detail'!H127=0,"",'Sensor Detail'!H127)</f>
        <v/>
      </c>
      <c r="AF125" s="27" t="str">
        <f>IF('Sensor Detail'!G127=0,"","-" &amp; 'Sensor Detail'!G127)</f>
        <v/>
      </c>
      <c r="AG125" s="27" t="str">
        <f>IF('Sensor Detail'!I127=0,"",'Sensor Detail'!I127)</f>
        <v/>
      </c>
      <c r="AH125" s="27" t="str">
        <f>IF('Sensor Detail'!E127=0,"","+" &amp; 'Sensor Detail'!E127)</f>
        <v/>
      </c>
      <c r="AI125" s="27" t="str">
        <f t="shared" si="27"/>
        <v/>
      </c>
      <c r="AJ125" s="27" t="str">
        <f>IF('Sensor Detail'!J127=0,"",'Sensor Detail'!J127)</f>
        <v/>
      </c>
      <c r="AK125" s="27" t="str">
        <f>IF('Sensor Detail'!K127=0,"",'Sensor Detail'!K127)</f>
        <v/>
      </c>
      <c r="AL125" s="27" t="str">
        <f>IF('Sensor Detail'!L127=0,"",'Sensor Detail'!L127)</f>
        <v/>
      </c>
      <c r="AM125" s="27" t="str">
        <f>IF('Sensor Detail'!M127=0,"",'Sensor Detail'!M127)</f>
        <v/>
      </c>
      <c r="AN125" s="27" t="str">
        <f>IF('Sensor Detail'!N127=0,"",'Sensor Detail'!N127)</f>
        <v/>
      </c>
      <c r="AO125" s="27" t="str">
        <f>IF('Sensor Detail'!O127=0,"",'Sensor Detail'!O127)</f>
        <v/>
      </c>
      <c r="AP125" s="15" t="str">
        <f t="shared" si="28"/>
        <v/>
      </c>
      <c r="AQ125" s="15" t="str">
        <f t="shared" si="29"/>
        <v/>
      </c>
    </row>
    <row r="126" spans="1:43">
      <c r="A126" s="13" t="str">
        <f t="shared" si="15"/>
        <v/>
      </c>
      <c r="B126" s="13" t="str">
        <f t="shared" si="16"/>
        <v/>
      </c>
      <c r="C126" s="15" t="str">
        <f t="shared" si="17"/>
        <v/>
      </c>
      <c r="D126" s="15" t="str">
        <f t="shared" si="18"/>
        <v/>
      </c>
      <c r="E126" s="15" t="str">
        <f t="shared" si="19"/>
        <v/>
      </c>
      <c r="F126" s="15" t="str">
        <f t="shared" si="20"/>
        <v/>
      </c>
      <c r="G126" s="15" t="str">
        <f t="shared" si="21"/>
        <v/>
      </c>
      <c r="H126" s="15" t="str">
        <f t="shared" si="22"/>
        <v/>
      </c>
      <c r="I126" s="15" t="str">
        <f t="shared" si="23"/>
        <v/>
      </c>
      <c r="J126" s="15" t="str">
        <f t="shared" si="24"/>
        <v/>
      </c>
      <c r="K126" s="13" t="str">
        <f>IF('Cylinder Detail'!U128=0,"",'Cylinder Detail'!U128)</f>
        <v/>
      </c>
      <c r="L126" s="13" t="str">
        <f>IF('Cylinder Detail'!Z128=0,"",_xlfn.TEXTBEFORE('Cylinder Detail'!Z128, ","))</f>
        <v/>
      </c>
      <c r="M126" s="13" t="str">
        <f t="shared" si="25"/>
        <v/>
      </c>
      <c r="N126" s="17" t="str">
        <f>IF('Cylinder Detail'!V128=0,"",'Cylinder Detail'!V128)</f>
        <v/>
      </c>
      <c r="O126" s="17" t="str">
        <f>IF('Cylinder Detail'!Z128=0,"",_xlfn.TEXTAFTER('Cylinder Detail'!Z128, ", "))</f>
        <v/>
      </c>
      <c r="P126" s="17" t="str">
        <f>IF('Cylinder Detail'!AA128=0,"",'Cylinder Detail'!AA128)</f>
        <v/>
      </c>
      <c r="Q126" s="19" t="str">
        <f>IF('Cylinder Detail'!W128=0,"",'Cylinder Detail'!W128)</f>
        <v/>
      </c>
      <c r="R126" s="19" t="str">
        <f>IF('Cylinder Detail'!Y128=0,"",'Cylinder Detail'!Y128)</f>
        <v/>
      </c>
      <c r="S126" s="21" t="str">
        <f>IF('Cylinder Detail'!X128=0,"",'Cylinder Detail'!X128)</f>
        <v/>
      </c>
      <c r="T126" s="21" t="str">
        <f>IF('Cylinder Detail'!F128=0,"",'Cylinder Detail'!F128)</f>
        <v/>
      </c>
      <c r="U126" s="21" t="str">
        <f>IF('Cylinder Detail'!R128=0,"",'Cylinder Detail'!R128)</f>
        <v/>
      </c>
      <c r="V126" s="21" t="str">
        <f>IF('Cylinder Detail'!Q128=0,"",'Cylinder Detail'!Q128)</f>
        <v/>
      </c>
      <c r="W126" s="21" t="str">
        <f>IF('Cylinder Detail'!E128=0,"","+" &amp; 'Cylinder Detail'!E128)</f>
        <v/>
      </c>
      <c r="X126" s="21" t="str">
        <f t="shared" si="26"/>
        <v/>
      </c>
      <c r="Y126" s="21" t="str">
        <f>IF('Cylinder Detail'!S128=0,"",'Cylinder Detail'!S128)</f>
        <v/>
      </c>
      <c r="Z126" s="21" t="str">
        <f>IF('Cylinder Detail'!T128=0,"",'Cylinder Detail'!T128)</f>
        <v/>
      </c>
      <c r="AA126" s="21" t="str">
        <f>IF('Cylinder Detail'!H128=0,"",'Cylinder Detail'!H128)</f>
        <v/>
      </c>
      <c r="AB126" s="21" t="str">
        <f>IF('Cylinder Detail'!I128=0,"",'Cylinder Detail'!I128)</f>
        <v/>
      </c>
      <c r="AC126" s="22" t="str">
        <f>IF('Cylinder Detail'!AB128=0,"",'Cylinder Detail'!AB128)</f>
        <v/>
      </c>
      <c r="AD126" s="25" t="str">
        <f>IF('Sensor Detail'!F128=0,"","=" &amp; 'Sensor Detail'!F128)</f>
        <v/>
      </c>
      <c r="AE126" s="25" t="str">
        <f>IF('Sensor Detail'!H128=0,"",'Sensor Detail'!H128)</f>
        <v/>
      </c>
      <c r="AF126" s="27" t="str">
        <f>IF('Sensor Detail'!G128=0,"","-" &amp; 'Sensor Detail'!G128)</f>
        <v/>
      </c>
      <c r="AG126" s="27" t="str">
        <f>IF('Sensor Detail'!I128=0,"",'Sensor Detail'!I128)</f>
        <v/>
      </c>
      <c r="AH126" s="27" t="str">
        <f>IF('Sensor Detail'!E128=0,"","+" &amp; 'Sensor Detail'!E128)</f>
        <v/>
      </c>
      <c r="AI126" s="27" t="str">
        <f t="shared" si="27"/>
        <v/>
      </c>
      <c r="AJ126" s="27" t="str">
        <f>IF('Sensor Detail'!J128=0,"",'Sensor Detail'!J128)</f>
        <v/>
      </c>
      <c r="AK126" s="27" t="str">
        <f>IF('Sensor Detail'!K128=0,"",'Sensor Detail'!K128)</f>
        <v/>
      </c>
      <c r="AL126" s="27" t="str">
        <f>IF('Sensor Detail'!L128=0,"",'Sensor Detail'!L128)</f>
        <v/>
      </c>
      <c r="AM126" s="27" t="str">
        <f>IF('Sensor Detail'!M128=0,"",'Sensor Detail'!M128)</f>
        <v/>
      </c>
      <c r="AN126" s="27" t="str">
        <f>IF('Sensor Detail'!N128=0,"",'Sensor Detail'!N128)</f>
        <v/>
      </c>
      <c r="AO126" s="27" t="str">
        <f>IF('Sensor Detail'!O128=0,"",'Sensor Detail'!O128)</f>
        <v/>
      </c>
      <c r="AP126" s="15" t="str">
        <f t="shared" si="28"/>
        <v/>
      </c>
      <c r="AQ126" s="15" t="str">
        <f t="shared" si="29"/>
        <v/>
      </c>
    </row>
    <row r="127" spans="1:43">
      <c r="A127" s="13" t="str">
        <f t="shared" si="15"/>
        <v/>
      </c>
      <c r="B127" s="13" t="str">
        <f t="shared" si="16"/>
        <v/>
      </c>
      <c r="C127" s="15" t="str">
        <f t="shared" si="17"/>
        <v/>
      </c>
      <c r="D127" s="15" t="str">
        <f t="shared" si="18"/>
        <v/>
      </c>
      <c r="E127" s="15" t="str">
        <f t="shared" si="19"/>
        <v/>
      </c>
      <c r="F127" s="15" t="str">
        <f t="shared" si="20"/>
        <v/>
      </c>
      <c r="G127" s="15" t="str">
        <f t="shared" si="21"/>
        <v/>
      </c>
      <c r="H127" s="15" t="str">
        <f t="shared" si="22"/>
        <v/>
      </c>
      <c r="I127" s="15" t="str">
        <f t="shared" si="23"/>
        <v/>
      </c>
      <c r="J127" s="15" t="str">
        <f t="shared" si="24"/>
        <v/>
      </c>
      <c r="K127" s="13" t="str">
        <f>IF('Cylinder Detail'!U129=0,"",'Cylinder Detail'!U129)</f>
        <v/>
      </c>
      <c r="L127" s="13" t="str">
        <f>IF('Cylinder Detail'!Z129=0,"",_xlfn.TEXTBEFORE('Cylinder Detail'!Z129, ","))</f>
        <v/>
      </c>
      <c r="M127" s="13" t="str">
        <f t="shared" si="25"/>
        <v/>
      </c>
      <c r="N127" s="17" t="str">
        <f>IF('Cylinder Detail'!V129=0,"",'Cylinder Detail'!V129)</f>
        <v/>
      </c>
      <c r="O127" s="17" t="str">
        <f>IF('Cylinder Detail'!Z129=0,"",_xlfn.TEXTAFTER('Cylinder Detail'!Z129, ", "))</f>
        <v/>
      </c>
      <c r="P127" s="17" t="str">
        <f>IF('Cylinder Detail'!AA129=0,"",'Cylinder Detail'!AA129)</f>
        <v/>
      </c>
      <c r="Q127" s="19" t="str">
        <f>IF('Cylinder Detail'!W129=0,"",'Cylinder Detail'!W129)</f>
        <v/>
      </c>
      <c r="R127" s="19" t="str">
        <f>IF('Cylinder Detail'!Y129=0,"",'Cylinder Detail'!Y129)</f>
        <v/>
      </c>
      <c r="S127" s="21" t="str">
        <f>IF('Cylinder Detail'!X129=0,"",'Cylinder Detail'!X129)</f>
        <v/>
      </c>
      <c r="T127" s="21" t="str">
        <f>IF('Cylinder Detail'!F129=0,"",'Cylinder Detail'!F129)</f>
        <v/>
      </c>
      <c r="U127" s="21" t="str">
        <f>IF('Cylinder Detail'!R129=0,"",'Cylinder Detail'!R129)</f>
        <v/>
      </c>
      <c r="V127" s="21" t="str">
        <f>IF('Cylinder Detail'!Q129=0,"",'Cylinder Detail'!Q129)</f>
        <v/>
      </c>
      <c r="W127" s="21" t="str">
        <f>IF('Cylinder Detail'!E129=0,"","+" &amp; 'Cylinder Detail'!E129)</f>
        <v/>
      </c>
      <c r="X127" s="21" t="str">
        <f t="shared" si="26"/>
        <v/>
      </c>
      <c r="Y127" s="21" t="str">
        <f>IF('Cylinder Detail'!S129=0,"",'Cylinder Detail'!S129)</f>
        <v/>
      </c>
      <c r="Z127" s="21" t="str">
        <f>IF('Cylinder Detail'!T129=0,"",'Cylinder Detail'!T129)</f>
        <v/>
      </c>
      <c r="AA127" s="21" t="str">
        <f>IF('Cylinder Detail'!H129=0,"",'Cylinder Detail'!H129)</f>
        <v/>
      </c>
      <c r="AB127" s="21" t="str">
        <f>IF('Cylinder Detail'!I129=0,"",'Cylinder Detail'!I129)</f>
        <v/>
      </c>
      <c r="AC127" s="22" t="str">
        <f>IF('Cylinder Detail'!AB129=0,"",'Cylinder Detail'!AB129)</f>
        <v/>
      </c>
      <c r="AD127" s="25" t="str">
        <f>IF('Sensor Detail'!F129=0,"","=" &amp; 'Sensor Detail'!F129)</f>
        <v/>
      </c>
      <c r="AE127" s="25" t="str">
        <f>IF('Sensor Detail'!H129=0,"",'Sensor Detail'!H129)</f>
        <v/>
      </c>
      <c r="AF127" s="27" t="str">
        <f>IF('Sensor Detail'!G129=0,"","-" &amp; 'Sensor Detail'!G129)</f>
        <v/>
      </c>
      <c r="AG127" s="27" t="str">
        <f>IF('Sensor Detail'!I129=0,"",'Sensor Detail'!I129)</f>
        <v/>
      </c>
      <c r="AH127" s="27" t="str">
        <f>IF('Sensor Detail'!E129=0,"","+" &amp; 'Sensor Detail'!E129)</f>
        <v/>
      </c>
      <c r="AI127" s="27" t="str">
        <f t="shared" si="27"/>
        <v/>
      </c>
      <c r="AJ127" s="27" t="str">
        <f>IF('Sensor Detail'!J129=0,"",'Sensor Detail'!J129)</f>
        <v/>
      </c>
      <c r="AK127" s="27" t="str">
        <f>IF('Sensor Detail'!K129=0,"",'Sensor Detail'!K129)</f>
        <v/>
      </c>
      <c r="AL127" s="27" t="str">
        <f>IF('Sensor Detail'!L129=0,"",'Sensor Detail'!L129)</f>
        <v/>
      </c>
      <c r="AM127" s="27" t="str">
        <f>IF('Sensor Detail'!M129=0,"",'Sensor Detail'!M129)</f>
        <v/>
      </c>
      <c r="AN127" s="27" t="str">
        <f>IF('Sensor Detail'!N129=0,"",'Sensor Detail'!N129)</f>
        <v/>
      </c>
      <c r="AO127" s="27" t="str">
        <f>IF('Sensor Detail'!O129=0,"",'Sensor Detail'!O129)</f>
        <v/>
      </c>
      <c r="AP127" s="15" t="str">
        <f t="shared" si="28"/>
        <v/>
      </c>
      <c r="AQ127" s="15" t="str">
        <f t="shared" si="29"/>
        <v/>
      </c>
    </row>
    <row r="128" spans="1:43">
      <c r="A128" s="13" t="str">
        <f t="shared" si="15"/>
        <v/>
      </c>
      <c r="B128" s="13" t="str">
        <f t="shared" si="16"/>
        <v/>
      </c>
      <c r="C128" s="15" t="str">
        <f t="shared" si="17"/>
        <v/>
      </c>
      <c r="D128" s="15" t="str">
        <f t="shared" si="18"/>
        <v/>
      </c>
      <c r="E128" s="15" t="str">
        <f t="shared" si="19"/>
        <v/>
      </c>
      <c r="F128" s="15" t="str">
        <f t="shared" si="20"/>
        <v/>
      </c>
      <c r="G128" s="15" t="str">
        <f t="shared" si="21"/>
        <v/>
      </c>
      <c r="H128" s="15" t="str">
        <f t="shared" si="22"/>
        <v/>
      </c>
      <c r="I128" s="15" t="str">
        <f t="shared" si="23"/>
        <v/>
      </c>
      <c r="J128" s="15" t="str">
        <f t="shared" si="24"/>
        <v/>
      </c>
      <c r="K128" s="13" t="str">
        <f>IF('Cylinder Detail'!U130=0,"",'Cylinder Detail'!U130)</f>
        <v/>
      </c>
      <c r="L128" s="13" t="str">
        <f>IF('Cylinder Detail'!Z130=0,"",_xlfn.TEXTBEFORE('Cylinder Detail'!Z130, ","))</f>
        <v/>
      </c>
      <c r="M128" s="13" t="str">
        <f t="shared" si="25"/>
        <v/>
      </c>
      <c r="N128" s="17" t="str">
        <f>IF('Cylinder Detail'!V130=0,"",'Cylinder Detail'!V130)</f>
        <v/>
      </c>
      <c r="O128" s="17" t="str">
        <f>IF('Cylinder Detail'!Z130=0,"",_xlfn.TEXTAFTER('Cylinder Detail'!Z130, ", "))</f>
        <v/>
      </c>
      <c r="P128" s="17" t="str">
        <f>IF('Cylinder Detail'!AA130=0,"",'Cylinder Detail'!AA130)</f>
        <v/>
      </c>
      <c r="Q128" s="19" t="str">
        <f>IF('Cylinder Detail'!W130=0,"",'Cylinder Detail'!W130)</f>
        <v/>
      </c>
      <c r="R128" s="19" t="str">
        <f>IF('Cylinder Detail'!Y130=0,"",'Cylinder Detail'!Y130)</f>
        <v/>
      </c>
      <c r="S128" s="21" t="str">
        <f>IF('Cylinder Detail'!X130=0,"",'Cylinder Detail'!X130)</f>
        <v/>
      </c>
      <c r="T128" s="21" t="str">
        <f>IF('Cylinder Detail'!F130=0,"",'Cylinder Detail'!F130)</f>
        <v/>
      </c>
      <c r="U128" s="21" t="str">
        <f>IF('Cylinder Detail'!R130=0,"",'Cylinder Detail'!R130)</f>
        <v/>
      </c>
      <c r="V128" s="21" t="str">
        <f>IF('Cylinder Detail'!Q130=0,"",'Cylinder Detail'!Q130)</f>
        <v/>
      </c>
      <c r="W128" s="21" t="str">
        <f>IF('Cylinder Detail'!E130=0,"","+" &amp; 'Cylinder Detail'!E130)</f>
        <v/>
      </c>
      <c r="X128" s="21" t="str">
        <f t="shared" si="26"/>
        <v/>
      </c>
      <c r="Y128" s="21" t="str">
        <f>IF('Cylinder Detail'!S130=0,"",'Cylinder Detail'!S130)</f>
        <v/>
      </c>
      <c r="Z128" s="21" t="str">
        <f>IF('Cylinder Detail'!T130=0,"",'Cylinder Detail'!T130)</f>
        <v/>
      </c>
      <c r="AA128" s="21" t="str">
        <f>IF('Cylinder Detail'!H130=0,"",'Cylinder Detail'!H130)</f>
        <v/>
      </c>
      <c r="AB128" s="21" t="str">
        <f>IF('Cylinder Detail'!I130=0,"",'Cylinder Detail'!I130)</f>
        <v/>
      </c>
      <c r="AC128" s="22" t="str">
        <f>IF('Cylinder Detail'!AB130=0,"",'Cylinder Detail'!AB130)</f>
        <v/>
      </c>
      <c r="AD128" s="25" t="str">
        <f>IF('Sensor Detail'!F130=0,"","=" &amp; 'Sensor Detail'!F130)</f>
        <v/>
      </c>
      <c r="AE128" s="25" t="str">
        <f>IF('Sensor Detail'!H130=0,"",'Sensor Detail'!H130)</f>
        <v/>
      </c>
      <c r="AF128" s="27" t="str">
        <f>IF('Sensor Detail'!G130=0,"","-" &amp; 'Sensor Detail'!G130)</f>
        <v/>
      </c>
      <c r="AG128" s="27" t="str">
        <f>IF('Sensor Detail'!I130=0,"",'Sensor Detail'!I130)</f>
        <v/>
      </c>
      <c r="AH128" s="27" t="str">
        <f>IF('Sensor Detail'!E130=0,"","+" &amp; 'Sensor Detail'!E130)</f>
        <v/>
      </c>
      <c r="AI128" s="27" t="str">
        <f t="shared" si="27"/>
        <v/>
      </c>
      <c r="AJ128" s="27" t="str">
        <f>IF('Sensor Detail'!J130=0,"",'Sensor Detail'!J130)</f>
        <v/>
      </c>
      <c r="AK128" s="27" t="str">
        <f>IF('Sensor Detail'!K130=0,"",'Sensor Detail'!K130)</f>
        <v/>
      </c>
      <c r="AL128" s="27" t="str">
        <f>IF('Sensor Detail'!L130=0,"",'Sensor Detail'!L130)</f>
        <v/>
      </c>
      <c r="AM128" s="27" t="str">
        <f>IF('Sensor Detail'!M130=0,"",'Sensor Detail'!M130)</f>
        <v/>
      </c>
      <c r="AN128" s="27" t="str">
        <f>IF('Sensor Detail'!N130=0,"",'Sensor Detail'!N130)</f>
        <v/>
      </c>
      <c r="AO128" s="27" t="str">
        <f>IF('Sensor Detail'!O130=0,"",'Sensor Detail'!O130)</f>
        <v/>
      </c>
      <c r="AP128" s="15" t="str">
        <f t="shared" si="28"/>
        <v/>
      </c>
      <c r="AQ128" s="15" t="str">
        <f t="shared" si="29"/>
        <v/>
      </c>
    </row>
    <row r="129" spans="1:43">
      <c r="A129" s="13" t="str">
        <f t="shared" si="15"/>
        <v/>
      </c>
      <c r="B129" s="13" t="str">
        <f t="shared" si="16"/>
        <v/>
      </c>
      <c r="C129" s="15" t="str">
        <f t="shared" si="17"/>
        <v/>
      </c>
      <c r="D129" s="15" t="str">
        <f t="shared" si="18"/>
        <v/>
      </c>
      <c r="E129" s="15" t="str">
        <f t="shared" si="19"/>
        <v/>
      </c>
      <c r="F129" s="15" t="str">
        <f t="shared" si="20"/>
        <v/>
      </c>
      <c r="G129" s="15" t="str">
        <f t="shared" si="21"/>
        <v/>
      </c>
      <c r="H129" s="15" t="str">
        <f t="shared" si="22"/>
        <v/>
      </c>
      <c r="I129" s="15" t="str">
        <f t="shared" si="23"/>
        <v/>
      </c>
      <c r="J129" s="15" t="str">
        <f t="shared" si="24"/>
        <v/>
      </c>
      <c r="K129" s="13" t="str">
        <f>IF('Cylinder Detail'!U131=0,"",'Cylinder Detail'!U131)</f>
        <v/>
      </c>
      <c r="L129" s="13" t="str">
        <f>IF('Cylinder Detail'!Z131=0,"",_xlfn.TEXTBEFORE('Cylinder Detail'!Z131, ","))</f>
        <v/>
      </c>
      <c r="M129" s="13" t="str">
        <f t="shared" si="25"/>
        <v/>
      </c>
      <c r="N129" s="17" t="str">
        <f>IF('Cylinder Detail'!V131=0,"",'Cylinder Detail'!V131)</f>
        <v/>
      </c>
      <c r="O129" s="17" t="str">
        <f>IF('Cylinder Detail'!Z131=0,"",_xlfn.TEXTAFTER('Cylinder Detail'!Z131, ", "))</f>
        <v/>
      </c>
      <c r="P129" s="17" t="str">
        <f>IF('Cylinder Detail'!AA131=0,"",'Cylinder Detail'!AA131)</f>
        <v/>
      </c>
      <c r="Q129" s="19" t="str">
        <f>IF('Cylinder Detail'!W131=0,"",'Cylinder Detail'!W131)</f>
        <v/>
      </c>
      <c r="R129" s="19" t="str">
        <f>IF('Cylinder Detail'!Y131=0,"",'Cylinder Detail'!Y131)</f>
        <v/>
      </c>
      <c r="S129" s="21" t="str">
        <f>IF('Cylinder Detail'!X131=0,"",'Cylinder Detail'!X131)</f>
        <v/>
      </c>
      <c r="T129" s="21" t="str">
        <f>IF('Cylinder Detail'!F131=0,"",'Cylinder Detail'!F131)</f>
        <v/>
      </c>
      <c r="U129" s="21" t="str">
        <f>IF('Cylinder Detail'!R131=0,"",'Cylinder Detail'!R131)</f>
        <v/>
      </c>
      <c r="V129" s="21" t="str">
        <f>IF('Cylinder Detail'!Q131=0,"",'Cylinder Detail'!Q131)</f>
        <v/>
      </c>
      <c r="W129" s="21" t="str">
        <f>IF('Cylinder Detail'!E131=0,"","+" &amp; 'Cylinder Detail'!E131)</f>
        <v/>
      </c>
      <c r="X129" s="21" t="str">
        <f t="shared" si="26"/>
        <v/>
      </c>
      <c r="Y129" s="21" t="str">
        <f>IF('Cylinder Detail'!S131=0,"",'Cylinder Detail'!S131)</f>
        <v/>
      </c>
      <c r="Z129" s="21" t="str">
        <f>IF('Cylinder Detail'!T131=0,"",'Cylinder Detail'!T131)</f>
        <v/>
      </c>
      <c r="AA129" s="21" t="str">
        <f>IF('Cylinder Detail'!H131=0,"",'Cylinder Detail'!H131)</f>
        <v/>
      </c>
      <c r="AB129" s="21" t="str">
        <f>IF('Cylinder Detail'!I131=0,"",'Cylinder Detail'!I131)</f>
        <v/>
      </c>
      <c r="AC129" s="22" t="str">
        <f>IF('Cylinder Detail'!AB131=0,"",'Cylinder Detail'!AB131)</f>
        <v/>
      </c>
      <c r="AD129" s="25" t="str">
        <f>IF('Sensor Detail'!F131=0,"","=" &amp; 'Sensor Detail'!F131)</f>
        <v/>
      </c>
      <c r="AE129" s="25" t="str">
        <f>IF('Sensor Detail'!H131=0,"",'Sensor Detail'!H131)</f>
        <v/>
      </c>
      <c r="AF129" s="27" t="str">
        <f>IF('Sensor Detail'!G131=0,"","-" &amp; 'Sensor Detail'!G131)</f>
        <v/>
      </c>
      <c r="AG129" s="27" t="str">
        <f>IF('Sensor Detail'!I131=0,"",'Sensor Detail'!I131)</f>
        <v/>
      </c>
      <c r="AH129" s="27" t="str">
        <f>IF('Sensor Detail'!E131=0,"","+" &amp; 'Sensor Detail'!E131)</f>
        <v/>
      </c>
      <c r="AI129" s="27" t="str">
        <f t="shared" si="27"/>
        <v/>
      </c>
      <c r="AJ129" s="27" t="str">
        <f>IF('Sensor Detail'!J131=0,"",'Sensor Detail'!J131)</f>
        <v/>
      </c>
      <c r="AK129" s="27" t="str">
        <f>IF('Sensor Detail'!K131=0,"",'Sensor Detail'!K131)</f>
        <v/>
      </c>
      <c r="AL129" s="27" t="str">
        <f>IF('Sensor Detail'!L131=0,"",'Sensor Detail'!L131)</f>
        <v/>
      </c>
      <c r="AM129" s="27" t="str">
        <f>IF('Sensor Detail'!M131=0,"",'Sensor Detail'!M131)</f>
        <v/>
      </c>
      <c r="AN129" s="27" t="str">
        <f>IF('Sensor Detail'!N131=0,"",'Sensor Detail'!N131)</f>
        <v/>
      </c>
      <c r="AO129" s="27" t="str">
        <f>IF('Sensor Detail'!O131=0,"",'Sensor Detail'!O131)</f>
        <v/>
      </c>
      <c r="AP129" s="15" t="str">
        <f t="shared" si="28"/>
        <v/>
      </c>
      <c r="AQ129" s="15" t="str">
        <f t="shared" si="29"/>
        <v/>
      </c>
    </row>
    <row r="130" spans="1:43">
      <c r="A130" s="13" t="str">
        <f t="shared" si="15"/>
        <v/>
      </c>
      <c r="B130" s="13" t="str">
        <f t="shared" si="16"/>
        <v/>
      </c>
      <c r="C130" s="15" t="str">
        <f t="shared" si="17"/>
        <v/>
      </c>
      <c r="D130" s="15" t="str">
        <f t="shared" si="18"/>
        <v/>
      </c>
      <c r="E130" s="15" t="str">
        <f t="shared" si="19"/>
        <v/>
      </c>
      <c r="F130" s="15" t="str">
        <f t="shared" si="20"/>
        <v/>
      </c>
      <c r="G130" s="15" t="str">
        <f t="shared" si="21"/>
        <v/>
      </c>
      <c r="H130" s="15" t="str">
        <f t="shared" si="22"/>
        <v/>
      </c>
      <c r="I130" s="15" t="str">
        <f t="shared" si="23"/>
        <v/>
      </c>
      <c r="J130" s="15" t="str">
        <f t="shared" si="24"/>
        <v/>
      </c>
      <c r="K130" s="13" t="str">
        <f>IF('Cylinder Detail'!U132=0,"",'Cylinder Detail'!U132)</f>
        <v/>
      </c>
      <c r="L130" s="13" t="str">
        <f>IF('Cylinder Detail'!Z132=0,"",_xlfn.TEXTBEFORE('Cylinder Detail'!Z132, ","))</f>
        <v/>
      </c>
      <c r="M130" s="13" t="str">
        <f t="shared" si="25"/>
        <v/>
      </c>
      <c r="N130" s="17" t="str">
        <f>IF('Cylinder Detail'!V132=0,"",'Cylinder Detail'!V132)</f>
        <v/>
      </c>
      <c r="O130" s="17" t="str">
        <f>IF('Cylinder Detail'!Z132=0,"",_xlfn.TEXTAFTER('Cylinder Detail'!Z132, ", "))</f>
        <v/>
      </c>
      <c r="P130" s="17" t="str">
        <f>IF('Cylinder Detail'!AA132=0,"",'Cylinder Detail'!AA132)</f>
        <v/>
      </c>
      <c r="Q130" s="19" t="str">
        <f>IF('Cylinder Detail'!W132=0,"",'Cylinder Detail'!W132)</f>
        <v/>
      </c>
      <c r="R130" s="19" t="str">
        <f>IF('Cylinder Detail'!Y132=0,"",'Cylinder Detail'!Y132)</f>
        <v/>
      </c>
      <c r="S130" s="21" t="str">
        <f>IF('Cylinder Detail'!X132=0,"",'Cylinder Detail'!X132)</f>
        <v/>
      </c>
      <c r="T130" s="21" t="str">
        <f>IF('Cylinder Detail'!F132=0,"",'Cylinder Detail'!F132)</f>
        <v/>
      </c>
      <c r="U130" s="21" t="str">
        <f>IF('Cylinder Detail'!R132=0,"",'Cylinder Detail'!R132)</f>
        <v/>
      </c>
      <c r="V130" s="21" t="str">
        <f>IF('Cylinder Detail'!Q132=0,"",'Cylinder Detail'!Q132)</f>
        <v/>
      </c>
      <c r="W130" s="21" t="str">
        <f>IF('Cylinder Detail'!E132=0,"","+" &amp; 'Cylinder Detail'!E132)</f>
        <v/>
      </c>
      <c r="X130" s="21" t="str">
        <f t="shared" si="26"/>
        <v/>
      </c>
      <c r="Y130" s="21" t="str">
        <f>IF('Cylinder Detail'!S132=0,"",'Cylinder Detail'!S132)</f>
        <v/>
      </c>
      <c r="Z130" s="21" t="str">
        <f>IF('Cylinder Detail'!T132=0,"",'Cylinder Detail'!T132)</f>
        <v/>
      </c>
      <c r="AA130" s="21" t="str">
        <f>IF('Cylinder Detail'!H132=0,"",'Cylinder Detail'!H132)</f>
        <v/>
      </c>
      <c r="AB130" s="21" t="str">
        <f>IF('Cylinder Detail'!I132=0,"",'Cylinder Detail'!I132)</f>
        <v/>
      </c>
      <c r="AC130" s="22" t="str">
        <f>IF('Cylinder Detail'!AB132=0,"",'Cylinder Detail'!AB132)</f>
        <v/>
      </c>
      <c r="AD130" s="25" t="str">
        <f>IF('Sensor Detail'!F132=0,"","=" &amp; 'Sensor Detail'!F132)</f>
        <v/>
      </c>
      <c r="AE130" s="25" t="str">
        <f>IF('Sensor Detail'!H132=0,"",'Sensor Detail'!H132)</f>
        <v/>
      </c>
      <c r="AF130" s="27" t="str">
        <f>IF('Sensor Detail'!G132=0,"","-" &amp; 'Sensor Detail'!G132)</f>
        <v/>
      </c>
      <c r="AG130" s="27" t="str">
        <f>IF('Sensor Detail'!I132=0,"",'Sensor Detail'!I132)</f>
        <v/>
      </c>
      <c r="AH130" s="27" t="str">
        <f>IF('Sensor Detail'!E132=0,"","+" &amp; 'Sensor Detail'!E132)</f>
        <v/>
      </c>
      <c r="AI130" s="27" t="str">
        <f t="shared" si="27"/>
        <v/>
      </c>
      <c r="AJ130" s="27" t="str">
        <f>IF('Sensor Detail'!J132=0,"",'Sensor Detail'!J132)</f>
        <v/>
      </c>
      <c r="AK130" s="27" t="str">
        <f>IF('Sensor Detail'!K132=0,"",'Sensor Detail'!K132)</f>
        <v/>
      </c>
      <c r="AL130" s="27" t="str">
        <f>IF('Sensor Detail'!L132=0,"",'Sensor Detail'!L132)</f>
        <v/>
      </c>
      <c r="AM130" s="27" t="str">
        <f>IF('Sensor Detail'!M132=0,"",'Sensor Detail'!M132)</f>
        <v/>
      </c>
      <c r="AN130" s="27" t="str">
        <f>IF('Sensor Detail'!N132=0,"",'Sensor Detail'!N132)</f>
        <v/>
      </c>
      <c r="AO130" s="27" t="str">
        <f>IF('Sensor Detail'!O132=0,"",'Sensor Detail'!O132)</f>
        <v/>
      </c>
      <c r="AP130" s="15" t="str">
        <f t="shared" si="28"/>
        <v/>
      </c>
      <c r="AQ130" s="15" t="str">
        <f t="shared" si="29"/>
        <v/>
      </c>
    </row>
    <row r="131" spans="1:43">
      <c r="A131" s="13" t="str">
        <f t="shared" ref="A131:A194" si="30">IF(K131 = "","",Integrator)</f>
        <v/>
      </c>
      <c r="B131" s="13" t="str">
        <f t="shared" ref="B131:B194" si="31">IF(K131 = "","",IntegratorResponsibleEngineer)</f>
        <v/>
      </c>
      <c r="C131" s="15" t="str">
        <f t="shared" ref="C131:C194" si="32">IF(K131 = "","","++" &amp; Shop)</f>
        <v/>
      </c>
      <c r="D131" s="15" t="str">
        <f t="shared" ref="D131:D194" si="33">IF(K131 = "","","++" &amp; Line)</f>
        <v/>
      </c>
      <c r="E131" s="15" t="str">
        <f t="shared" ref="E131:E194" si="34">IF(K131 = "","",LineDescription)</f>
        <v/>
      </c>
      <c r="F131" s="15" t="str">
        <f t="shared" ref="F131:F194" si="35">IF(K131 = "","","+" &amp; Station)</f>
        <v/>
      </c>
      <c r="G131" s="15" t="str">
        <f t="shared" ref="G131:G194" si="36">IF(K131 = "","",StationDescription)</f>
        <v/>
      </c>
      <c r="H131" s="15" t="str">
        <f t="shared" ref="H131:H194" si="37">IF(K131 = "","",IF(System = "", "", "+" &amp; System) &amp; IF(Tool = "", "", "+" &amp; Tool))</f>
        <v/>
      </c>
      <c r="I131" s="15" t="str">
        <f t="shared" ref="I131:I194" si="38">IF(K131 = "","",ToolDescription)</f>
        <v/>
      </c>
      <c r="J131" s="15" t="str">
        <f t="shared" ref="J131:J194" si="39">IF(K131 = "","",ToolType)</f>
        <v/>
      </c>
      <c r="K131" s="13" t="str">
        <f>IF('Cylinder Detail'!U133=0,"",'Cylinder Detail'!U133)</f>
        <v/>
      </c>
      <c r="L131" s="13" t="str">
        <f>IF('Cylinder Detail'!Z133=0,"",_xlfn.TEXTBEFORE('Cylinder Detail'!Z133, ","))</f>
        <v/>
      </c>
      <c r="M131" s="13" t="str">
        <f t="shared" ref="M131:M194" si="40">IF(K131 = "","",ManifoldConnection)</f>
        <v/>
      </c>
      <c r="N131" s="17" t="str">
        <f>IF('Cylinder Detail'!V133=0,"",'Cylinder Detail'!V133)</f>
        <v/>
      </c>
      <c r="O131" s="17" t="str">
        <f>IF('Cylinder Detail'!Z133=0,"",_xlfn.TEXTAFTER('Cylinder Detail'!Z133, ", "))</f>
        <v/>
      </c>
      <c r="P131" s="17" t="str">
        <f>IF('Cylinder Detail'!AA133=0,"",'Cylinder Detail'!AA133)</f>
        <v/>
      </c>
      <c r="Q131" s="19" t="str">
        <f>IF('Cylinder Detail'!W133=0,"",'Cylinder Detail'!W133)</f>
        <v/>
      </c>
      <c r="R131" s="19" t="str">
        <f>IF('Cylinder Detail'!Y133=0,"",'Cylinder Detail'!Y133)</f>
        <v/>
      </c>
      <c r="S131" s="21" t="str">
        <f>IF('Cylinder Detail'!X133=0,"",'Cylinder Detail'!X133)</f>
        <v/>
      </c>
      <c r="T131" s="21" t="str">
        <f>IF('Cylinder Detail'!F133=0,"",'Cylinder Detail'!F133)</f>
        <v/>
      </c>
      <c r="U131" s="21" t="str">
        <f>IF('Cylinder Detail'!R133=0,"",'Cylinder Detail'!R133)</f>
        <v/>
      </c>
      <c r="V131" s="21" t="str">
        <f>IF('Cylinder Detail'!Q133=0,"",'Cylinder Detail'!Q133)</f>
        <v/>
      </c>
      <c r="W131" s="21" t="str">
        <f>IF('Cylinder Detail'!E133=0,"","+" &amp; 'Cylinder Detail'!E133)</f>
        <v/>
      </c>
      <c r="X131" s="21" t="str">
        <f t="shared" ref="X131:X194" si="41">IF(W131 = "", "","Unit ") &amp;W131</f>
        <v/>
      </c>
      <c r="Y131" s="21" t="str">
        <f>IF('Cylinder Detail'!S133=0,"",'Cylinder Detail'!S133)</f>
        <v/>
      </c>
      <c r="Z131" s="21" t="str">
        <f>IF('Cylinder Detail'!T133=0,"",'Cylinder Detail'!T133)</f>
        <v/>
      </c>
      <c r="AA131" s="21" t="str">
        <f>IF('Cylinder Detail'!H133=0,"",'Cylinder Detail'!H133)</f>
        <v/>
      </c>
      <c r="AB131" s="21" t="str">
        <f>IF('Cylinder Detail'!I133=0,"",'Cylinder Detail'!I133)</f>
        <v/>
      </c>
      <c r="AC131" s="22" t="str">
        <f>IF('Cylinder Detail'!AB133=0,"",'Cylinder Detail'!AB133)</f>
        <v/>
      </c>
      <c r="AD131" s="25" t="str">
        <f>IF('Sensor Detail'!F133=0,"","=" &amp; 'Sensor Detail'!F133)</f>
        <v/>
      </c>
      <c r="AE131" s="25" t="str">
        <f>IF('Sensor Detail'!H133=0,"",'Sensor Detail'!H133)</f>
        <v/>
      </c>
      <c r="AF131" s="27" t="str">
        <f>IF('Sensor Detail'!G133=0,"","-" &amp; 'Sensor Detail'!G133)</f>
        <v/>
      </c>
      <c r="AG131" s="27" t="str">
        <f>IF('Sensor Detail'!I133=0,"",'Sensor Detail'!I133)</f>
        <v/>
      </c>
      <c r="AH131" s="27" t="str">
        <f>IF('Sensor Detail'!E133=0,"","+" &amp; 'Sensor Detail'!E133)</f>
        <v/>
      </c>
      <c r="AI131" s="27" t="str">
        <f t="shared" ref="AI131:AI194" si="42">IF(AH131 = "", "","Unit ") &amp;AH131</f>
        <v/>
      </c>
      <c r="AJ131" s="27" t="str">
        <f>IF('Sensor Detail'!J133=0,"",'Sensor Detail'!J133)</f>
        <v/>
      </c>
      <c r="AK131" s="27" t="str">
        <f>IF('Sensor Detail'!K133=0,"",'Sensor Detail'!K133)</f>
        <v/>
      </c>
      <c r="AL131" s="27" t="str">
        <f>IF('Sensor Detail'!L133=0,"",'Sensor Detail'!L133)</f>
        <v/>
      </c>
      <c r="AM131" s="27" t="str">
        <f>IF('Sensor Detail'!M133=0,"",'Sensor Detail'!M133)</f>
        <v/>
      </c>
      <c r="AN131" s="27" t="str">
        <f>IF('Sensor Detail'!N133=0,"",'Sensor Detail'!N133)</f>
        <v/>
      </c>
      <c r="AO131" s="27" t="str">
        <f>IF('Sensor Detail'!O133=0,"",'Sensor Detail'!O133)</f>
        <v/>
      </c>
      <c r="AP131" s="15" t="str">
        <f t="shared" ref="AP131:AP194" si="43">IF(K131 = "","",System)</f>
        <v/>
      </c>
      <c r="AQ131" s="15" t="str">
        <f t="shared" ref="AQ131:AQ194" si="44">IF(K131 = "","",SystemDescription)</f>
        <v/>
      </c>
    </row>
    <row r="132" spans="1:43">
      <c r="A132" s="13" t="str">
        <f t="shared" si="30"/>
        <v/>
      </c>
      <c r="B132" s="13" t="str">
        <f t="shared" si="31"/>
        <v/>
      </c>
      <c r="C132" s="15" t="str">
        <f t="shared" si="32"/>
        <v/>
      </c>
      <c r="D132" s="15" t="str">
        <f t="shared" si="33"/>
        <v/>
      </c>
      <c r="E132" s="15" t="str">
        <f t="shared" si="34"/>
        <v/>
      </c>
      <c r="F132" s="15" t="str">
        <f t="shared" si="35"/>
        <v/>
      </c>
      <c r="G132" s="15" t="str">
        <f t="shared" si="36"/>
        <v/>
      </c>
      <c r="H132" s="15" t="str">
        <f t="shared" si="37"/>
        <v/>
      </c>
      <c r="I132" s="15" t="str">
        <f t="shared" si="38"/>
        <v/>
      </c>
      <c r="J132" s="15" t="str">
        <f t="shared" si="39"/>
        <v/>
      </c>
      <c r="K132" s="13" t="str">
        <f>IF('Cylinder Detail'!U134=0,"",'Cylinder Detail'!U134)</f>
        <v/>
      </c>
      <c r="L132" s="13" t="str">
        <f>IF('Cylinder Detail'!Z134=0,"",_xlfn.TEXTBEFORE('Cylinder Detail'!Z134, ","))</f>
        <v/>
      </c>
      <c r="M132" s="13" t="str">
        <f t="shared" si="40"/>
        <v/>
      </c>
      <c r="N132" s="17" t="str">
        <f>IF('Cylinder Detail'!V134=0,"",'Cylinder Detail'!V134)</f>
        <v/>
      </c>
      <c r="O132" s="17" t="str">
        <f>IF('Cylinder Detail'!Z134=0,"",_xlfn.TEXTAFTER('Cylinder Detail'!Z134, ", "))</f>
        <v/>
      </c>
      <c r="P132" s="17" t="str">
        <f>IF('Cylinder Detail'!AA134=0,"",'Cylinder Detail'!AA134)</f>
        <v/>
      </c>
      <c r="Q132" s="19" t="str">
        <f>IF('Cylinder Detail'!W134=0,"",'Cylinder Detail'!W134)</f>
        <v/>
      </c>
      <c r="R132" s="19" t="str">
        <f>IF('Cylinder Detail'!Y134=0,"",'Cylinder Detail'!Y134)</f>
        <v/>
      </c>
      <c r="S132" s="21" t="str">
        <f>IF('Cylinder Detail'!X134=0,"",'Cylinder Detail'!X134)</f>
        <v/>
      </c>
      <c r="T132" s="21" t="str">
        <f>IF('Cylinder Detail'!F134=0,"",'Cylinder Detail'!F134)</f>
        <v/>
      </c>
      <c r="U132" s="21" t="str">
        <f>IF('Cylinder Detail'!R134=0,"",'Cylinder Detail'!R134)</f>
        <v/>
      </c>
      <c r="V132" s="21" t="str">
        <f>IF('Cylinder Detail'!Q134=0,"",'Cylinder Detail'!Q134)</f>
        <v/>
      </c>
      <c r="W132" s="21" t="str">
        <f>IF('Cylinder Detail'!E134=0,"","+" &amp; 'Cylinder Detail'!E134)</f>
        <v/>
      </c>
      <c r="X132" s="21" t="str">
        <f t="shared" si="41"/>
        <v/>
      </c>
      <c r="Y132" s="21" t="str">
        <f>IF('Cylinder Detail'!S134=0,"",'Cylinder Detail'!S134)</f>
        <v/>
      </c>
      <c r="Z132" s="21" t="str">
        <f>IF('Cylinder Detail'!T134=0,"",'Cylinder Detail'!T134)</f>
        <v/>
      </c>
      <c r="AA132" s="21" t="str">
        <f>IF('Cylinder Detail'!H134=0,"",'Cylinder Detail'!H134)</f>
        <v/>
      </c>
      <c r="AB132" s="21" t="str">
        <f>IF('Cylinder Detail'!I134=0,"",'Cylinder Detail'!I134)</f>
        <v/>
      </c>
      <c r="AC132" s="22" t="str">
        <f>IF('Cylinder Detail'!AB134=0,"",'Cylinder Detail'!AB134)</f>
        <v/>
      </c>
      <c r="AD132" s="25" t="str">
        <f>IF('Sensor Detail'!F134=0,"","=" &amp; 'Sensor Detail'!F134)</f>
        <v/>
      </c>
      <c r="AE132" s="25" t="str">
        <f>IF('Sensor Detail'!H134=0,"",'Sensor Detail'!H134)</f>
        <v/>
      </c>
      <c r="AF132" s="27" t="str">
        <f>IF('Sensor Detail'!G134=0,"","-" &amp; 'Sensor Detail'!G134)</f>
        <v/>
      </c>
      <c r="AG132" s="27" t="str">
        <f>IF('Sensor Detail'!I134=0,"",'Sensor Detail'!I134)</f>
        <v/>
      </c>
      <c r="AH132" s="27" t="str">
        <f>IF('Sensor Detail'!E134=0,"","+" &amp; 'Sensor Detail'!E134)</f>
        <v/>
      </c>
      <c r="AI132" s="27" t="str">
        <f t="shared" si="42"/>
        <v/>
      </c>
      <c r="AJ132" s="27" t="str">
        <f>IF('Sensor Detail'!J134=0,"",'Sensor Detail'!J134)</f>
        <v/>
      </c>
      <c r="AK132" s="27" t="str">
        <f>IF('Sensor Detail'!K134=0,"",'Sensor Detail'!K134)</f>
        <v/>
      </c>
      <c r="AL132" s="27" t="str">
        <f>IF('Sensor Detail'!L134=0,"",'Sensor Detail'!L134)</f>
        <v/>
      </c>
      <c r="AM132" s="27" t="str">
        <f>IF('Sensor Detail'!M134=0,"",'Sensor Detail'!M134)</f>
        <v/>
      </c>
      <c r="AN132" s="27" t="str">
        <f>IF('Sensor Detail'!N134=0,"",'Sensor Detail'!N134)</f>
        <v/>
      </c>
      <c r="AO132" s="27" t="str">
        <f>IF('Sensor Detail'!O134=0,"",'Sensor Detail'!O134)</f>
        <v/>
      </c>
      <c r="AP132" s="15" t="str">
        <f t="shared" si="43"/>
        <v/>
      </c>
      <c r="AQ132" s="15" t="str">
        <f t="shared" si="44"/>
        <v/>
      </c>
    </row>
    <row r="133" spans="1:43">
      <c r="A133" s="13" t="str">
        <f t="shared" si="30"/>
        <v/>
      </c>
      <c r="B133" s="13" t="str">
        <f t="shared" si="31"/>
        <v/>
      </c>
      <c r="C133" s="15" t="str">
        <f t="shared" si="32"/>
        <v/>
      </c>
      <c r="D133" s="15" t="str">
        <f t="shared" si="33"/>
        <v/>
      </c>
      <c r="E133" s="15" t="str">
        <f t="shared" si="34"/>
        <v/>
      </c>
      <c r="F133" s="15" t="str">
        <f t="shared" si="35"/>
        <v/>
      </c>
      <c r="G133" s="15" t="str">
        <f t="shared" si="36"/>
        <v/>
      </c>
      <c r="H133" s="15" t="str">
        <f t="shared" si="37"/>
        <v/>
      </c>
      <c r="I133" s="15" t="str">
        <f t="shared" si="38"/>
        <v/>
      </c>
      <c r="J133" s="15" t="str">
        <f t="shared" si="39"/>
        <v/>
      </c>
      <c r="K133" s="13" t="str">
        <f>IF('Cylinder Detail'!U135=0,"",'Cylinder Detail'!U135)</f>
        <v/>
      </c>
      <c r="L133" s="13" t="str">
        <f>IF('Cylinder Detail'!Z135=0,"",_xlfn.TEXTBEFORE('Cylinder Detail'!Z135, ","))</f>
        <v/>
      </c>
      <c r="M133" s="13" t="str">
        <f t="shared" si="40"/>
        <v/>
      </c>
      <c r="N133" s="17" t="str">
        <f>IF('Cylinder Detail'!V135=0,"",'Cylinder Detail'!V135)</f>
        <v/>
      </c>
      <c r="O133" s="17" t="str">
        <f>IF('Cylinder Detail'!Z135=0,"",_xlfn.TEXTAFTER('Cylinder Detail'!Z135, ", "))</f>
        <v/>
      </c>
      <c r="P133" s="17" t="str">
        <f>IF('Cylinder Detail'!AA135=0,"",'Cylinder Detail'!AA135)</f>
        <v/>
      </c>
      <c r="Q133" s="19" t="str">
        <f>IF('Cylinder Detail'!W135=0,"",'Cylinder Detail'!W135)</f>
        <v/>
      </c>
      <c r="R133" s="19" t="str">
        <f>IF('Cylinder Detail'!Y135=0,"",'Cylinder Detail'!Y135)</f>
        <v/>
      </c>
      <c r="S133" s="21" t="str">
        <f>IF('Cylinder Detail'!X135=0,"",'Cylinder Detail'!X135)</f>
        <v/>
      </c>
      <c r="T133" s="21" t="str">
        <f>IF('Cylinder Detail'!F135=0,"",'Cylinder Detail'!F135)</f>
        <v/>
      </c>
      <c r="U133" s="21" t="str">
        <f>IF('Cylinder Detail'!R135=0,"",'Cylinder Detail'!R135)</f>
        <v/>
      </c>
      <c r="V133" s="21" t="str">
        <f>IF('Cylinder Detail'!Q135=0,"",'Cylinder Detail'!Q135)</f>
        <v/>
      </c>
      <c r="W133" s="21" t="str">
        <f>IF('Cylinder Detail'!E135=0,"","+" &amp; 'Cylinder Detail'!E135)</f>
        <v/>
      </c>
      <c r="X133" s="21" t="str">
        <f t="shared" si="41"/>
        <v/>
      </c>
      <c r="Y133" s="21" t="str">
        <f>IF('Cylinder Detail'!S135=0,"",'Cylinder Detail'!S135)</f>
        <v/>
      </c>
      <c r="Z133" s="21" t="str">
        <f>IF('Cylinder Detail'!T135=0,"",'Cylinder Detail'!T135)</f>
        <v/>
      </c>
      <c r="AA133" s="21" t="str">
        <f>IF('Cylinder Detail'!H135=0,"",'Cylinder Detail'!H135)</f>
        <v/>
      </c>
      <c r="AB133" s="21" t="str">
        <f>IF('Cylinder Detail'!I135=0,"",'Cylinder Detail'!I135)</f>
        <v/>
      </c>
      <c r="AC133" s="22" t="str">
        <f>IF('Cylinder Detail'!AB135=0,"",'Cylinder Detail'!AB135)</f>
        <v/>
      </c>
      <c r="AD133" s="25" t="str">
        <f>IF('Sensor Detail'!F135=0,"","=" &amp; 'Sensor Detail'!F135)</f>
        <v/>
      </c>
      <c r="AE133" s="25" t="str">
        <f>IF('Sensor Detail'!H135=0,"",'Sensor Detail'!H135)</f>
        <v/>
      </c>
      <c r="AF133" s="27" t="str">
        <f>IF('Sensor Detail'!G135=0,"","-" &amp; 'Sensor Detail'!G135)</f>
        <v/>
      </c>
      <c r="AG133" s="27" t="str">
        <f>IF('Sensor Detail'!I135=0,"",'Sensor Detail'!I135)</f>
        <v/>
      </c>
      <c r="AH133" s="27" t="str">
        <f>IF('Sensor Detail'!E135=0,"","+" &amp; 'Sensor Detail'!E135)</f>
        <v/>
      </c>
      <c r="AI133" s="27" t="str">
        <f t="shared" si="42"/>
        <v/>
      </c>
      <c r="AJ133" s="27" t="str">
        <f>IF('Sensor Detail'!J135=0,"",'Sensor Detail'!J135)</f>
        <v/>
      </c>
      <c r="AK133" s="27" t="str">
        <f>IF('Sensor Detail'!K135=0,"",'Sensor Detail'!K135)</f>
        <v/>
      </c>
      <c r="AL133" s="27" t="str">
        <f>IF('Sensor Detail'!L135=0,"",'Sensor Detail'!L135)</f>
        <v/>
      </c>
      <c r="AM133" s="27" t="str">
        <f>IF('Sensor Detail'!M135=0,"",'Sensor Detail'!M135)</f>
        <v/>
      </c>
      <c r="AN133" s="27" t="str">
        <f>IF('Sensor Detail'!N135=0,"",'Sensor Detail'!N135)</f>
        <v/>
      </c>
      <c r="AO133" s="27" t="str">
        <f>IF('Sensor Detail'!O135=0,"",'Sensor Detail'!O135)</f>
        <v/>
      </c>
      <c r="AP133" s="15" t="str">
        <f t="shared" si="43"/>
        <v/>
      </c>
      <c r="AQ133" s="15" t="str">
        <f t="shared" si="44"/>
        <v/>
      </c>
    </row>
    <row r="134" spans="1:43">
      <c r="A134" s="13" t="str">
        <f t="shared" si="30"/>
        <v/>
      </c>
      <c r="B134" s="13" t="str">
        <f t="shared" si="31"/>
        <v/>
      </c>
      <c r="C134" s="15" t="str">
        <f t="shared" si="32"/>
        <v/>
      </c>
      <c r="D134" s="15" t="str">
        <f t="shared" si="33"/>
        <v/>
      </c>
      <c r="E134" s="15" t="str">
        <f t="shared" si="34"/>
        <v/>
      </c>
      <c r="F134" s="15" t="str">
        <f t="shared" si="35"/>
        <v/>
      </c>
      <c r="G134" s="15" t="str">
        <f t="shared" si="36"/>
        <v/>
      </c>
      <c r="H134" s="15" t="str">
        <f t="shared" si="37"/>
        <v/>
      </c>
      <c r="I134" s="15" t="str">
        <f t="shared" si="38"/>
        <v/>
      </c>
      <c r="J134" s="15" t="str">
        <f t="shared" si="39"/>
        <v/>
      </c>
      <c r="K134" s="13" t="str">
        <f>IF('Cylinder Detail'!U136=0,"",'Cylinder Detail'!U136)</f>
        <v/>
      </c>
      <c r="L134" s="13" t="str">
        <f>IF('Cylinder Detail'!Z136=0,"",_xlfn.TEXTBEFORE('Cylinder Detail'!Z136, ","))</f>
        <v/>
      </c>
      <c r="M134" s="13" t="str">
        <f t="shared" si="40"/>
        <v/>
      </c>
      <c r="N134" s="17" t="str">
        <f>IF('Cylinder Detail'!V136=0,"",'Cylinder Detail'!V136)</f>
        <v/>
      </c>
      <c r="O134" s="17" t="str">
        <f>IF('Cylinder Detail'!Z136=0,"",_xlfn.TEXTAFTER('Cylinder Detail'!Z136, ", "))</f>
        <v/>
      </c>
      <c r="P134" s="17" t="str">
        <f>IF('Cylinder Detail'!AA136=0,"",'Cylinder Detail'!AA136)</f>
        <v/>
      </c>
      <c r="Q134" s="19" t="str">
        <f>IF('Cylinder Detail'!W136=0,"",'Cylinder Detail'!W136)</f>
        <v/>
      </c>
      <c r="R134" s="19" t="str">
        <f>IF('Cylinder Detail'!Y136=0,"",'Cylinder Detail'!Y136)</f>
        <v/>
      </c>
      <c r="S134" s="21" t="str">
        <f>IF('Cylinder Detail'!X136=0,"",'Cylinder Detail'!X136)</f>
        <v/>
      </c>
      <c r="T134" s="21" t="str">
        <f>IF('Cylinder Detail'!F136=0,"",'Cylinder Detail'!F136)</f>
        <v/>
      </c>
      <c r="U134" s="21" t="str">
        <f>IF('Cylinder Detail'!R136=0,"",'Cylinder Detail'!R136)</f>
        <v/>
      </c>
      <c r="V134" s="21" t="str">
        <f>IF('Cylinder Detail'!Q136=0,"",'Cylinder Detail'!Q136)</f>
        <v/>
      </c>
      <c r="W134" s="21" t="str">
        <f>IF('Cylinder Detail'!E136=0,"","+" &amp; 'Cylinder Detail'!E136)</f>
        <v/>
      </c>
      <c r="X134" s="21" t="str">
        <f t="shared" si="41"/>
        <v/>
      </c>
      <c r="Y134" s="21" t="str">
        <f>IF('Cylinder Detail'!S136=0,"",'Cylinder Detail'!S136)</f>
        <v/>
      </c>
      <c r="Z134" s="21" t="str">
        <f>IF('Cylinder Detail'!T136=0,"",'Cylinder Detail'!T136)</f>
        <v/>
      </c>
      <c r="AA134" s="21" t="str">
        <f>IF('Cylinder Detail'!H136=0,"",'Cylinder Detail'!H136)</f>
        <v/>
      </c>
      <c r="AB134" s="21" t="str">
        <f>IF('Cylinder Detail'!I136=0,"",'Cylinder Detail'!I136)</f>
        <v/>
      </c>
      <c r="AC134" s="22" t="str">
        <f>IF('Cylinder Detail'!AB136=0,"",'Cylinder Detail'!AB136)</f>
        <v/>
      </c>
      <c r="AD134" s="25" t="str">
        <f>IF('Sensor Detail'!F136=0,"","=" &amp; 'Sensor Detail'!F136)</f>
        <v/>
      </c>
      <c r="AE134" s="25" t="str">
        <f>IF('Sensor Detail'!H136=0,"",'Sensor Detail'!H136)</f>
        <v/>
      </c>
      <c r="AF134" s="27" t="str">
        <f>IF('Sensor Detail'!G136=0,"","-" &amp; 'Sensor Detail'!G136)</f>
        <v/>
      </c>
      <c r="AG134" s="27" t="str">
        <f>IF('Sensor Detail'!I136=0,"",'Sensor Detail'!I136)</f>
        <v/>
      </c>
      <c r="AH134" s="27" t="str">
        <f>IF('Sensor Detail'!E136=0,"","+" &amp; 'Sensor Detail'!E136)</f>
        <v/>
      </c>
      <c r="AI134" s="27" t="str">
        <f t="shared" si="42"/>
        <v/>
      </c>
      <c r="AJ134" s="27" t="str">
        <f>IF('Sensor Detail'!J136=0,"",'Sensor Detail'!J136)</f>
        <v/>
      </c>
      <c r="AK134" s="27" t="str">
        <f>IF('Sensor Detail'!K136=0,"",'Sensor Detail'!K136)</f>
        <v/>
      </c>
      <c r="AL134" s="27" t="str">
        <f>IF('Sensor Detail'!L136=0,"",'Sensor Detail'!L136)</f>
        <v/>
      </c>
      <c r="AM134" s="27" t="str">
        <f>IF('Sensor Detail'!M136=0,"",'Sensor Detail'!M136)</f>
        <v/>
      </c>
      <c r="AN134" s="27" t="str">
        <f>IF('Sensor Detail'!N136=0,"",'Sensor Detail'!N136)</f>
        <v/>
      </c>
      <c r="AO134" s="27" t="str">
        <f>IF('Sensor Detail'!O136=0,"",'Sensor Detail'!O136)</f>
        <v/>
      </c>
      <c r="AP134" s="15" t="str">
        <f t="shared" si="43"/>
        <v/>
      </c>
      <c r="AQ134" s="15" t="str">
        <f t="shared" si="44"/>
        <v/>
      </c>
    </row>
    <row r="135" spans="1:43">
      <c r="A135" s="13" t="str">
        <f t="shared" si="30"/>
        <v/>
      </c>
      <c r="B135" s="13" t="str">
        <f t="shared" si="31"/>
        <v/>
      </c>
      <c r="C135" s="15" t="str">
        <f t="shared" si="32"/>
        <v/>
      </c>
      <c r="D135" s="15" t="str">
        <f t="shared" si="33"/>
        <v/>
      </c>
      <c r="E135" s="15" t="str">
        <f t="shared" si="34"/>
        <v/>
      </c>
      <c r="F135" s="15" t="str">
        <f t="shared" si="35"/>
        <v/>
      </c>
      <c r="G135" s="15" t="str">
        <f t="shared" si="36"/>
        <v/>
      </c>
      <c r="H135" s="15" t="str">
        <f t="shared" si="37"/>
        <v/>
      </c>
      <c r="I135" s="15" t="str">
        <f t="shared" si="38"/>
        <v/>
      </c>
      <c r="J135" s="15" t="str">
        <f t="shared" si="39"/>
        <v/>
      </c>
      <c r="K135" s="13" t="str">
        <f>IF('Cylinder Detail'!U137=0,"",'Cylinder Detail'!U137)</f>
        <v/>
      </c>
      <c r="L135" s="13" t="str">
        <f>IF('Cylinder Detail'!Z137=0,"",_xlfn.TEXTBEFORE('Cylinder Detail'!Z137, ","))</f>
        <v/>
      </c>
      <c r="M135" s="13" t="str">
        <f t="shared" si="40"/>
        <v/>
      </c>
      <c r="N135" s="17" t="str">
        <f>IF('Cylinder Detail'!V137=0,"",'Cylinder Detail'!V137)</f>
        <v/>
      </c>
      <c r="O135" s="17" t="str">
        <f>IF('Cylinder Detail'!Z137=0,"",_xlfn.TEXTAFTER('Cylinder Detail'!Z137, ", "))</f>
        <v/>
      </c>
      <c r="P135" s="17" t="str">
        <f>IF('Cylinder Detail'!AA137=0,"",'Cylinder Detail'!AA137)</f>
        <v/>
      </c>
      <c r="Q135" s="19" t="str">
        <f>IF('Cylinder Detail'!W137=0,"",'Cylinder Detail'!W137)</f>
        <v/>
      </c>
      <c r="R135" s="19" t="str">
        <f>IF('Cylinder Detail'!Y137=0,"",'Cylinder Detail'!Y137)</f>
        <v/>
      </c>
      <c r="S135" s="21" t="str">
        <f>IF('Cylinder Detail'!X137=0,"",'Cylinder Detail'!X137)</f>
        <v/>
      </c>
      <c r="T135" s="21" t="str">
        <f>IF('Cylinder Detail'!F137=0,"",'Cylinder Detail'!F137)</f>
        <v/>
      </c>
      <c r="U135" s="21" t="str">
        <f>IF('Cylinder Detail'!R137=0,"",'Cylinder Detail'!R137)</f>
        <v/>
      </c>
      <c r="V135" s="21" t="str">
        <f>IF('Cylinder Detail'!Q137=0,"",'Cylinder Detail'!Q137)</f>
        <v/>
      </c>
      <c r="W135" s="21" t="str">
        <f>IF('Cylinder Detail'!E137=0,"","+" &amp; 'Cylinder Detail'!E137)</f>
        <v/>
      </c>
      <c r="X135" s="21" t="str">
        <f t="shared" si="41"/>
        <v/>
      </c>
      <c r="Y135" s="21" t="str">
        <f>IF('Cylinder Detail'!S137=0,"",'Cylinder Detail'!S137)</f>
        <v/>
      </c>
      <c r="Z135" s="21" t="str">
        <f>IF('Cylinder Detail'!T137=0,"",'Cylinder Detail'!T137)</f>
        <v/>
      </c>
      <c r="AA135" s="21" t="str">
        <f>IF('Cylinder Detail'!H137=0,"",'Cylinder Detail'!H137)</f>
        <v/>
      </c>
      <c r="AB135" s="21" t="str">
        <f>IF('Cylinder Detail'!I137=0,"",'Cylinder Detail'!I137)</f>
        <v/>
      </c>
      <c r="AC135" s="22" t="str">
        <f>IF('Cylinder Detail'!AB137=0,"",'Cylinder Detail'!AB137)</f>
        <v/>
      </c>
      <c r="AD135" s="25" t="str">
        <f>IF('Sensor Detail'!F137=0,"","=" &amp; 'Sensor Detail'!F137)</f>
        <v/>
      </c>
      <c r="AE135" s="25" t="str">
        <f>IF('Sensor Detail'!H137=0,"",'Sensor Detail'!H137)</f>
        <v/>
      </c>
      <c r="AF135" s="27" t="str">
        <f>IF('Sensor Detail'!G137=0,"","-" &amp; 'Sensor Detail'!G137)</f>
        <v/>
      </c>
      <c r="AG135" s="27" t="str">
        <f>IF('Sensor Detail'!I137=0,"",'Sensor Detail'!I137)</f>
        <v/>
      </c>
      <c r="AH135" s="27" t="str">
        <f>IF('Sensor Detail'!E137=0,"","+" &amp; 'Sensor Detail'!E137)</f>
        <v/>
      </c>
      <c r="AI135" s="27" t="str">
        <f t="shared" si="42"/>
        <v/>
      </c>
      <c r="AJ135" s="27" t="str">
        <f>IF('Sensor Detail'!J137=0,"",'Sensor Detail'!J137)</f>
        <v/>
      </c>
      <c r="AK135" s="27" t="str">
        <f>IF('Sensor Detail'!K137=0,"",'Sensor Detail'!K137)</f>
        <v/>
      </c>
      <c r="AL135" s="27" t="str">
        <f>IF('Sensor Detail'!L137=0,"",'Sensor Detail'!L137)</f>
        <v/>
      </c>
      <c r="AM135" s="27" t="str">
        <f>IF('Sensor Detail'!M137=0,"",'Sensor Detail'!M137)</f>
        <v/>
      </c>
      <c r="AN135" s="27" t="str">
        <f>IF('Sensor Detail'!N137=0,"",'Sensor Detail'!N137)</f>
        <v/>
      </c>
      <c r="AO135" s="27" t="str">
        <f>IF('Sensor Detail'!O137=0,"",'Sensor Detail'!O137)</f>
        <v/>
      </c>
      <c r="AP135" s="15" t="str">
        <f t="shared" si="43"/>
        <v/>
      </c>
      <c r="AQ135" s="15" t="str">
        <f t="shared" si="44"/>
        <v/>
      </c>
    </row>
    <row r="136" spans="1:43">
      <c r="A136" s="13" t="str">
        <f t="shared" si="30"/>
        <v/>
      </c>
      <c r="B136" s="13" t="str">
        <f t="shared" si="31"/>
        <v/>
      </c>
      <c r="C136" s="15" t="str">
        <f t="shared" si="32"/>
        <v/>
      </c>
      <c r="D136" s="15" t="str">
        <f t="shared" si="33"/>
        <v/>
      </c>
      <c r="E136" s="15" t="str">
        <f t="shared" si="34"/>
        <v/>
      </c>
      <c r="F136" s="15" t="str">
        <f t="shared" si="35"/>
        <v/>
      </c>
      <c r="G136" s="15" t="str">
        <f t="shared" si="36"/>
        <v/>
      </c>
      <c r="H136" s="15" t="str">
        <f t="shared" si="37"/>
        <v/>
      </c>
      <c r="I136" s="15" t="str">
        <f t="shared" si="38"/>
        <v/>
      </c>
      <c r="J136" s="15" t="str">
        <f t="shared" si="39"/>
        <v/>
      </c>
      <c r="K136" s="13" t="str">
        <f>IF('Cylinder Detail'!U138=0,"",'Cylinder Detail'!U138)</f>
        <v/>
      </c>
      <c r="L136" s="13" t="str">
        <f>IF('Cylinder Detail'!Z138=0,"",_xlfn.TEXTBEFORE('Cylinder Detail'!Z138, ","))</f>
        <v/>
      </c>
      <c r="M136" s="13" t="str">
        <f t="shared" si="40"/>
        <v/>
      </c>
      <c r="N136" s="17" t="str">
        <f>IF('Cylinder Detail'!V138=0,"",'Cylinder Detail'!V138)</f>
        <v/>
      </c>
      <c r="O136" s="17" t="str">
        <f>IF('Cylinder Detail'!Z138=0,"",_xlfn.TEXTAFTER('Cylinder Detail'!Z138, ", "))</f>
        <v/>
      </c>
      <c r="P136" s="17" t="str">
        <f>IF('Cylinder Detail'!AA138=0,"",'Cylinder Detail'!AA138)</f>
        <v/>
      </c>
      <c r="Q136" s="19" t="str">
        <f>IF('Cylinder Detail'!W138=0,"",'Cylinder Detail'!W138)</f>
        <v/>
      </c>
      <c r="R136" s="19" t="str">
        <f>IF('Cylinder Detail'!Y138=0,"",'Cylinder Detail'!Y138)</f>
        <v/>
      </c>
      <c r="S136" s="21" t="str">
        <f>IF('Cylinder Detail'!X138=0,"",'Cylinder Detail'!X138)</f>
        <v/>
      </c>
      <c r="T136" s="21" t="str">
        <f>IF('Cylinder Detail'!F138=0,"",'Cylinder Detail'!F138)</f>
        <v/>
      </c>
      <c r="U136" s="21" t="str">
        <f>IF('Cylinder Detail'!R138=0,"",'Cylinder Detail'!R138)</f>
        <v/>
      </c>
      <c r="V136" s="21" t="str">
        <f>IF('Cylinder Detail'!Q138=0,"",'Cylinder Detail'!Q138)</f>
        <v/>
      </c>
      <c r="W136" s="21" t="str">
        <f>IF('Cylinder Detail'!E138=0,"","+" &amp; 'Cylinder Detail'!E138)</f>
        <v/>
      </c>
      <c r="X136" s="21" t="str">
        <f t="shared" si="41"/>
        <v/>
      </c>
      <c r="Y136" s="21" t="str">
        <f>IF('Cylinder Detail'!S138=0,"",'Cylinder Detail'!S138)</f>
        <v/>
      </c>
      <c r="Z136" s="21" t="str">
        <f>IF('Cylinder Detail'!T138=0,"",'Cylinder Detail'!T138)</f>
        <v/>
      </c>
      <c r="AA136" s="21" t="str">
        <f>IF('Cylinder Detail'!H138=0,"",'Cylinder Detail'!H138)</f>
        <v/>
      </c>
      <c r="AB136" s="21" t="str">
        <f>IF('Cylinder Detail'!I138=0,"",'Cylinder Detail'!I138)</f>
        <v/>
      </c>
      <c r="AC136" s="22" t="str">
        <f>IF('Cylinder Detail'!AB138=0,"",'Cylinder Detail'!AB138)</f>
        <v/>
      </c>
      <c r="AD136" s="25" t="str">
        <f>IF('Sensor Detail'!F138=0,"","=" &amp; 'Sensor Detail'!F138)</f>
        <v/>
      </c>
      <c r="AE136" s="25" t="str">
        <f>IF('Sensor Detail'!H138=0,"",'Sensor Detail'!H138)</f>
        <v/>
      </c>
      <c r="AF136" s="27" t="str">
        <f>IF('Sensor Detail'!G138=0,"","-" &amp; 'Sensor Detail'!G138)</f>
        <v/>
      </c>
      <c r="AG136" s="27" t="str">
        <f>IF('Sensor Detail'!I138=0,"",'Sensor Detail'!I138)</f>
        <v/>
      </c>
      <c r="AH136" s="27" t="str">
        <f>IF('Sensor Detail'!E138=0,"","+" &amp; 'Sensor Detail'!E138)</f>
        <v/>
      </c>
      <c r="AI136" s="27" t="str">
        <f t="shared" si="42"/>
        <v/>
      </c>
      <c r="AJ136" s="27" t="str">
        <f>IF('Sensor Detail'!J138=0,"",'Sensor Detail'!J138)</f>
        <v/>
      </c>
      <c r="AK136" s="27" t="str">
        <f>IF('Sensor Detail'!K138=0,"",'Sensor Detail'!K138)</f>
        <v/>
      </c>
      <c r="AL136" s="27" t="str">
        <f>IF('Sensor Detail'!L138=0,"",'Sensor Detail'!L138)</f>
        <v/>
      </c>
      <c r="AM136" s="27" t="str">
        <f>IF('Sensor Detail'!M138=0,"",'Sensor Detail'!M138)</f>
        <v/>
      </c>
      <c r="AN136" s="27" t="str">
        <f>IF('Sensor Detail'!N138=0,"",'Sensor Detail'!N138)</f>
        <v/>
      </c>
      <c r="AO136" s="27" t="str">
        <f>IF('Sensor Detail'!O138=0,"",'Sensor Detail'!O138)</f>
        <v/>
      </c>
      <c r="AP136" s="15" t="str">
        <f t="shared" si="43"/>
        <v/>
      </c>
      <c r="AQ136" s="15" t="str">
        <f t="shared" si="44"/>
        <v/>
      </c>
    </row>
    <row r="137" spans="1:43">
      <c r="A137" s="13" t="str">
        <f t="shared" si="30"/>
        <v/>
      </c>
      <c r="B137" s="13" t="str">
        <f t="shared" si="31"/>
        <v/>
      </c>
      <c r="C137" s="15" t="str">
        <f t="shared" si="32"/>
        <v/>
      </c>
      <c r="D137" s="15" t="str">
        <f t="shared" si="33"/>
        <v/>
      </c>
      <c r="E137" s="15" t="str">
        <f t="shared" si="34"/>
        <v/>
      </c>
      <c r="F137" s="15" t="str">
        <f t="shared" si="35"/>
        <v/>
      </c>
      <c r="G137" s="15" t="str">
        <f t="shared" si="36"/>
        <v/>
      </c>
      <c r="H137" s="15" t="str">
        <f t="shared" si="37"/>
        <v/>
      </c>
      <c r="I137" s="15" t="str">
        <f t="shared" si="38"/>
        <v/>
      </c>
      <c r="J137" s="15" t="str">
        <f t="shared" si="39"/>
        <v/>
      </c>
      <c r="K137" s="13" t="str">
        <f>IF('Cylinder Detail'!U139=0,"",'Cylinder Detail'!U139)</f>
        <v/>
      </c>
      <c r="L137" s="13" t="str">
        <f>IF('Cylinder Detail'!Z139=0,"",_xlfn.TEXTBEFORE('Cylinder Detail'!Z139, ","))</f>
        <v/>
      </c>
      <c r="M137" s="13" t="str">
        <f t="shared" si="40"/>
        <v/>
      </c>
      <c r="N137" s="17" t="str">
        <f>IF('Cylinder Detail'!V139=0,"",'Cylinder Detail'!V139)</f>
        <v/>
      </c>
      <c r="O137" s="17" t="str">
        <f>IF('Cylinder Detail'!Z139=0,"",_xlfn.TEXTAFTER('Cylinder Detail'!Z139, ", "))</f>
        <v/>
      </c>
      <c r="P137" s="17" t="str">
        <f>IF('Cylinder Detail'!AA139=0,"",'Cylinder Detail'!AA139)</f>
        <v/>
      </c>
      <c r="Q137" s="19" t="str">
        <f>IF('Cylinder Detail'!W139=0,"",'Cylinder Detail'!W139)</f>
        <v/>
      </c>
      <c r="R137" s="19" t="str">
        <f>IF('Cylinder Detail'!Y139=0,"",'Cylinder Detail'!Y139)</f>
        <v/>
      </c>
      <c r="S137" s="21" t="str">
        <f>IF('Cylinder Detail'!X139=0,"",'Cylinder Detail'!X139)</f>
        <v/>
      </c>
      <c r="T137" s="21" t="str">
        <f>IF('Cylinder Detail'!F139=0,"",'Cylinder Detail'!F139)</f>
        <v/>
      </c>
      <c r="U137" s="21" t="str">
        <f>IF('Cylinder Detail'!R139=0,"",'Cylinder Detail'!R139)</f>
        <v/>
      </c>
      <c r="V137" s="21" t="str">
        <f>IF('Cylinder Detail'!Q139=0,"",'Cylinder Detail'!Q139)</f>
        <v/>
      </c>
      <c r="W137" s="21" t="str">
        <f>IF('Cylinder Detail'!E139=0,"","+" &amp; 'Cylinder Detail'!E139)</f>
        <v/>
      </c>
      <c r="X137" s="21" t="str">
        <f t="shared" si="41"/>
        <v/>
      </c>
      <c r="Y137" s="21" t="str">
        <f>IF('Cylinder Detail'!S139=0,"",'Cylinder Detail'!S139)</f>
        <v/>
      </c>
      <c r="Z137" s="21" t="str">
        <f>IF('Cylinder Detail'!T139=0,"",'Cylinder Detail'!T139)</f>
        <v/>
      </c>
      <c r="AA137" s="21" t="str">
        <f>IF('Cylinder Detail'!H139=0,"",'Cylinder Detail'!H139)</f>
        <v/>
      </c>
      <c r="AB137" s="21" t="str">
        <f>IF('Cylinder Detail'!I139=0,"",'Cylinder Detail'!I139)</f>
        <v/>
      </c>
      <c r="AC137" s="22" t="str">
        <f>IF('Cylinder Detail'!AB139=0,"",'Cylinder Detail'!AB139)</f>
        <v/>
      </c>
      <c r="AD137" s="25" t="str">
        <f>IF('Sensor Detail'!F139=0,"","=" &amp; 'Sensor Detail'!F139)</f>
        <v/>
      </c>
      <c r="AE137" s="25" t="str">
        <f>IF('Sensor Detail'!H139=0,"",'Sensor Detail'!H139)</f>
        <v/>
      </c>
      <c r="AF137" s="27" t="str">
        <f>IF('Sensor Detail'!G139=0,"","-" &amp; 'Sensor Detail'!G139)</f>
        <v/>
      </c>
      <c r="AG137" s="27" t="str">
        <f>IF('Sensor Detail'!I139=0,"",'Sensor Detail'!I139)</f>
        <v/>
      </c>
      <c r="AH137" s="27" t="str">
        <f>IF('Sensor Detail'!E139=0,"","+" &amp; 'Sensor Detail'!E139)</f>
        <v/>
      </c>
      <c r="AI137" s="27" t="str">
        <f t="shared" si="42"/>
        <v/>
      </c>
      <c r="AJ137" s="27" t="str">
        <f>IF('Sensor Detail'!J139=0,"",'Sensor Detail'!J139)</f>
        <v/>
      </c>
      <c r="AK137" s="27" t="str">
        <f>IF('Sensor Detail'!K139=0,"",'Sensor Detail'!K139)</f>
        <v/>
      </c>
      <c r="AL137" s="27" t="str">
        <f>IF('Sensor Detail'!L139=0,"",'Sensor Detail'!L139)</f>
        <v/>
      </c>
      <c r="AM137" s="27" t="str">
        <f>IF('Sensor Detail'!M139=0,"",'Sensor Detail'!M139)</f>
        <v/>
      </c>
      <c r="AN137" s="27" t="str">
        <f>IF('Sensor Detail'!N139=0,"",'Sensor Detail'!N139)</f>
        <v/>
      </c>
      <c r="AO137" s="27" t="str">
        <f>IF('Sensor Detail'!O139=0,"",'Sensor Detail'!O139)</f>
        <v/>
      </c>
      <c r="AP137" s="15" t="str">
        <f t="shared" si="43"/>
        <v/>
      </c>
      <c r="AQ137" s="15" t="str">
        <f t="shared" si="44"/>
        <v/>
      </c>
    </row>
    <row r="138" spans="1:43">
      <c r="A138" s="13" t="str">
        <f t="shared" si="30"/>
        <v/>
      </c>
      <c r="B138" s="13" t="str">
        <f t="shared" si="31"/>
        <v/>
      </c>
      <c r="C138" s="15" t="str">
        <f t="shared" si="32"/>
        <v/>
      </c>
      <c r="D138" s="15" t="str">
        <f t="shared" si="33"/>
        <v/>
      </c>
      <c r="E138" s="15" t="str">
        <f t="shared" si="34"/>
        <v/>
      </c>
      <c r="F138" s="15" t="str">
        <f t="shared" si="35"/>
        <v/>
      </c>
      <c r="G138" s="15" t="str">
        <f t="shared" si="36"/>
        <v/>
      </c>
      <c r="H138" s="15" t="str">
        <f t="shared" si="37"/>
        <v/>
      </c>
      <c r="I138" s="15" t="str">
        <f t="shared" si="38"/>
        <v/>
      </c>
      <c r="J138" s="15" t="str">
        <f t="shared" si="39"/>
        <v/>
      </c>
      <c r="K138" s="13" t="str">
        <f>IF('Cylinder Detail'!U140=0,"",'Cylinder Detail'!U140)</f>
        <v/>
      </c>
      <c r="L138" s="13" t="str">
        <f>IF('Cylinder Detail'!Z140=0,"",_xlfn.TEXTBEFORE('Cylinder Detail'!Z140, ","))</f>
        <v/>
      </c>
      <c r="M138" s="13" t="str">
        <f t="shared" si="40"/>
        <v/>
      </c>
      <c r="N138" s="17" t="str">
        <f>IF('Cylinder Detail'!V140=0,"",'Cylinder Detail'!V140)</f>
        <v/>
      </c>
      <c r="O138" s="17" t="str">
        <f>IF('Cylinder Detail'!Z140=0,"",_xlfn.TEXTAFTER('Cylinder Detail'!Z140, ", "))</f>
        <v/>
      </c>
      <c r="P138" s="17" t="str">
        <f>IF('Cylinder Detail'!AA140=0,"",'Cylinder Detail'!AA140)</f>
        <v/>
      </c>
      <c r="Q138" s="19" t="str">
        <f>IF('Cylinder Detail'!W140=0,"",'Cylinder Detail'!W140)</f>
        <v/>
      </c>
      <c r="R138" s="19" t="str">
        <f>IF('Cylinder Detail'!Y140=0,"",'Cylinder Detail'!Y140)</f>
        <v/>
      </c>
      <c r="S138" s="21" t="str">
        <f>IF('Cylinder Detail'!X140=0,"",'Cylinder Detail'!X140)</f>
        <v/>
      </c>
      <c r="T138" s="21" t="str">
        <f>IF('Cylinder Detail'!F140=0,"",'Cylinder Detail'!F140)</f>
        <v/>
      </c>
      <c r="U138" s="21" t="str">
        <f>IF('Cylinder Detail'!R140=0,"",'Cylinder Detail'!R140)</f>
        <v/>
      </c>
      <c r="V138" s="21" t="str">
        <f>IF('Cylinder Detail'!Q140=0,"",'Cylinder Detail'!Q140)</f>
        <v/>
      </c>
      <c r="W138" s="21" t="str">
        <f>IF('Cylinder Detail'!E140=0,"","+" &amp; 'Cylinder Detail'!E140)</f>
        <v/>
      </c>
      <c r="X138" s="21" t="str">
        <f t="shared" si="41"/>
        <v/>
      </c>
      <c r="Y138" s="21" t="str">
        <f>IF('Cylinder Detail'!S140=0,"",'Cylinder Detail'!S140)</f>
        <v/>
      </c>
      <c r="Z138" s="21" t="str">
        <f>IF('Cylinder Detail'!T140=0,"",'Cylinder Detail'!T140)</f>
        <v/>
      </c>
      <c r="AA138" s="21" t="str">
        <f>IF('Cylinder Detail'!H140=0,"",'Cylinder Detail'!H140)</f>
        <v/>
      </c>
      <c r="AB138" s="21" t="str">
        <f>IF('Cylinder Detail'!I140=0,"",'Cylinder Detail'!I140)</f>
        <v/>
      </c>
      <c r="AC138" s="22" t="str">
        <f>IF('Cylinder Detail'!AB140=0,"",'Cylinder Detail'!AB140)</f>
        <v/>
      </c>
      <c r="AD138" s="25" t="str">
        <f>IF('Sensor Detail'!F140=0,"","=" &amp; 'Sensor Detail'!F140)</f>
        <v/>
      </c>
      <c r="AE138" s="25" t="str">
        <f>IF('Sensor Detail'!H140=0,"",'Sensor Detail'!H140)</f>
        <v/>
      </c>
      <c r="AF138" s="27" t="str">
        <f>IF('Sensor Detail'!G140=0,"","-" &amp; 'Sensor Detail'!G140)</f>
        <v/>
      </c>
      <c r="AG138" s="27" t="str">
        <f>IF('Sensor Detail'!I140=0,"",'Sensor Detail'!I140)</f>
        <v/>
      </c>
      <c r="AH138" s="27" t="str">
        <f>IF('Sensor Detail'!E140=0,"","+" &amp; 'Sensor Detail'!E140)</f>
        <v/>
      </c>
      <c r="AI138" s="27" t="str">
        <f t="shared" si="42"/>
        <v/>
      </c>
      <c r="AJ138" s="27" t="str">
        <f>IF('Sensor Detail'!J140=0,"",'Sensor Detail'!J140)</f>
        <v/>
      </c>
      <c r="AK138" s="27" t="str">
        <f>IF('Sensor Detail'!K140=0,"",'Sensor Detail'!K140)</f>
        <v/>
      </c>
      <c r="AL138" s="27" t="str">
        <f>IF('Sensor Detail'!L140=0,"",'Sensor Detail'!L140)</f>
        <v/>
      </c>
      <c r="AM138" s="27" t="str">
        <f>IF('Sensor Detail'!M140=0,"",'Sensor Detail'!M140)</f>
        <v/>
      </c>
      <c r="AN138" s="27" t="str">
        <f>IF('Sensor Detail'!N140=0,"",'Sensor Detail'!N140)</f>
        <v/>
      </c>
      <c r="AO138" s="27" t="str">
        <f>IF('Sensor Detail'!O140=0,"",'Sensor Detail'!O140)</f>
        <v/>
      </c>
      <c r="AP138" s="15" t="str">
        <f t="shared" si="43"/>
        <v/>
      </c>
      <c r="AQ138" s="15" t="str">
        <f t="shared" si="44"/>
        <v/>
      </c>
    </row>
    <row r="139" spans="1:43">
      <c r="A139" s="13" t="str">
        <f t="shared" si="30"/>
        <v/>
      </c>
      <c r="B139" s="13" t="str">
        <f t="shared" si="31"/>
        <v/>
      </c>
      <c r="C139" s="15" t="str">
        <f t="shared" si="32"/>
        <v/>
      </c>
      <c r="D139" s="15" t="str">
        <f t="shared" si="33"/>
        <v/>
      </c>
      <c r="E139" s="15" t="str">
        <f t="shared" si="34"/>
        <v/>
      </c>
      <c r="F139" s="15" t="str">
        <f t="shared" si="35"/>
        <v/>
      </c>
      <c r="G139" s="15" t="str">
        <f t="shared" si="36"/>
        <v/>
      </c>
      <c r="H139" s="15" t="str">
        <f t="shared" si="37"/>
        <v/>
      </c>
      <c r="I139" s="15" t="str">
        <f t="shared" si="38"/>
        <v/>
      </c>
      <c r="J139" s="15" t="str">
        <f t="shared" si="39"/>
        <v/>
      </c>
      <c r="K139" s="13" t="str">
        <f>IF('Cylinder Detail'!U141=0,"",'Cylinder Detail'!U141)</f>
        <v/>
      </c>
      <c r="L139" s="13" t="str">
        <f>IF('Cylinder Detail'!Z141=0,"",_xlfn.TEXTBEFORE('Cylinder Detail'!Z141, ","))</f>
        <v/>
      </c>
      <c r="M139" s="13" t="str">
        <f t="shared" si="40"/>
        <v/>
      </c>
      <c r="N139" s="17" t="str">
        <f>IF('Cylinder Detail'!V141=0,"",'Cylinder Detail'!V141)</f>
        <v/>
      </c>
      <c r="O139" s="17" t="str">
        <f>IF('Cylinder Detail'!Z141=0,"",_xlfn.TEXTAFTER('Cylinder Detail'!Z141, ", "))</f>
        <v/>
      </c>
      <c r="P139" s="17" t="str">
        <f>IF('Cylinder Detail'!AA141=0,"",'Cylinder Detail'!AA141)</f>
        <v/>
      </c>
      <c r="Q139" s="19" t="str">
        <f>IF('Cylinder Detail'!W141=0,"",'Cylinder Detail'!W141)</f>
        <v/>
      </c>
      <c r="R139" s="19" t="str">
        <f>IF('Cylinder Detail'!Y141=0,"",'Cylinder Detail'!Y141)</f>
        <v/>
      </c>
      <c r="S139" s="21" t="str">
        <f>IF('Cylinder Detail'!X141=0,"",'Cylinder Detail'!X141)</f>
        <v/>
      </c>
      <c r="T139" s="21" t="str">
        <f>IF('Cylinder Detail'!F141=0,"",'Cylinder Detail'!F141)</f>
        <v/>
      </c>
      <c r="U139" s="21" t="str">
        <f>IF('Cylinder Detail'!R141=0,"",'Cylinder Detail'!R141)</f>
        <v/>
      </c>
      <c r="V139" s="21" t="str">
        <f>IF('Cylinder Detail'!Q141=0,"",'Cylinder Detail'!Q141)</f>
        <v/>
      </c>
      <c r="W139" s="21" t="str">
        <f>IF('Cylinder Detail'!E141=0,"","+" &amp; 'Cylinder Detail'!E141)</f>
        <v/>
      </c>
      <c r="X139" s="21" t="str">
        <f t="shared" si="41"/>
        <v/>
      </c>
      <c r="Y139" s="21" t="str">
        <f>IF('Cylinder Detail'!S141=0,"",'Cylinder Detail'!S141)</f>
        <v/>
      </c>
      <c r="Z139" s="21" t="str">
        <f>IF('Cylinder Detail'!T141=0,"",'Cylinder Detail'!T141)</f>
        <v/>
      </c>
      <c r="AA139" s="21" t="str">
        <f>IF('Cylinder Detail'!H141=0,"",'Cylinder Detail'!H141)</f>
        <v/>
      </c>
      <c r="AB139" s="21" t="str">
        <f>IF('Cylinder Detail'!I141=0,"",'Cylinder Detail'!I141)</f>
        <v/>
      </c>
      <c r="AC139" s="22" t="str">
        <f>IF('Cylinder Detail'!AB141=0,"",'Cylinder Detail'!AB141)</f>
        <v/>
      </c>
      <c r="AD139" s="25" t="str">
        <f>IF('Sensor Detail'!F141=0,"","=" &amp; 'Sensor Detail'!F141)</f>
        <v/>
      </c>
      <c r="AE139" s="25" t="str">
        <f>IF('Sensor Detail'!H141=0,"",'Sensor Detail'!H141)</f>
        <v/>
      </c>
      <c r="AF139" s="27" t="str">
        <f>IF('Sensor Detail'!G141=0,"","-" &amp; 'Sensor Detail'!G141)</f>
        <v/>
      </c>
      <c r="AG139" s="27" t="str">
        <f>IF('Sensor Detail'!I141=0,"",'Sensor Detail'!I141)</f>
        <v/>
      </c>
      <c r="AH139" s="27" t="str">
        <f>IF('Sensor Detail'!E141=0,"","+" &amp; 'Sensor Detail'!E141)</f>
        <v/>
      </c>
      <c r="AI139" s="27" t="str">
        <f t="shared" si="42"/>
        <v/>
      </c>
      <c r="AJ139" s="27" t="str">
        <f>IF('Sensor Detail'!J141=0,"",'Sensor Detail'!J141)</f>
        <v/>
      </c>
      <c r="AK139" s="27" t="str">
        <f>IF('Sensor Detail'!K141=0,"",'Sensor Detail'!K141)</f>
        <v/>
      </c>
      <c r="AL139" s="27" t="str">
        <f>IF('Sensor Detail'!L141=0,"",'Sensor Detail'!L141)</f>
        <v/>
      </c>
      <c r="AM139" s="27" t="str">
        <f>IF('Sensor Detail'!M141=0,"",'Sensor Detail'!M141)</f>
        <v/>
      </c>
      <c r="AN139" s="27" t="str">
        <f>IF('Sensor Detail'!N141=0,"",'Sensor Detail'!N141)</f>
        <v/>
      </c>
      <c r="AO139" s="27" t="str">
        <f>IF('Sensor Detail'!O141=0,"",'Sensor Detail'!O141)</f>
        <v/>
      </c>
      <c r="AP139" s="15" t="str">
        <f t="shared" si="43"/>
        <v/>
      </c>
      <c r="AQ139" s="15" t="str">
        <f t="shared" si="44"/>
        <v/>
      </c>
    </row>
    <row r="140" spans="1:43">
      <c r="A140" s="13" t="str">
        <f t="shared" si="30"/>
        <v/>
      </c>
      <c r="B140" s="13" t="str">
        <f t="shared" si="31"/>
        <v/>
      </c>
      <c r="C140" s="15" t="str">
        <f t="shared" si="32"/>
        <v/>
      </c>
      <c r="D140" s="15" t="str">
        <f t="shared" si="33"/>
        <v/>
      </c>
      <c r="E140" s="15" t="str">
        <f t="shared" si="34"/>
        <v/>
      </c>
      <c r="F140" s="15" t="str">
        <f t="shared" si="35"/>
        <v/>
      </c>
      <c r="G140" s="15" t="str">
        <f t="shared" si="36"/>
        <v/>
      </c>
      <c r="H140" s="15" t="str">
        <f t="shared" si="37"/>
        <v/>
      </c>
      <c r="I140" s="15" t="str">
        <f t="shared" si="38"/>
        <v/>
      </c>
      <c r="J140" s="15" t="str">
        <f t="shared" si="39"/>
        <v/>
      </c>
      <c r="K140" s="13" t="str">
        <f>IF('Cylinder Detail'!U142=0,"",'Cylinder Detail'!U142)</f>
        <v/>
      </c>
      <c r="L140" s="13" t="str">
        <f>IF('Cylinder Detail'!Z142=0,"",_xlfn.TEXTBEFORE('Cylinder Detail'!Z142, ","))</f>
        <v/>
      </c>
      <c r="M140" s="13" t="str">
        <f t="shared" si="40"/>
        <v/>
      </c>
      <c r="N140" s="17" t="str">
        <f>IF('Cylinder Detail'!V142=0,"",'Cylinder Detail'!V142)</f>
        <v/>
      </c>
      <c r="O140" s="17" t="str">
        <f>IF('Cylinder Detail'!Z142=0,"",_xlfn.TEXTAFTER('Cylinder Detail'!Z142, ", "))</f>
        <v/>
      </c>
      <c r="P140" s="17" t="str">
        <f>IF('Cylinder Detail'!AA142=0,"",'Cylinder Detail'!AA142)</f>
        <v/>
      </c>
      <c r="Q140" s="19" t="str">
        <f>IF('Cylinder Detail'!W142=0,"",'Cylinder Detail'!W142)</f>
        <v/>
      </c>
      <c r="R140" s="19" t="str">
        <f>IF('Cylinder Detail'!Y142=0,"",'Cylinder Detail'!Y142)</f>
        <v/>
      </c>
      <c r="S140" s="21" t="str">
        <f>IF('Cylinder Detail'!X142=0,"",'Cylinder Detail'!X142)</f>
        <v/>
      </c>
      <c r="T140" s="21" t="str">
        <f>IF('Cylinder Detail'!F142=0,"",'Cylinder Detail'!F142)</f>
        <v/>
      </c>
      <c r="U140" s="21" t="str">
        <f>IF('Cylinder Detail'!R142=0,"",'Cylinder Detail'!R142)</f>
        <v/>
      </c>
      <c r="V140" s="21" t="str">
        <f>IF('Cylinder Detail'!Q142=0,"",'Cylinder Detail'!Q142)</f>
        <v/>
      </c>
      <c r="W140" s="21" t="str">
        <f>IF('Cylinder Detail'!E142=0,"","+" &amp; 'Cylinder Detail'!E142)</f>
        <v/>
      </c>
      <c r="X140" s="21" t="str">
        <f t="shared" si="41"/>
        <v/>
      </c>
      <c r="Y140" s="21" t="str">
        <f>IF('Cylinder Detail'!S142=0,"",'Cylinder Detail'!S142)</f>
        <v/>
      </c>
      <c r="Z140" s="21" t="str">
        <f>IF('Cylinder Detail'!T142=0,"",'Cylinder Detail'!T142)</f>
        <v/>
      </c>
      <c r="AA140" s="21" t="str">
        <f>IF('Cylinder Detail'!H142=0,"",'Cylinder Detail'!H142)</f>
        <v/>
      </c>
      <c r="AB140" s="21" t="str">
        <f>IF('Cylinder Detail'!I142=0,"",'Cylinder Detail'!I142)</f>
        <v/>
      </c>
      <c r="AC140" s="22" t="str">
        <f>IF('Cylinder Detail'!AB142=0,"",'Cylinder Detail'!AB142)</f>
        <v/>
      </c>
      <c r="AD140" s="25" t="str">
        <f>IF('Sensor Detail'!F142=0,"","=" &amp; 'Sensor Detail'!F142)</f>
        <v/>
      </c>
      <c r="AE140" s="25" t="str">
        <f>IF('Sensor Detail'!H142=0,"",'Sensor Detail'!H142)</f>
        <v/>
      </c>
      <c r="AF140" s="27" t="str">
        <f>IF('Sensor Detail'!G142=0,"","-" &amp; 'Sensor Detail'!G142)</f>
        <v/>
      </c>
      <c r="AG140" s="27" t="str">
        <f>IF('Sensor Detail'!I142=0,"",'Sensor Detail'!I142)</f>
        <v/>
      </c>
      <c r="AH140" s="27" t="str">
        <f>IF('Sensor Detail'!E142=0,"","+" &amp; 'Sensor Detail'!E142)</f>
        <v/>
      </c>
      <c r="AI140" s="27" t="str">
        <f t="shared" si="42"/>
        <v/>
      </c>
      <c r="AJ140" s="27" t="str">
        <f>IF('Sensor Detail'!J142=0,"",'Sensor Detail'!J142)</f>
        <v/>
      </c>
      <c r="AK140" s="27" t="str">
        <f>IF('Sensor Detail'!K142=0,"",'Sensor Detail'!K142)</f>
        <v/>
      </c>
      <c r="AL140" s="27" t="str">
        <f>IF('Sensor Detail'!L142=0,"",'Sensor Detail'!L142)</f>
        <v/>
      </c>
      <c r="AM140" s="27" t="str">
        <f>IF('Sensor Detail'!M142=0,"",'Sensor Detail'!M142)</f>
        <v/>
      </c>
      <c r="AN140" s="27" t="str">
        <f>IF('Sensor Detail'!N142=0,"",'Sensor Detail'!N142)</f>
        <v/>
      </c>
      <c r="AO140" s="27" t="str">
        <f>IF('Sensor Detail'!O142=0,"",'Sensor Detail'!O142)</f>
        <v/>
      </c>
      <c r="AP140" s="15" t="str">
        <f t="shared" si="43"/>
        <v/>
      </c>
      <c r="AQ140" s="15" t="str">
        <f t="shared" si="44"/>
        <v/>
      </c>
    </row>
    <row r="141" spans="1:43">
      <c r="A141" s="13" t="str">
        <f t="shared" si="30"/>
        <v/>
      </c>
      <c r="B141" s="13" t="str">
        <f t="shared" si="31"/>
        <v/>
      </c>
      <c r="C141" s="15" t="str">
        <f t="shared" si="32"/>
        <v/>
      </c>
      <c r="D141" s="15" t="str">
        <f t="shared" si="33"/>
        <v/>
      </c>
      <c r="E141" s="15" t="str">
        <f t="shared" si="34"/>
        <v/>
      </c>
      <c r="F141" s="15" t="str">
        <f t="shared" si="35"/>
        <v/>
      </c>
      <c r="G141" s="15" t="str">
        <f t="shared" si="36"/>
        <v/>
      </c>
      <c r="H141" s="15" t="str">
        <f t="shared" si="37"/>
        <v/>
      </c>
      <c r="I141" s="15" t="str">
        <f t="shared" si="38"/>
        <v/>
      </c>
      <c r="J141" s="15" t="str">
        <f t="shared" si="39"/>
        <v/>
      </c>
      <c r="K141" s="13" t="str">
        <f>IF('Cylinder Detail'!U143=0,"",'Cylinder Detail'!U143)</f>
        <v/>
      </c>
      <c r="L141" s="13" t="str">
        <f>IF('Cylinder Detail'!Z143=0,"",_xlfn.TEXTBEFORE('Cylinder Detail'!Z143, ","))</f>
        <v/>
      </c>
      <c r="M141" s="13" t="str">
        <f t="shared" si="40"/>
        <v/>
      </c>
      <c r="N141" s="17" t="str">
        <f>IF('Cylinder Detail'!V143=0,"",'Cylinder Detail'!V143)</f>
        <v/>
      </c>
      <c r="O141" s="17" t="str">
        <f>IF('Cylinder Detail'!Z143=0,"",_xlfn.TEXTAFTER('Cylinder Detail'!Z143, ", "))</f>
        <v/>
      </c>
      <c r="P141" s="17" t="str">
        <f>IF('Cylinder Detail'!AA143=0,"",'Cylinder Detail'!AA143)</f>
        <v/>
      </c>
      <c r="Q141" s="19" t="str">
        <f>IF('Cylinder Detail'!W143=0,"",'Cylinder Detail'!W143)</f>
        <v/>
      </c>
      <c r="R141" s="19" t="str">
        <f>IF('Cylinder Detail'!Y143=0,"",'Cylinder Detail'!Y143)</f>
        <v/>
      </c>
      <c r="S141" s="21" t="str">
        <f>IF('Cylinder Detail'!X143=0,"",'Cylinder Detail'!X143)</f>
        <v/>
      </c>
      <c r="T141" s="21" t="str">
        <f>IF('Cylinder Detail'!F143=0,"",'Cylinder Detail'!F143)</f>
        <v/>
      </c>
      <c r="U141" s="21" t="str">
        <f>IF('Cylinder Detail'!R143=0,"",'Cylinder Detail'!R143)</f>
        <v/>
      </c>
      <c r="V141" s="21" t="str">
        <f>IF('Cylinder Detail'!Q143=0,"",'Cylinder Detail'!Q143)</f>
        <v/>
      </c>
      <c r="W141" s="21" t="str">
        <f>IF('Cylinder Detail'!E143=0,"","+" &amp; 'Cylinder Detail'!E143)</f>
        <v/>
      </c>
      <c r="X141" s="21" t="str">
        <f t="shared" si="41"/>
        <v/>
      </c>
      <c r="Y141" s="21" t="str">
        <f>IF('Cylinder Detail'!S143=0,"",'Cylinder Detail'!S143)</f>
        <v/>
      </c>
      <c r="Z141" s="21" t="str">
        <f>IF('Cylinder Detail'!T143=0,"",'Cylinder Detail'!T143)</f>
        <v/>
      </c>
      <c r="AA141" s="21" t="str">
        <f>IF('Cylinder Detail'!H143=0,"",'Cylinder Detail'!H143)</f>
        <v/>
      </c>
      <c r="AB141" s="21" t="str">
        <f>IF('Cylinder Detail'!I143=0,"",'Cylinder Detail'!I143)</f>
        <v/>
      </c>
      <c r="AC141" s="22" t="str">
        <f>IF('Cylinder Detail'!AB143=0,"",'Cylinder Detail'!AB143)</f>
        <v/>
      </c>
      <c r="AD141" s="25" t="str">
        <f>IF('Sensor Detail'!F143=0,"","=" &amp; 'Sensor Detail'!F143)</f>
        <v/>
      </c>
      <c r="AE141" s="25" t="str">
        <f>IF('Sensor Detail'!H143=0,"",'Sensor Detail'!H143)</f>
        <v/>
      </c>
      <c r="AF141" s="27" t="str">
        <f>IF('Sensor Detail'!G143=0,"","-" &amp; 'Sensor Detail'!G143)</f>
        <v/>
      </c>
      <c r="AG141" s="27" t="str">
        <f>IF('Sensor Detail'!I143=0,"",'Sensor Detail'!I143)</f>
        <v/>
      </c>
      <c r="AH141" s="27" t="str">
        <f>IF('Sensor Detail'!E143=0,"","+" &amp; 'Sensor Detail'!E143)</f>
        <v/>
      </c>
      <c r="AI141" s="27" t="str">
        <f t="shared" si="42"/>
        <v/>
      </c>
      <c r="AJ141" s="27" t="str">
        <f>IF('Sensor Detail'!J143=0,"",'Sensor Detail'!J143)</f>
        <v/>
      </c>
      <c r="AK141" s="27" t="str">
        <f>IF('Sensor Detail'!K143=0,"",'Sensor Detail'!K143)</f>
        <v/>
      </c>
      <c r="AL141" s="27" t="str">
        <f>IF('Sensor Detail'!L143=0,"",'Sensor Detail'!L143)</f>
        <v/>
      </c>
      <c r="AM141" s="27" t="str">
        <f>IF('Sensor Detail'!M143=0,"",'Sensor Detail'!M143)</f>
        <v/>
      </c>
      <c r="AN141" s="27" t="str">
        <f>IF('Sensor Detail'!N143=0,"",'Sensor Detail'!N143)</f>
        <v/>
      </c>
      <c r="AO141" s="27" t="str">
        <f>IF('Sensor Detail'!O143=0,"",'Sensor Detail'!O143)</f>
        <v/>
      </c>
      <c r="AP141" s="15" t="str">
        <f t="shared" si="43"/>
        <v/>
      </c>
      <c r="AQ141" s="15" t="str">
        <f t="shared" si="44"/>
        <v/>
      </c>
    </row>
    <row r="142" spans="1:43">
      <c r="A142" s="13" t="str">
        <f t="shared" si="30"/>
        <v/>
      </c>
      <c r="B142" s="13" t="str">
        <f t="shared" si="31"/>
        <v/>
      </c>
      <c r="C142" s="15" t="str">
        <f t="shared" si="32"/>
        <v/>
      </c>
      <c r="D142" s="15" t="str">
        <f t="shared" si="33"/>
        <v/>
      </c>
      <c r="E142" s="15" t="str">
        <f t="shared" si="34"/>
        <v/>
      </c>
      <c r="F142" s="15" t="str">
        <f t="shared" si="35"/>
        <v/>
      </c>
      <c r="G142" s="15" t="str">
        <f t="shared" si="36"/>
        <v/>
      </c>
      <c r="H142" s="15" t="str">
        <f t="shared" si="37"/>
        <v/>
      </c>
      <c r="I142" s="15" t="str">
        <f t="shared" si="38"/>
        <v/>
      </c>
      <c r="J142" s="15" t="str">
        <f t="shared" si="39"/>
        <v/>
      </c>
      <c r="K142" s="13" t="str">
        <f>IF('Cylinder Detail'!U144=0,"",'Cylinder Detail'!U144)</f>
        <v/>
      </c>
      <c r="L142" s="13" t="str">
        <f>IF('Cylinder Detail'!Z144=0,"",_xlfn.TEXTBEFORE('Cylinder Detail'!Z144, ","))</f>
        <v/>
      </c>
      <c r="M142" s="13" t="str">
        <f t="shared" si="40"/>
        <v/>
      </c>
      <c r="N142" s="17" t="str">
        <f>IF('Cylinder Detail'!V144=0,"",'Cylinder Detail'!V144)</f>
        <v/>
      </c>
      <c r="O142" s="17" t="str">
        <f>IF('Cylinder Detail'!Z144=0,"",_xlfn.TEXTAFTER('Cylinder Detail'!Z144, ", "))</f>
        <v/>
      </c>
      <c r="P142" s="17" t="str">
        <f>IF('Cylinder Detail'!AA144=0,"",'Cylinder Detail'!AA144)</f>
        <v/>
      </c>
      <c r="Q142" s="19" t="str">
        <f>IF('Cylinder Detail'!W144=0,"",'Cylinder Detail'!W144)</f>
        <v/>
      </c>
      <c r="R142" s="19" t="str">
        <f>IF('Cylinder Detail'!Y144=0,"",'Cylinder Detail'!Y144)</f>
        <v/>
      </c>
      <c r="S142" s="21" t="str">
        <f>IF('Cylinder Detail'!X144=0,"",'Cylinder Detail'!X144)</f>
        <v/>
      </c>
      <c r="T142" s="21" t="str">
        <f>IF('Cylinder Detail'!F144=0,"",'Cylinder Detail'!F144)</f>
        <v/>
      </c>
      <c r="U142" s="21" t="str">
        <f>IF('Cylinder Detail'!R144=0,"",'Cylinder Detail'!R144)</f>
        <v/>
      </c>
      <c r="V142" s="21" t="str">
        <f>IF('Cylinder Detail'!Q144=0,"",'Cylinder Detail'!Q144)</f>
        <v/>
      </c>
      <c r="W142" s="21" t="str">
        <f>IF('Cylinder Detail'!E144=0,"","+" &amp; 'Cylinder Detail'!E144)</f>
        <v/>
      </c>
      <c r="X142" s="21" t="str">
        <f t="shared" si="41"/>
        <v/>
      </c>
      <c r="Y142" s="21" t="str">
        <f>IF('Cylinder Detail'!S144=0,"",'Cylinder Detail'!S144)</f>
        <v/>
      </c>
      <c r="Z142" s="21" t="str">
        <f>IF('Cylinder Detail'!T144=0,"",'Cylinder Detail'!T144)</f>
        <v/>
      </c>
      <c r="AA142" s="21" t="str">
        <f>IF('Cylinder Detail'!H144=0,"",'Cylinder Detail'!H144)</f>
        <v/>
      </c>
      <c r="AB142" s="21" t="str">
        <f>IF('Cylinder Detail'!I144=0,"",'Cylinder Detail'!I144)</f>
        <v/>
      </c>
      <c r="AC142" s="22" t="str">
        <f>IF('Cylinder Detail'!AB144=0,"",'Cylinder Detail'!AB144)</f>
        <v/>
      </c>
      <c r="AD142" s="25" t="str">
        <f>IF('Sensor Detail'!F144=0,"","=" &amp; 'Sensor Detail'!F144)</f>
        <v/>
      </c>
      <c r="AE142" s="25" t="str">
        <f>IF('Sensor Detail'!H144=0,"",'Sensor Detail'!H144)</f>
        <v/>
      </c>
      <c r="AF142" s="27" t="str">
        <f>IF('Sensor Detail'!G144=0,"","-" &amp; 'Sensor Detail'!G144)</f>
        <v/>
      </c>
      <c r="AG142" s="27" t="str">
        <f>IF('Sensor Detail'!I144=0,"",'Sensor Detail'!I144)</f>
        <v/>
      </c>
      <c r="AH142" s="27" t="str">
        <f>IF('Sensor Detail'!E144=0,"","+" &amp; 'Sensor Detail'!E144)</f>
        <v/>
      </c>
      <c r="AI142" s="27" t="str">
        <f t="shared" si="42"/>
        <v/>
      </c>
      <c r="AJ142" s="27" t="str">
        <f>IF('Sensor Detail'!J144=0,"",'Sensor Detail'!J144)</f>
        <v/>
      </c>
      <c r="AK142" s="27" t="str">
        <f>IF('Sensor Detail'!K144=0,"",'Sensor Detail'!K144)</f>
        <v/>
      </c>
      <c r="AL142" s="27" t="str">
        <f>IF('Sensor Detail'!L144=0,"",'Sensor Detail'!L144)</f>
        <v/>
      </c>
      <c r="AM142" s="27" t="str">
        <f>IF('Sensor Detail'!M144=0,"",'Sensor Detail'!M144)</f>
        <v/>
      </c>
      <c r="AN142" s="27" t="str">
        <f>IF('Sensor Detail'!N144=0,"",'Sensor Detail'!N144)</f>
        <v/>
      </c>
      <c r="AO142" s="27" t="str">
        <f>IF('Sensor Detail'!O144=0,"",'Sensor Detail'!O144)</f>
        <v/>
      </c>
      <c r="AP142" s="15" t="str">
        <f t="shared" si="43"/>
        <v/>
      </c>
      <c r="AQ142" s="15" t="str">
        <f t="shared" si="44"/>
        <v/>
      </c>
    </row>
    <row r="143" spans="1:43">
      <c r="A143" s="13" t="str">
        <f t="shared" si="30"/>
        <v/>
      </c>
      <c r="B143" s="13" t="str">
        <f t="shared" si="31"/>
        <v/>
      </c>
      <c r="C143" s="15" t="str">
        <f t="shared" si="32"/>
        <v/>
      </c>
      <c r="D143" s="15" t="str">
        <f t="shared" si="33"/>
        <v/>
      </c>
      <c r="E143" s="15" t="str">
        <f t="shared" si="34"/>
        <v/>
      </c>
      <c r="F143" s="15" t="str">
        <f t="shared" si="35"/>
        <v/>
      </c>
      <c r="G143" s="15" t="str">
        <f t="shared" si="36"/>
        <v/>
      </c>
      <c r="H143" s="15" t="str">
        <f t="shared" si="37"/>
        <v/>
      </c>
      <c r="I143" s="15" t="str">
        <f t="shared" si="38"/>
        <v/>
      </c>
      <c r="J143" s="15" t="str">
        <f t="shared" si="39"/>
        <v/>
      </c>
      <c r="K143" s="13" t="str">
        <f>IF('Cylinder Detail'!U145=0,"",'Cylinder Detail'!U145)</f>
        <v/>
      </c>
      <c r="L143" s="13" t="str">
        <f>IF('Cylinder Detail'!Z145=0,"",_xlfn.TEXTBEFORE('Cylinder Detail'!Z145, ","))</f>
        <v/>
      </c>
      <c r="M143" s="13" t="str">
        <f t="shared" si="40"/>
        <v/>
      </c>
      <c r="N143" s="17" t="str">
        <f>IF('Cylinder Detail'!V145=0,"",'Cylinder Detail'!V145)</f>
        <v/>
      </c>
      <c r="O143" s="17" t="str">
        <f>IF('Cylinder Detail'!Z145=0,"",_xlfn.TEXTAFTER('Cylinder Detail'!Z145, ", "))</f>
        <v/>
      </c>
      <c r="P143" s="17" t="str">
        <f>IF('Cylinder Detail'!AA145=0,"",'Cylinder Detail'!AA145)</f>
        <v/>
      </c>
      <c r="Q143" s="19" t="str">
        <f>IF('Cylinder Detail'!W145=0,"",'Cylinder Detail'!W145)</f>
        <v/>
      </c>
      <c r="R143" s="19" t="str">
        <f>IF('Cylinder Detail'!Y145=0,"",'Cylinder Detail'!Y145)</f>
        <v/>
      </c>
      <c r="S143" s="21" t="str">
        <f>IF('Cylinder Detail'!X145=0,"",'Cylinder Detail'!X145)</f>
        <v/>
      </c>
      <c r="T143" s="21" t="str">
        <f>IF('Cylinder Detail'!F145=0,"",'Cylinder Detail'!F145)</f>
        <v/>
      </c>
      <c r="U143" s="21" t="str">
        <f>IF('Cylinder Detail'!R145=0,"",'Cylinder Detail'!R145)</f>
        <v/>
      </c>
      <c r="V143" s="21" t="str">
        <f>IF('Cylinder Detail'!Q145=0,"",'Cylinder Detail'!Q145)</f>
        <v/>
      </c>
      <c r="W143" s="21" t="str">
        <f>IF('Cylinder Detail'!E145=0,"","+" &amp; 'Cylinder Detail'!E145)</f>
        <v/>
      </c>
      <c r="X143" s="21" t="str">
        <f t="shared" si="41"/>
        <v/>
      </c>
      <c r="Y143" s="21" t="str">
        <f>IF('Cylinder Detail'!S145=0,"",'Cylinder Detail'!S145)</f>
        <v/>
      </c>
      <c r="Z143" s="21" t="str">
        <f>IF('Cylinder Detail'!T145=0,"",'Cylinder Detail'!T145)</f>
        <v/>
      </c>
      <c r="AA143" s="21" t="str">
        <f>IF('Cylinder Detail'!H145=0,"",'Cylinder Detail'!H145)</f>
        <v/>
      </c>
      <c r="AB143" s="21" t="str">
        <f>IF('Cylinder Detail'!I145=0,"",'Cylinder Detail'!I145)</f>
        <v/>
      </c>
      <c r="AC143" s="22" t="str">
        <f>IF('Cylinder Detail'!AB145=0,"",'Cylinder Detail'!AB145)</f>
        <v/>
      </c>
      <c r="AD143" s="25" t="str">
        <f>IF('Sensor Detail'!F145=0,"","=" &amp; 'Sensor Detail'!F145)</f>
        <v/>
      </c>
      <c r="AE143" s="25" t="str">
        <f>IF('Sensor Detail'!H145=0,"",'Sensor Detail'!H145)</f>
        <v/>
      </c>
      <c r="AF143" s="27" t="str">
        <f>IF('Sensor Detail'!G145=0,"","-" &amp; 'Sensor Detail'!G145)</f>
        <v/>
      </c>
      <c r="AG143" s="27" t="str">
        <f>IF('Sensor Detail'!I145=0,"",'Sensor Detail'!I145)</f>
        <v/>
      </c>
      <c r="AH143" s="27" t="str">
        <f>IF('Sensor Detail'!E145=0,"","+" &amp; 'Sensor Detail'!E145)</f>
        <v/>
      </c>
      <c r="AI143" s="27" t="str">
        <f t="shared" si="42"/>
        <v/>
      </c>
      <c r="AJ143" s="27" t="str">
        <f>IF('Sensor Detail'!J145=0,"",'Sensor Detail'!J145)</f>
        <v/>
      </c>
      <c r="AK143" s="27" t="str">
        <f>IF('Sensor Detail'!K145=0,"",'Sensor Detail'!K145)</f>
        <v/>
      </c>
      <c r="AL143" s="27" t="str">
        <f>IF('Sensor Detail'!L145=0,"",'Sensor Detail'!L145)</f>
        <v/>
      </c>
      <c r="AM143" s="27" t="str">
        <f>IF('Sensor Detail'!M145=0,"",'Sensor Detail'!M145)</f>
        <v/>
      </c>
      <c r="AN143" s="27" t="str">
        <f>IF('Sensor Detail'!N145=0,"",'Sensor Detail'!N145)</f>
        <v/>
      </c>
      <c r="AO143" s="27" t="str">
        <f>IF('Sensor Detail'!O145=0,"",'Sensor Detail'!O145)</f>
        <v/>
      </c>
      <c r="AP143" s="15" t="str">
        <f t="shared" si="43"/>
        <v/>
      </c>
      <c r="AQ143" s="15" t="str">
        <f t="shared" si="44"/>
        <v/>
      </c>
    </row>
    <row r="144" spans="1:43">
      <c r="A144" s="13" t="str">
        <f t="shared" si="30"/>
        <v/>
      </c>
      <c r="B144" s="13" t="str">
        <f t="shared" si="31"/>
        <v/>
      </c>
      <c r="C144" s="15" t="str">
        <f t="shared" si="32"/>
        <v/>
      </c>
      <c r="D144" s="15" t="str">
        <f t="shared" si="33"/>
        <v/>
      </c>
      <c r="E144" s="15" t="str">
        <f t="shared" si="34"/>
        <v/>
      </c>
      <c r="F144" s="15" t="str">
        <f t="shared" si="35"/>
        <v/>
      </c>
      <c r="G144" s="15" t="str">
        <f t="shared" si="36"/>
        <v/>
      </c>
      <c r="H144" s="15" t="str">
        <f t="shared" si="37"/>
        <v/>
      </c>
      <c r="I144" s="15" t="str">
        <f t="shared" si="38"/>
        <v/>
      </c>
      <c r="J144" s="15" t="str">
        <f t="shared" si="39"/>
        <v/>
      </c>
      <c r="K144" s="13" t="str">
        <f>IF('Cylinder Detail'!U146=0,"",'Cylinder Detail'!U146)</f>
        <v/>
      </c>
      <c r="L144" s="13" t="str">
        <f>IF('Cylinder Detail'!Z146=0,"",_xlfn.TEXTBEFORE('Cylinder Detail'!Z146, ","))</f>
        <v/>
      </c>
      <c r="M144" s="13" t="str">
        <f t="shared" si="40"/>
        <v/>
      </c>
      <c r="N144" s="17" t="str">
        <f>IF('Cylinder Detail'!V146=0,"",'Cylinder Detail'!V146)</f>
        <v/>
      </c>
      <c r="O144" s="17" t="str">
        <f>IF('Cylinder Detail'!Z146=0,"",_xlfn.TEXTAFTER('Cylinder Detail'!Z146, ", "))</f>
        <v/>
      </c>
      <c r="P144" s="17" t="str">
        <f>IF('Cylinder Detail'!AA146=0,"",'Cylinder Detail'!AA146)</f>
        <v/>
      </c>
      <c r="Q144" s="19" t="str">
        <f>IF('Cylinder Detail'!W146=0,"",'Cylinder Detail'!W146)</f>
        <v/>
      </c>
      <c r="R144" s="19" t="str">
        <f>IF('Cylinder Detail'!Y146=0,"",'Cylinder Detail'!Y146)</f>
        <v/>
      </c>
      <c r="S144" s="21" t="str">
        <f>IF('Cylinder Detail'!X146=0,"",'Cylinder Detail'!X146)</f>
        <v/>
      </c>
      <c r="T144" s="21" t="str">
        <f>IF('Cylinder Detail'!F146=0,"",'Cylinder Detail'!F146)</f>
        <v/>
      </c>
      <c r="U144" s="21" t="str">
        <f>IF('Cylinder Detail'!R146=0,"",'Cylinder Detail'!R146)</f>
        <v/>
      </c>
      <c r="V144" s="21" t="str">
        <f>IF('Cylinder Detail'!Q146=0,"",'Cylinder Detail'!Q146)</f>
        <v/>
      </c>
      <c r="W144" s="21" t="str">
        <f>IF('Cylinder Detail'!E146=0,"","+" &amp; 'Cylinder Detail'!E146)</f>
        <v/>
      </c>
      <c r="X144" s="21" t="str">
        <f t="shared" si="41"/>
        <v/>
      </c>
      <c r="Y144" s="21" t="str">
        <f>IF('Cylinder Detail'!S146=0,"",'Cylinder Detail'!S146)</f>
        <v/>
      </c>
      <c r="Z144" s="21" t="str">
        <f>IF('Cylinder Detail'!T146=0,"",'Cylinder Detail'!T146)</f>
        <v/>
      </c>
      <c r="AA144" s="21" t="str">
        <f>IF('Cylinder Detail'!H146=0,"",'Cylinder Detail'!H146)</f>
        <v/>
      </c>
      <c r="AB144" s="21" t="str">
        <f>IF('Cylinder Detail'!I146=0,"",'Cylinder Detail'!I146)</f>
        <v/>
      </c>
      <c r="AC144" s="22" t="str">
        <f>IF('Cylinder Detail'!AB146=0,"",'Cylinder Detail'!AB146)</f>
        <v/>
      </c>
      <c r="AD144" s="25" t="str">
        <f>IF('Sensor Detail'!F146=0,"","=" &amp; 'Sensor Detail'!F146)</f>
        <v/>
      </c>
      <c r="AE144" s="25" t="str">
        <f>IF('Sensor Detail'!H146=0,"",'Sensor Detail'!H146)</f>
        <v/>
      </c>
      <c r="AF144" s="27" t="str">
        <f>IF('Sensor Detail'!G146=0,"","-" &amp; 'Sensor Detail'!G146)</f>
        <v/>
      </c>
      <c r="AG144" s="27" t="str">
        <f>IF('Sensor Detail'!I146=0,"",'Sensor Detail'!I146)</f>
        <v/>
      </c>
      <c r="AH144" s="27" t="str">
        <f>IF('Sensor Detail'!E146=0,"","+" &amp; 'Sensor Detail'!E146)</f>
        <v/>
      </c>
      <c r="AI144" s="27" t="str">
        <f t="shared" si="42"/>
        <v/>
      </c>
      <c r="AJ144" s="27" t="str">
        <f>IF('Sensor Detail'!J146=0,"",'Sensor Detail'!J146)</f>
        <v/>
      </c>
      <c r="AK144" s="27" t="str">
        <f>IF('Sensor Detail'!K146=0,"",'Sensor Detail'!K146)</f>
        <v/>
      </c>
      <c r="AL144" s="27" t="str">
        <f>IF('Sensor Detail'!L146=0,"",'Sensor Detail'!L146)</f>
        <v/>
      </c>
      <c r="AM144" s="27" t="str">
        <f>IF('Sensor Detail'!M146=0,"",'Sensor Detail'!M146)</f>
        <v/>
      </c>
      <c r="AN144" s="27" t="str">
        <f>IF('Sensor Detail'!N146=0,"",'Sensor Detail'!N146)</f>
        <v/>
      </c>
      <c r="AO144" s="27" t="str">
        <f>IF('Sensor Detail'!O146=0,"",'Sensor Detail'!O146)</f>
        <v/>
      </c>
      <c r="AP144" s="15" t="str">
        <f t="shared" si="43"/>
        <v/>
      </c>
      <c r="AQ144" s="15" t="str">
        <f t="shared" si="44"/>
        <v/>
      </c>
    </row>
    <row r="145" spans="1:43">
      <c r="A145" s="13" t="str">
        <f t="shared" si="30"/>
        <v/>
      </c>
      <c r="B145" s="13" t="str">
        <f t="shared" si="31"/>
        <v/>
      </c>
      <c r="C145" s="15" t="str">
        <f t="shared" si="32"/>
        <v/>
      </c>
      <c r="D145" s="15" t="str">
        <f t="shared" si="33"/>
        <v/>
      </c>
      <c r="E145" s="15" t="str">
        <f t="shared" si="34"/>
        <v/>
      </c>
      <c r="F145" s="15" t="str">
        <f t="shared" si="35"/>
        <v/>
      </c>
      <c r="G145" s="15" t="str">
        <f t="shared" si="36"/>
        <v/>
      </c>
      <c r="H145" s="15" t="str">
        <f t="shared" si="37"/>
        <v/>
      </c>
      <c r="I145" s="15" t="str">
        <f t="shared" si="38"/>
        <v/>
      </c>
      <c r="J145" s="15" t="str">
        <f t="shared" si="39"/>
        <v/>
      </c>
      <c r="K145" s="13" t="str">
        <f>IF('Cylinder Detail'!U147=0,"",'Cylinder Detail'!U147)</f>
        <v/>
      </c>
      <c r="L145" s="13" t="str">
        <f>IF('Cylinder Detail'!Z147=0,"",_xlfn.TEXTBEFORE('Cylinder Detail'!Z147, ","))</f>
        <v/>
      </c>
      <c r="M145" s="13" t="str">
        <f t="shared" si="40"/>
        <v/>
      </c>
      <c r="N145" s="17" t="str">
        <f>IF('Cylinder Detail'!V147=0,"",'Cylinder Detail'!V147)</f>
        <v/>
      </c>
      <c r="O145" s="17" t="str">
        <f>IF('Cylinder Detail'!Z147=0,"",_xlfn.TEXTAFTER('Cylinder Detail'!Z147, ", "))</f>
        <v/>
      </c>
      <c r="P145" s="17" t="str">
        <f>IF('Cylinder Detail'!AA147=0,"",'Cylinder Detail'!AA147)</f>
        <v/>
      </c>
      <c r="Q145" s="19" t="str">
        <f>IF('Cylinder Detail'!W147=0,"",'Cylinder Detail'!W147)</f>
        <v/>
      </c>
      <c r="R145" s="19" t="str">
        <f>IF('Cylinder Detail'!Y147=0,"",'Cylinder Detail'!Y147)</f>
        <v/>
      </c>
      <c r="S145" s="21" t="str">
        <f>IF('Cylinder Detail'!X147=0,"",'Cylinder Detail'!X147)</f>
        <v/>
      </c>
      <c r="T145" s="21" t="str">
        <f>IF('Cylinder Detail'!F147=0,"",'Cylinder Detail'!F147)</f>
        <v/>
      </c>
      <c r="U145" s="21" t="str">
        <f>IF('Cylinder Detail'!R147=0,"",'Cylinder Detail'!R147)</f>
        <v/>
      </c>
      <c r="V145" s="21" t="str">
        <f>IF('Cylinder Detail'!Q147=0,"",'Cylinder Detail'!Q147)</f>
        <v/>
      </c>
      <c r="W145" s="21" t="str">
        <f>IF('Cylinder Detail'!E147=0,"","+" &amp; 'Cylinder Detail'!E147)</f>
        <v/>
      </c>
      <c r="X145" s="21" t="str">
        <f t="shared" si="41"/>
        <v/>
      </c>
      <c r="Y145" s="21" t="str">
        <f>IF('Cylinder Detail'!S147=0,"",'Cylinder Detail'!S147)</f>
        <v/>
      </c>
      <c r="Z145" s="21" t="str">
        <f>IF('Cylinder Detail'!T147=0,"",'Cylinder Detail'!T147)</f>
        <v/>
      </c>
      <c r="AA145" s="21" t="str">
        <f>IF('Cylinder Detail'!H147=0,"",'Cylinder Detail'!H147)</f>
        <v/>
      </c>
      <c r="AB145" s="21" t="str">
        <f>IF('Cylinder Detail'!I147=0,"",'Cylinder Detail'!I147)</f>
        <v/>
      </c>
      <c r="AC145" s="22" t="str">
        <f>IF('Cylinder Detail'!AB147=0,"",'Cylinder Detail'!AB147)</f>
        <v/>
      </c>
      <c r="AD145" s="25" t="str">
        <f>IF('Sensor Detail'!F147=0,"","=" &amp; 'Sensor Detail'!F147)</f>
        <v/>
      </c>
      <c r="AE145" s="25" t="str">
        <f>IF('Sensor Detail'!H147=0,"",'Sensor Detail'!H147)</f>
        <v/>
      </c>
      <c r="AF145" s="27" t="str">
        <f>IF('Sensor Detail'!G147=0,"","-" &amp; 'Sensor Detail'!G147)</f>
        <v/>
      </c>
      <c r="AG145" s="27" t="str">
        <f>IF('Sensor Detail'!I147=0,"",'Sensor Detail'!I147)</f>
        <v/>
      </c>
      <c r="AH145" s="27" t="str">
        <f>IF('Sensor Detail'!E147=0,"","+" &amp; 'Sensor Detail'!E147)</f>
        <v/>
      </c>
      <c r="AI145" s="27" t="str">
        <f t="shared" si="42"/>
        <v/>
      </c>
      <c r="AJ145" s="27" t="str">
        <f>IF('Sensor Detail'!J147=0,"",'Sensor Detail'!J147)</f>
        <v/>
      </c>
      <c r="AK145" s="27" t="str">
        <f>IF('Sensor Detail'!K147=0,"",'Sensor Detail'!K147)</f>
        <v/>
      </c>
      <c r="AL145" s="27" t="str">
        <f>IF('Sensor Detail'!L147=0,"",'Sensor Detail'!L147)</f>
        <v/>
      </c>
      <c r="AM145" s="27" t="str">
        <f>IF('Sensor Detail'!M147=0,"",'Sensor Detail'!M147)</f>
        <v/>
      </c>
      <c r="AN145" s="27" t="str">
        <f>IF('Sensor Detail'!N147=0,"",'Sensor Detail'!N147)</f>
        <v/>
      </c>
      <c r="AO145" s="27" t="str">
        <f>IF('Sensor Detail'!O147=0,"",'Sensor Detail'!O147)</f>
        <v/>
      </c>
      <c r="AP145" s="15" t="str">
        <f t="shared" si="43"/>
        <v/>
      </c>
      <c r="AQ145" s="15" t="str">
        <f t="shared" si="44"/>
        <v/>
      </c>
    </row>
    <row r="146" spans="1:43">
      <c r="A146" s="13" t="str">
        <f t="shared" si="30"/>
        <v/>
      </c>
      <c r="B146" s="13" t="str">
        <f t="shared" si="31"/>
        <v/>
      </c>
      <c r="C146" s="15" t="str">
        <f t="shared" si="32"/>
        <v/>
      </c>
      <c r="D146" s="15" t="str">
        <f t="shared" si="33"/>
        <v/>
      </c>
      <c r="E146" s="15" t="str">
        <f t="shared" si="34"/>
        <v/>
      </c>
      <c r="F146" s="15" t="str">
        <f t="shared" si="35"/>
        <v/>
      </c>
      <c r="G146" s="15" t="str">
        <f t="shared" si="36"/>
        <v/>
      </c>
      <c r="H146" s="15" t="str">
        <f t="shared" si="37"/>
        <v/>
      </c>
      <c r="I146" s="15" t="str">
        <f t="shared" si="38"/>
        <v/>
      </c>
      <c r="J146" s="15" t="str">
        <f t="shared" si="39"/>
        <v/>
      </c>
      <c r="K146" s="13" t="str">
        <f>IF('Cylinder Detail'!U148=0,"",'Cylinder Detail'!U148)</f>
        <v/>
      </c>
      <c r="L146" s="13" t="str">
        <f>IF('Cylinder Detail'!Z148=0,"",_xlfn.TEXTBEFORE('Cylinder Detail'!Z148, ","))</f>
        <v/>
      </c>
      <c r="M146" s="13" t="str">
        <f t="shared" si="40"/>
        <v/>
      </c>
      <c r="N146" s="17" t="str">
        <f>IF('Cylinder Detail'!V148=0,"",'Cylinder Detail'!V148)</f>
        <v/>
      </c>
      <c r="O146" s="17" t="str">
        <f>IF('Cylinder Detail'!Z148=0,"",_xlfn.TEXTAFTER('Cylinder Detail'!Z148, ", "))</f>
        <v/>
      </c>
      <c r="P146" s="17" t="str">
        <f>IF('Cylinder Detail'!AA148=0,"",'Cylinder Detail'!AA148)</f>
        <v/>
      </c>
      <c r="Q146" s="19" t="str">
        <f>IF('Cylinder Detail'!W148=0,"",'Cylinder Detail'!W148)</f>
        <v/>
      </c>
      <c r="R146" s="19" t="str">
        <f>IF('Cylinder Detail'!Y148=0,"",'Cylinder Detail'!Y148)</f>
        <v/>
      </c>
      <c r="S146" s="21" t="str">
        <f>IF('Cylinder Detail'!X148=0,"",'Cylinder Detail'!X148)</f>
        <v/>
      </c>
      <c r="T146" s="21" t="str">
        <f>IF('Cylinder Detail'!F148=0,"",'Cylinder Detail'!F148)</f>
        <v/>
      </c>
      <c r="U146" s="21" t="str">
        <f>IF('Cylinder Detail'!R148=0,"",'Cylinder Detail'!R148)</f>
        <v/>
      </c>
      <c r="V146" s="21" t="str">
        <f>IF('Cylinder Detail'!Q148=0,"",'Cylinder Detail'!Q148)</f>
        <v/>
      </c>
      <c r="W146" s="21" t="str">
        <f>IF('Cylinder Detail'!E148=0,"","+" &amp; 'Cylinder Detail'!E148)</f>
        <v/>
      </c>
      <c r="X146" s="21" t="str">
        <f t="shared" si="41"/>
        <v/>
      </c>
      <c r="Y146" s="21" t="str">
        <f>IF('Cylinder Detail'!S148=0,"",'Cylinder Detail'!S148)</f>
        <v/>
      </c>
      <c r="Z146" s="21" t="str">
        <f>IF('Cylinder Detail'!T148=0,"",'Cylinder Detail'!T148)</f>
        <v/>
      </c>
      <c r="AA146" s="21" t="str">
        <f>IF('Cylinder Detail'!H148=0,"",'Cylinder Detail'!H148)</f>
        <v/>
      </c>
      <c r="AB146" s="21" t="str">
        <f>IF('Cylinder Detail'!I148=0,"",'Cylinder Detail'!I148)</f>
        <v/>
      </c>
      <c r="AC146" s="22" t="str">
        <f>IF('Cylinder Detail'!AB148=0,"",'Cylinder Detail'!AB148)</f>
        <v/>
      </c>
      <c r="AD146" s="25" t="str">
        <f>IF('Sensor Detail'!F148=0,"","=" &amp; 'Sensor Detail'!F148)</f>
        <v/>
      </c>
      <c r="AE146" s="25" t="str">
        <f>IF('Sensor Detail'!H148=0,"",'Sensor Detail'!H148)</f>
        <v/>
      </c>
      <c r="AF146" s="27" t="str">
        <f>IF('Sensor Detail'!G148=0,"","-" &amp; 'Sensor Detail'!G148)</f>
        <v/>
      </c>
      <c r="AG146" s="27" t="str">
        <f>IF('Sensor Detail'!I148=0,"",'Sensor Detail'!I148)</f>
        <v/>
      </c>
      <c r="AH146" s="27" t="str">
        <f>IF('Sensor Detail'!E148=0,"","+" &amp; 'Sensor Detail'!E148)</f>
        <v/>
      </c>
      <c r="AI146" s="27" t="str">
        <f t="shared" si="42"/>
        <v/>
      </c>
      <c r="AJ146" s="27" t="str">
        <f>IF('Sensor Detail'!J148=0,"",'Sensor Detail'!J148)</f>
        <v/>
      </c>
      <c r="AK146" s="27" t="str">
        <f>IF('Sensor Detail'!K148=0,"",'Sensor Detail'!K148)</f>
        <v/>
      </c>
      <c r="AL146" s="27" t="str">
        <f>IF('Sensor Detail'!L148=0,"",'Sensor Detail'!L148)</f>
        <v/>
      </c>
      <c r="AM146" s="27" t="str">
        <f>IF('Sensor Detail'!M148=0,"",'Sensor Detail'!M148)</f>
        <v/>
      </c>
      <c r="AN146" s="27" t="str">
        <f>IF('Sensor Detail'!N148=0,"",'Sensor Detail'!N148)</f>
        <v/>
      </c>
      <c r="AO146" s="27" t="str">
        <f>IF('Sensor Detail'!O148=0,"",'Sensor Detail'!O148)</f>
        <v/>
      </c>
      <c r="AP146" s="15" t="str">
        <f t="shared" si="43"/>
        <v/>
      </c>
      <c r="AQ146" s="15" t="str">
        <f t="shared" si="44"/>
        <v/>
      </c>
    </row>
    <row r="147" spans="1:43">
      <c r="A147" s="13" t="str">
        <f t="shared" si="30"/>
        <v/>
      </c>
      <c r="B147" s="13" t="str">
        <f t="shared" si="31"/>
        <v/>
      </c>
      <c r="C147" s="15" t="str">
        <f t="shared" si="32"/>
        <v/>
      </c>
      <c r="D147" s="15" t="str">
        <f t="shared" si="33"/>
        <v/>
      </c>
      <c r="E147" s="15" t="str">
        <f t="shared" si="34"/>
        <v/>
      </c>
      <c r="F147" s="15" t="str">
        <f t="shared" si="35"/>
        <v/>
      </c>
      <c r="G147" s="15" t="str">
        <f t="shared" si="36"/>
        <v/>
      </c>
      <c r="H147" s="15" t="str">
        <f t="shared" si="37"/>
        <v/>
      </c>
      <c r="I147" s="15" t="str">
        <f t="shared" si="38"/>
        <v/>
      </c>
      <c r="J147" s="15" t="str">
        <f t="shared" si="39"/>
        <v/>
      </c>
      <c r="K147" s="13" t="str">
        <f>IF('Cylinder Detail'!U149=0,"",'Cylinder Detail'!U149)</f>
        <v/>
      </c>
      <c r="L147" s="13" t="str">
        <f>IF('Cylinder Detail'!Z149=0,"",_xlfn.TEXTBEFORE('Cylinder Detail'!Z149, ","))</f>
        <v/>
      </c>
      <c r="M147" s="13" t="str">
        <f t="shared" si="40"/>
        <v/>
      </c>
      <c r="N147" s="17" t="str">
        <f>IF('Cylinder Detail'!V149=0,"",'Cylinder Detail'!V149)</f>
        <v/>
      </c>
      <c r="O147" s="17" t="str">
        <f>IF('Cylinder Detail'!Z149=0,"",_xlfn.TEXTAFTER('Cylinder Detail'!Z149, ", "))</f>
        <v/>
      </c>
      <c r="P147" s="17" t="str">
        <f>IF('Cylinder Detail'!AA149=0,"",'Cylinder Detail'!AA149)</f>
        <v/>
      </c>
      <c r="Q147" s="19" t="str">
        <f>IF('Cylinder Detail'!W149=0,"",'Cylinder Detail'!W149)</f>
        <v/>
      </c>
      <c r="R147" s="19" t="str">
        <f>IF('Cylinder Detail'!Y149=0,"",'Cylinder Detail'!Y149)</f>
        <v/>
      </c>
      <c r="S147" s="21" t="str">
        <f>IF('Cylinder Detail'!X149=0,"",'Cylinder Detail'!X149)</f>
        <v/>
      </c>
      <c r="T147" s="21" t="str">
        <f>IF('Cylinder Detail'!F149=0,"",'Cylinder Detail'!F149)</f>
        <v/>
      </c>
      <c r="U147" s="21" t="str">
        <f>IF('Cylinder Detail'!R149=0,"",'Cylinder Detail'!R149)</f>
        <v/>
      </c>
      <c r="V147" s="21" t="str">
        <f>IF('Cylinder Detail'!Q149=0,"",'Cylinder Detail'!Q149)</f>
        <v/>
      </c>
      <c r="W147" s="21" t="str">
        <f>IF('Cylinder Detail'!E149=0,"","+" &amp; 'Cylinder Detail'!E149)</f>
        <v/>
      </c>
      <c r="X147" s="21" t="str">
        <f t="shared" si="41"/>
        <v/>
      </c>
      <c r="Y147" s="21" t="str">
        <f>IF('Cylinder Detail'!S149=0,"",'Cylinder Detail'!S149)</f>
        <v/>
      </c>
      <c r="Z147" s="21" t="str">
        <f>IF('Cylinder Detail'!T149=0,"",'Cylinder Detail'!T149)</f>
        <v/>
      </c>
      <c r="AA147" s="21" t="str">
        <f>IF('Cylinder Detail'!H149=0,"",'Cylinder Detail'!H149)</f>
        <v/>
      </c>
      <c r="AB147" s="21" t="str">
        <f>IF('Cylinder Detail'!I149=0,"",'Cylinder Detail'!I149)</f>
        <v/>
      </c>
      <c r="AC147" s="22" t="str">
        <f>IF('Cylinder Detail'!AB149=0,"",'Cylinder Detail'!AB149)</f>
        <v/>
      </c>
      <c r="AD147" s="25" t="str">
        <f>IF('Sensor Detail'!F149=0,"","=" &amp; 'Sensor Detail'!F149)</f>
        <v/>
      </c>
      <c r="AE147" s="25" t="str">
        <f>IF('Sensor Detail'!H149=0,"",'Sensor Detail'!H149)</f>
        <v/>
      </c>
      <c r="AF147" s="27" t="str">
        <f>IF('Sensor Detail'!G149=0,"","-" &amp; 'Sensor Detail'!G149)</f>
        <v/>
      </c>
      <c r="AG147" s="27" t="str">
        <f>IF('Sensor Detail'!I149=0,"",'Sensor Detail'!I149)</f>
        <v/>
      </c>
      <c r="AH147" s="27" t="str">
        <f>IF('Sensor Detail'!E149=0,"","+" &amp; 'Sensor Detail'!E149)</f>
        <v/>
      </c>
      <c r="AI147" s="27" t="str">
        <f t="shared" si="42"/>
        <v/>
      </c>
      <c r="AJ147" s="27" t="str">
        <f>IF('Sensor Detail'!J149=0,"",'Sensor Detail'!J149)</f>
        <v/>
      </c>
      <c r="AK147" s="27" t="str">
        <f>IF('Sensor Detail'!K149=0,"",'Sensor Detail'!K149)</f>
        <v/>
      </c>
      <c r="AL147" s="27" t="str">
        <f>IF('Sensor Detail'!L149=0,"",'Sensor Detail'!L149)</f>
        <v/>
      </c>
      <c r="AM147" s="27" t="str">
        <f>IF('Sensor Detail'!M149=0,"",'Sensor Detail'!M149)</f>
        <v/>
      </c>
      <c r="AN147" s="27" t="str">
        <f>IF('Sensor Detail'!N149=0,"",'Sensor Detail'!N149)</f>
        <v/>
      </c>
      <c r="AO147" s="27" t="str">
        <f>IF('Sensor Detail'!O149=0,"",'Sensor Detail'!O149)</f>
        <v/>
      </c>
      <c r="AP147" s="15" t="str">
        <f t="shared" si="43"/>
        <v/>
      </c>
      <c r="AQ147" s="15" t="str">
        <f t="shared" si="44"/>
        <v/>
      </c>
    </row>
    <row r="148" spans="1:43">
      <c r="A148" s="13" t="str">
        <f t="shared" si="30"/>
        <v/>
      </c>
      <c r="B148" s="13" t="str">
        <f t="shared" si="31"/>
        <v/>
      </c>
      <c r="C148" s="15" t="str">
        <f t="shared" si="32"/>
        <v/>
      </c>
      <c r="D148" s="15" t="str">
        <f t="shared" si="33"/>
        <v/>
      </c>
      <c r="E148" s="15" t="str">
        <f t="shared" si="34"/>
        <v/>
      </c>
      <c r="F148" s="15" t="str">
        <f t="shared" si="35"/>
        <v/>
      </c>
      <c r="G148" s="15" t="str">
        <f t="shared" si="36"/>
        <v/>
      </c>
      <c r="H148" s="15" t="str">
        <f t="shared" si="37"/>
        <v/>
      </c>
      <c r="I148" s="15" t="str">
        <f t="shared" si="38"/>
        <v/>
      </c>
      <c r="J148" s="15" t="str">
        <f t="shared" si="39"/>
        <v/>
      </c>
      <c r="K148" s="13" t="str">
        <f>IF('Cylinder Detail'!U150=0,"",'Cylinder Detail'!U150)</f>
        <v/>
      </c>
      <c r="L148" s="13" t="str">
        <f>IF('Cylinder Detail'!Z150=0,"",_xlfn.TEXTBEFORE('Cylinder Detail'!Z150, ","))</f>
        <v/>
      </c>
      <c r="M148" s="13" t="str">
        <f t="shared" si="40"/>
        <v/>
      </c>
      <c r="N148" s="17" t="str">
        <f>IF('Cylinder Detail'!V150=0,"",'Cylinder Detail'!V150)</f>
        <v/>
      </c>
      <c r="O148" s="17" t="str">
        <f>IF('Cylinder Detail'!Z150=0,"",_xlfn.TEXTAFTER('Cylinder Detail'!Z150, ", "))</f>
        <v/>
      </c>
      <c r="P148" s="17" t="str">
        <f>IF('Cylinder Detail'!AA150=0,"",'Cylinder Detail'!AA150)</f>
        <v/>
      </c>
      <c r="Q148" s="19" t="str">
        <f>IF('Cylinder Detail'!W150=0,"",'Cylinder Detail'!W150)</f>
        <v/>
      </c>
      <c r="R148" s="19" t="str">
        <f>IF('Cylinder Detail'!Y150=0,"",'Cylinder Detail'!Y150)</f>
        <v/>
      </c>
      <c r="S148" s="21" t="str">
        <f>IF('Cylinder Detail'!X150=0,"",'Cylinder Detail'!X150)</f>
        <v/>
      </c>
      <c r="T148" s="21" t="str">
        <f>IF('Cylinder Detail'!F150=0,"",'Cylinder Detail'!F150)</f>
        <v/>
      </c>
      <c r="U148" s="21" t="str">
        <f>IF('Cylinder Detail'!R150=0,"",'Cylinder Detail'!R150)</f>
        <v/>
      </c>
      <c r="V148" s="21" t="str">
        <f>IF('Cylinder Detail'!Q150=0,"",'Cylinder Detail'!Q150)</f>
        <v/>
      </c>
      <c r="W148" s="21" t="str">
        <f>IF('Cylinder Detail'!E150=0,"","+" &amp; 'Cylinder Detail'!E150)</f>
        <v/>
      </c>
      <c r="X148" s="21" t="str">
        <f t="shared" si="41"/>
        <v/>
      </c>
      <c r="Y148" s="21" t="str">
        <f>IF('Cylinder Detail'!S150=0,"",'Cylinder Detail'!S150)</f>
        <v/>
      </c>
      <c r="Z148" s="21" t="str">
        <f>IF('Cylinder Detail'!T150=0,"",'Cylinder Detail'!T150)</f>
        <v/>
      </c>
      <c r="AA148" s="21" t="str">
        <f>IF('Cylinder Detail'!H150=0,"",'Cylinder Detail'!H150)</f>
        <v/>
      </c>
      <c r="AB148" s="21" t="str">
        <f>IF('Cylinder Detail'!I150=0,"",'Cylinder Detail'!I150)</f>
        <v/>
      </c>
      <c r="AC148" s="22" t="str">
        <f>IF('Cylinder Detail'!AB150=0,"",'Cylinder Detail'!AB150)</f>
        <v/>
      </c>
      <c r="AD148" s="25" t="str">
        <f>IF('Sensor Detail'!F150=0,"","=" &amp; 'Sensor Detail'!F150)</f>
        <v/>
      </c>
      <c r="AE148" s="25" t="str">
        <f>IF('Sensor Detail'!H150=0,"",'Sensor Detail'!H150)</f>
        <v/>
      </c>
      <c r="AF148" s="27" t="str">
        <f>IF('Sensor Detail'!G150=0,"","-" &amp; 'Sensor Detail'!G150)</f>
        <v/>
      </c>
      <c r="AG148" s="27" t="str">
        <f>IF('Sensor Detail'!I150=0,"",'Sensor Detail'!I150)</f>
        <v/>
      </c>
      <c r="AH148" s="27" t="str">
        <f>IF('Sensor Detail'!E150=0,"","+" &amp; 'Sensor Detail'!E150)</f>
        <v/>
      </c>
      <c r="AI148" s="27" t="str">
        <f t="shared" si="42"/>
        <v/>
      </c>
      <c r="AJ148" s="27" t="str">
        <f>IF('Sensor Detail'!J150=0,"",'Sensor Detail'!J150)</f>
        <v/>
      </c>
      <c r="AK148" s="27" t="str">
        <f>IF('Sensor Detail'!K150=0,"",'Sensor Detail'!K150)</f>
        <v/>
      </c>
      <c r="AL148" s="27" t="str">
        <f>IF('Sensor Detail'!L150=0,"",'Sensor Detail'!L150)</f>
        <v/>
      </c>
      <c r="AM148" s="27" t="str">
        <f>IF('Sensor Detail'!M150=0,"",'Sensor Detail'!M150)</f>
        <v/>
      </c>
      <c r="AN148" s="27" t="str">
        <f>IF('Sensor Detail'!N150=0,"",'Sensor Detail'!N150)</f>
        <v/>
      </c>
      <c r="AO148" s="27" t="str">
        <f>IF('Sensor Detail'!O150=0,"",'Sensor Detail'!O150)</f>
        <v/>
      </c>
      <c r="AP148" s="15" t="str">
        <f t="shared" si="43"/>
        <v/>
      </c>
      <c r="AQ148" s="15" t="str">
        <f t="shared" si="44"/>
        <v/>
      </c>
    </row>
    <row r="149" spans="1:43">
      <c r="A149" s="13" t="str">
        <f t="shared" si="30"/>
        <v/>
      </c>
      <c r="B149" s="13" t="str">
        <f t="shared" si="31"/>
        <v/>
      </c>
      <c r="C149" s="15" t="str">
        <f t="shared" si="32"/>
        <v/>
      </c>
      <c r="D149" s="15" t="str">
        <f t="shared" si="33"/>
        <v/>
      </c>
      <c r="E149" s="15" t="str">
        <f t="shared" si="34"/>
        <v/>
      </c>
      <c r="F149" s="15" t="str">
        <f t="shared" si="35"/>
        <v/>
      </c>
      <c r="G149" s="15" t="str">
        <f t="shared" si="36"/>
        <v/>
      </c>
      <c r="H149" s="15" t="str">
        <f t="shared" si="37"/>
        <v/>
      </c>
      <c r="I149" s="15" t="str">
        <f t="shared" si="38"/>
        <v/>
      </c>
      <c r="J149" s="15" t="str">
        <f t="shared" si="39"/>
        <v/>
      </c>
      <c r="K149" s="13" t="str">
        <f>IF('Cylinder Detail'!U151=0,"",'Cylinder Detail'!U151)</f>
        <v/>
      </c>
      <c r="L149" s="13" t="str">
        <f>IF('Cylinder Detail'!Z151=0,"",_xlfn.TEXTBEFORE('Cylinder Detail'!Z151, ","))</f>
        <v/>
      </c>
      <c r="M149" s="13" t="str">
        <f t="shared" si="40"/>
        <v/>
      </c>
      <c r="N149" s="17" t="str">
        <f>IF('Cylinder Detail'!V151=0,"",'Cylinder Detail'!V151)</f>
        <v/>
      </c>
      <c r="O149" s="17" t="str">
        <f>IF('Cylinder Detail'!Z151=0,"",_xlfn.TEXTAFTER('Cylinder Detail'!Z151, ", "))</f>
        <v/>
      </c>
      <c r="P149" s="17" t="str">
        <f>IF('Cylinder Detail'!AA151=0,"",'Cylinder Detail'!AA151)</f>
        <v/>
      </c>
      <c r="Q149" s="19" t="str">
        <f>IF('Cylinder Detail'!W151=0,"",'Cylinder Detail'!W151)</f>
        <v/>
      </c>
      <c r="R149" s="19" t="str">
        <f>IF('Cylinder Detail'!Y151=0,"",'Cylinder Detail'!Y151)</f>
        <v/>
      </c>
      <c r="S149" s="21" t="str">
        <f>IF('Cylinder Detail'!X151=0,"",'Cylinder Detail'!X151)</f>
        <v/>
      </c>
      <c r="T149" s="21" t="str">
        <f>IF('Cylinder Detail'!F151=0,"",'Cylinder Detail'!F151)</f>
        <v/>
      </c>
      <c r="U149" s="21" t="str">
        <f>IF('Cylinder Detail'!R151=0,"",'Cylinder Detail'!R151)</f>
        <v/>
      </c>
      <c r="V149" s="21" t="str">
        <f>IF('Cylinder Detail'!Q151=0,"",'Cylinder Detail'!Q151)</f>
        <v/>
      </c>
      <c r="W149" s="21" t="str">
        <f>IF('Cylinder Detail'!E151=0,"","+" &amp; 'Cylinder Detail'!E151)</f>
        <v/>
      </c>
      <c r="X149" s="21" t="str">
        <f t="shared" si="41"/>
        <v/>
      </c>
      <c r="Y149" s="21" t="str">
        <f>IF('Cylinder Detail'!S151=0,"",'Cylinder Detail'!S151)</f>
        <v/>
      </c>
      <c r="Z149" s="21" t="str">
        <f>IF('Cylinder Detail'!T151=0,"",'Cylinder Detail'!T151)</f>
        <v/>
      </c>
      <c r="AA149" s="21" t="str">
        <f>IF('Cylinder Detail'!H151=0,"",'Cylinder Detail'!H151)</f>
        <v/>
      </c>
      <c r="AB149" s="21" t="str">
        <f>IF('Cylinder Detail'!I151=0,"",'Cylinder Detail'!I151)</f>
        <v/>
      </c>
      <c r="AC149" s="22" t="str">
        <f>IF('Cylinder Detail'!AB151=0,"",'Cylinder Detail'!AB151)</f>
        <v/>
      </c>
      <c r="AD149" s="25" t="str">
        <f>IF('Sensor Detail'!F151=0,"","=" &amp; 'Sensor Detail'!F151)</f>
        <v/>
      </c>
      <c r="AE149" s="25" t="str">
        <f>IF('Sensor Detail'!H151=0,"",'Sensor Detail'!H151)</f>
        <v/>
      </c>
      <c r="AF149" s="27" t="str">
        <f>IF('Sensor Detail'!G151=0,"","-" &amp; 'Sensor Detail'!G151)</f>
        <v/>
      </c>
      <c r="AG149" s="27" t="str">
        <f>IF('Sensor Detail'!I151=0,"",'Sensor Detail'!I151)</f>
        <v/>
      </c>
      <c r="AH149" s="27" t="str">
        <f>IF('Sensor Detail'!E151=0,"","+" &amp; 'Sensor Detail'!E151)</f>
        <v/>
      </c>
      <c r="AI149" s="27" t="str">
        <f t="shared" si="42"/>
        <v/>
      </c>
      <c r="AJ149" s="27" t="str">
        <f>IF('Sensor Detail'!J151=0,"",'Sensor Detail'!J151)</f>
        <v/>
      </c>
      <c r="AK149" s="27" t="str">
        <f>IF('Sensor Detail'!K151=0,"",'Sensor Detail'!K151)</f>
        <v/>
      </c>
      <c r="AL149" s="27" t="str">
        <f>IF('Sensor Detail'!L151=0,"",'Sensor Detail'!L151)</f>
        <v/>
      </c>
      <c r="AM149" s="27" t="str">
        <f>IF('Sensor Detail'!M151=0,"",'Sensor Detail'!M151)</f>
        <v/>
      </c>
      <c r="AN149" s="27" t="str">
        <f>IF('Sensor Detail'!N151=0,"",'Sensor Detail'!N151)</f>
        <v/>
      </c>
      <c r="AO149" s="27" t="str">
        <f>IF('Sensor Detail'!O151=0,"",'Sensor Detail'!O151)</f>
        <v/>
      </c>
      <c r="AP149" s="15" t="str">
        <f t="shared" si="43"/>
        <v/>
      </c>
      <c r="AQ149" s="15" t="str">
        <f t="shared" si="44"/>
        <v/>
      </c>
    </row>
    <row r="150" spans="1:43">
      <c r="A150" s="13" t="str">
        <f t="shared" si="30"/>
        <v/>
      </c>
      <c r="B150" s="13" t="str">
        <f t="shared" si="31"/>
        <v/>
      </c>
      <c r="C150" s="15" t="str">
        <f t="shared" si="32"/>
        <v/>
      </c>
      <c r="D150" s="15" t="str">
        <f t="shared" si="33"/>
        <v/>
      </c>
      <c r="E150" s="15" t="str">
        <f t="shared" si="34"/>
        <v/>
      </c>
      <c r="F150" s="15" t="str">
        <f t="shared" si="35"/>
        <v/>
      </c>
      <c r="G150" s="15" t="str">
        <f t="shared" si="36"/>
        <v/>
      </c>
      <c r="H150" s="15" t="str">
        <f t="shared" si="37"/>
        <v/>
      </c>
      <c r="I150" s="15" t="str">
        <f t="shared" si="38"/>
        <v/>
      </c>
      <c r="J150" s="15" t="str">
        <f t="shared" si="39"/>
        <v/>
      </c>
      <c r="K150" s="13" t="str">
        <f>IF('Cylinder Detail'!U152=0,"",'Cylinder Detail'!U152)</f>
        <v/>
      </c>
      <c r="L150" s="13" t="str">
        <f>IF('Cylinder Detail'!Z152=0,"",_xlfn.TEXTBEFORE('Cylinder Detail'!Z152, ","))</f>
        <v/>
      </c>
      <c r="M150" s="13" t="str">
        <f t="shared" si="40"/>
        <v/>
      </c>
      <c r="N150" s="17" t="str">
        <f>IF('Cylinder Detail'!V152=0,"",'Cylinder Detail'!V152)</f>
        <v/>
      </c>
      <c r="O150" s="17" t="str">
        <f>IF('Cylinder Detail'!Z152=0,"",_xlfn.TEXTAFTER('Cylinder Detail'!Z152, ", "))</f>
        <v/>
      </c>
      <c r="P150" s="17" t="str">
        <f>IF('Cylinder Detail'!AA152=0,"",'Cylinder Detail'!AA152)</f>
        <v/>
      </c>
      <c r="Q150" s="19" t="str">
        <f>IF('Cylinder Detail'!W152=0,"",'Cylinder Detail'!W152)</f>
        <v/>
      </c>
      <c r="R150" s="19" t="str">
        <f>IF('Cylinder Detail'!Y152=0,"",'Cylinder Detail'!Y152)</f>
        <v/>
      </c>
      <c r="S150" s="21" t="str">
        <f>IF('Cylinder Detail'!X152=0,"",'Cylinder Detail'!X152)</f>
        <v/>
      </c>
      <c r="T150" s="21" t="str">
        <f>IF('Cylinder Detail'!F152=0,"",'Cylinder Detail'!F152)</f>
        <v/>
      </c>
      <c r="U150" s="21" t="str">
        <f>IF('Cylinder Detail'!R152=0,"",'Cylinder Detail'!R152)</f>
        <v/>
      </c>
      <c r="V150" s="21" t="str">
        <f>IF('Cylinder Detail'!Q152=0,"",'Cylinder Detail'!Q152)</f>
        <v/>
      </c>
      <c r="W150" s="21" t="str">
        <f>IF('Cylinder Detail'!E152=0,"","+" &amp; 'Cylinder Detail'!E152)</f>
        <v/>
      </c>
      <c r="X150" s="21" t="str">
        <f t="shared" si="41"/>
        <v/>
      </c>
      <c r="Y150" s="21" t="str">
        <f>IF('Cylinder Detail'!S152=0,"",'Cylinder Detail'!S152)</f>
        <v/>
      </c>
      <c r="Z150" s="21" t="str">
        <f>IF('Cylinder Detail'!T152=0,"",'Cylinder Detail'!T152)</f>
        <v/>
      </c>
      <c r="AA150" s="21" t="str">
        <f>IF('Cylinder Detail'!H152=0,"",'Cylinder Detail'!H152)</f>
        <v/>
      </c>
      <c r="AB150" s="21" t="str">
        <f>IF('Cylinder Detail'!I152=0,"",'Cylinder Detail'!I152)</f>
        <v/>
      </c>
      <c r="AC150" s="22" t="str">
        <f>IF('Cylinder Detail'!AB152=0,"",'Cylinder Detail'!AB152)</f>
        <v/>
      </c>
      <c r="AD150" s="25" t="str">
        <f>IF('Sensor Detail'!F152=0,"","=" &amp; 'Sensor Detail'!F152)</f>
        <v/>
      </c>
      <c r="AE150" s="25" t="str">
        <f>IF('Sensor Detail'!H152=0,"",'Sensor Detail'!H152)</f>
        <v/>
      </c>
      <c r="AF150" s="27" t="str">
        <f>IF('Sensor Detail'!G152=0,"","-" &amp; 'Sensor Detail'!G152)</f>
        <v/>
      </c>
      <c r="AG150" s="27" t="str">
        <f>IF('Sensor Detail'!I152=0,"",'Sensor Detail'!I152)</f>
        <v/>
      </c>
      <c r="AH150" s="27" t="str">
        <f>IF('Sensor Detail'!E152=0,"","+" &amp; 'Sensor Detail'!E152)</f>
        <v/>
      </c>
      <c r="AI150" s="27" t="str">
        <f t="shared" si="42"/>
        <v/>
      </c>
      <c r="AJ150" s="27" t="str">
        <f>IF('Sensor Detail'!J152=0,"",'Sensor Detail'!J152)</f>
        <v/>
      </c>
      <c r="AK150" s="27" t="str">
        <f>IF('Sensor Detail'!K152=0,"",'Sensor Detail'!K152)</f>
        <v/>
      </c>
      <c r="AL150" s="27" t="str">
        <f>IF('Sensor Detail'!L152=0,"",'Sensor Detail'!L152)</f>
        <v/>
      </c>
      <c r="AM150" s="27" t="str">
        <f>IF('Sensor Detail'!M152=0,"",'Sensor Detail'!M152)</f>
        <v/>
      </c>
      <c r="AN150" s="27" t="str">
        <f>IF('Sensor Detail'!N152=0,"",'Sensor Detail'!N152)</f>
        <v/>
      </c>
      <c r="AO150" s="27" t="str">
        <f>IF('Sensor Detail'!O152=0,"",'Sensor Detail'!O152)</f>
        <v/>
      </c>
      <c r="AP150" s="15" t="str">
        <f t="shared" si="43"/>
        <v/>
      </c>
      <c r="AQ150" s="15" t="str">
        <f t="shared" si="44"/>
        <v/>
      </c>
    </row>
    <row r="151" spans="1:43">
      <c r="A151" s="13" t="str">
        <f t="shared" si="30"/>
        <v/>
      </c>
      <c r="B151" s="13" t="str">
        <f t="shared" si="31"/>
        <v/>
      </c>
      <c r="C151" s="15" t="str">
        <f t="shared" si="32"/>
        <v/>
      </c>
      <c r="D151" s="15" t="str">
        <f t="shared" si="33"/>
        <v/>
      </c>
      <c r="E151" s="15" t="str">
        <f t="shared" si="34"/>
        <v/>
      </c>
      <c r="F151" s="15" t="str">
        <f t="shared" si="35"/>
        <v/>
      </c>
      <c r="G151" s="15" t="str">
        <f t="shared" si="36"/>
        <v/>
      </c>
      <c r="H151" s="15" t="str">
        <f t="shared" si="37"/>
        <v/>
      </c>
      <c r="I151" s="15" t="str">
        <f t="shared" si="38"/>
        <v/>
      </c>
      <c r="J151" s="15" t="str">
        <f t="shared" si="39"/>
        <v/>
      </c>
      <c r="K151" s="13" t="str">
        <f>IF('Cylinder Detail'!U153=0,"",'Cylinder Detail'!U153)</f>
        <v/>
      </c>
      <c r="L151" s="13" t="str">
        <f>IF('Cylinder Detail'!Z153=0,"",_xlfn.TEXTBEFORE('Cylinder Detail'!Z153, ","))</f>
        <v/>
      </c>
      <c r="M151" s="13" t="str">
        <f t="shared" si="40"/>
        <v/>
      </c>
      <c r="N151" s="17" t="str">
        <f>IF('Cylinder Detail'!V153=0,"",'Cylinder Detail'!V153)</f>
        <v/>
      </c>
      <c r="O151" s="17" t="str">
        <f>IF('Cylinder Detail'!Z153=0,"",_xlfn.TEXTAFTER('Cylinder Detail'!Z153, ", "))</f>
        <v/>
      </c>
      <c r="P151" s="17" t="str">
        <f>IF('Cylinder Detail'!AA153=0,"",'Cylinder Detail'!AA153)</f>
        <v/>
      </c>
      <c r="Q151" s="19" t="str">
        <f>IF('Cylinder Detail'!W153=0,"",'Cylinder Detail'!W153)</f>
        <v/>
      </c>
      <c r="R151" s="19" t="str">
        <f>IF('Cylinder Detail'!Y153=0,"",'Cylinder Detail'!Y153)</f>
        <v/>
      </c>
      <c r="S151" s="21" t="str">
        <f>IF('Cylinder Detail'!X153=0,"",'Cylinder Detail'!X153)</f>
        <v/>
      </c>
      <c r="T151" s="21" t="str">
        <f>IF('Cylinder Detail'!F153=0,"",'Cylinder Detail'!F153)</f>
        <v/>
      </c>
      <c r="U151" s="21" t="str">
        <f>IF('Cylinder Detail'!R153=0,"",'Cylinder Detail'!R153)</f>
        <v/>
      </c>
      <c r="V151" s="21" t="str">
        <f>IF('Cylinder Detail'!Q153=0,"",'Cylinder Detail'!Q153)</f>
        <v/>
      </c>
      <c r="W151" s="21" t="str">
        <f>IF('Cylinder Detail'!E153=0,"","+" &amp; 'Cylinder Detail'!E153)</f>
        <v/>
      </c>
      <c r="X151" s="21" t="str">
        <f t="shared" si="41"/>
        <v/>
      </c>
      <c r="Y151" s="21" t="str">
        <f>IF('Cylinder Detail'!S153=0,"",'Cylinder Detail'!S153)</f>
        <v/>
      </c>
      <c r="Z151" s="21" t="str">
        <f>IF('Cylinder Detail'!T153=0,"",'Cylinder Detail'!T153)</f>
        <v/>
      </c>
      <c r="AA151" s="21" t="str">
        <f>IF('Cylinder Detail'!H153=0,"",'Cylinder Detail'!H153)</f>
        <v/>
      </c>
      <c r="AB151" s="21" t="str">
        <f>IF('Cylinder Detail'!I153=0,"",'Cylinder Detail'!I153)</f>
        <v/>
      </c>
      <c r="AC151" s="22" t="str">
        <f>IF('Cylinder Detail'!AB153=0,"",'Cylinder Detail'!AB153)</f>
        <v/>
      </c>
      <c r="AD151" s="25" t="str">
        <f>IF('Sensor Detail'!F153=0,"","=" &amp; 'Sensor Detail'!F153)</f>
        <v/>
      </c>
      <c r="AE151" s="25" t="str">
        <f>IF('Sensor Detail'!H153=0,"",'Sensor Detail'!H153)</f>
        <v/>
      </c>
      <c r="AF151" s="27" t="str">
        <f>IF('Sensor Detail'!G153=0,"","-" &amp; 'Sensor Detail'!G153)</f>
        <v/>
      </c>
      <c r="AG151" s="27" t="str">
        <f>IF('Sensor Detail'!I153=0,"",'Sensor Detail'!I153)</f>
        <v/>
      </c>
      <c r="AH151" s="27" t="str">
        <f>IF('Sensor Detail'!E153=0,"","+" &amp; 'Sensor Detail'!E153)</f>
        <v/>
      </c>
      <c r="AI151" s="27" t="str">
        <f t="shared" si="42"/>
        <v/>
      </c>
      <c r="AJ151" s="27" t="str">
        <f>IF('Sensor Detail'!J153=0,"",'Sensor Detail'!J153)</f>
        <v/>
      </c>
      <c r="AK151" s="27" t="str">
        <f>IF('Sensor Detail'!K153=0,"",'Sensor Detail'!K153)</f>
        <v/>
      </c>
      <c r="AL151" s="27" t="str">
        <f>IF('Sensor Detail'!L153=0,"",'Sensor Detail'!L153)</f>
        <v/>
      </c>
      <c r="AM151" s="27" t="str">
        <f>IF('Sensor Detail'!M153=0,"",'Sensor Detail'!M153)</f>
        <v/>
      </c>
      <c r="AN151" s="27" t="str">
        <f>IF('Sensor Detail'!N153=0,"",'Sensor Detail'!N153)</f>
        <v/>
      </c>
      <c r="AO151" s="27" t="str">
        <f>IF('Sensor Detail'!O153=0,"",'Sensor Detail'!O153)</f>
        <v/>
      </c>
      <c r="AP151" s="15" t="str">
        <f t="shared" si="43"/>
        <v/>
      </c>
      <c r="AQ151" s="15" t="str">
        <f t="shared" si="44"/>
        <v/>
      </c>
    </row>
    <row r="152" spans="1:43">
      <c r="A152" s="13" t="str">
        <f t="shared" si="30"/>
        <v/>
      </c>
      <c r="B152" s="13" t="str">
        <f t="shared" si="31"/>
        <v/>
      </c>
      <c r="C152" s="15" t="str">
        <f t="shared" si="32"/>
        <v/>
      </c>
      <c r="D152" s="15" t="str">
        <f t="shared" si="33"/>
        <v/>
      </c>
      <c r="E152" s="15" t="str">
        <f t="shared" si="34"/>
        <v/>
      </c>
      <c r="F152" s="15" t="str">
        <f t="shared" si="35"/>
        <v/>
      </c>
      <c r="G152" s="15" t="str">
        <f t="shared" si="36"/>
        <v/>
      </c>
      <c r="H152" s="15" t="str">
        <f t="shared" si="37"/>
        <v/>
      </c>
      <c r="I152" s="15" t="str">
        <f t="shared" si="38"/>
        <v/>
      </c>
      <c r="J152" s="15" t="str">
        <f t="shared" si="39"/>
        <v/>
      </c>
      <c r="K152" s="13" t="str">
        <f>IF('Cylinder Detail'!U154=0,"",'Cylinder Detail'!U154)</f>
        <v/>
      </c>
      <c r="L152" s="13" t="str">
        <f>IF('Cylinder Detail'!Z154=0,"",_xlfn.TEXTBEFORE('Cylinder Detail'!Z154, ","))</f>
        <v/>
      </c>
      <c r="M152" s="13" t="str">
        <f t="shared" si="40"/>
        <v/>
      </c>
      <c r="N152" s="17" t="str">
        <f>IF('Cylinder Detail'!V154=0,"",'Cylinder Detail'!V154)</f>
        <v/>
      </c>
      <c r="O152" s="17" t="str">
        <f>IF('Cylinder Detail'!Z154=0,"",_xlfn.TEXTAFTER('Cylinder Detail'!Z154, ", "))</f>
        <v/>
      </c>
      <c r="P152" s="17" t="str">
        <f>IF('Cylinder Detail'!AA154=0,"",'Cylinder Detail'!AA154)</f>
        <v/>
      </c>
      <c r="Q152" s="19" t="str">
        <f>IF('Cylinder Detail'!W154=0,"",'Cylinder Detail'!W154)</f>
        <v/>
      </c>
      <c r="R152" s="19" t="str">
        <f>IF('Cylinder Detail'!Y154=0,"",'Cylinder Detail'!Y154)</f>
        <v/>
      </c>
      <c r="S152" s="21" t="str">
        <f>IF('Cylinder Detail'!X154=0,"",'Cylinder Detail'!X154)</f>
        <v/>
      </c>
      <c r="T152" s="21" t="str">
        <f>IF('Cylinder Detail'!F154=0,"",'Cylinder Detail'!F154)</f>
        <v/>
      </c>
      <c r="U152" s="21" t="str">
        <f>IF('Cylinder Detail'!R154=0,"",'Cylinder Detail'!R154)</f>
        <v/>
      </c>
      <c r="V152" s="21" t="str">
        <f>IF('Cylinder Detail'!Q154=0,"",'Cylinder Detail'!Q154)</f>
        <v/>
      </c>
      <c r="W152" s="21" t="str">
        <f>IF('Cylinder Detail'!E154=0,"","+" &amp; 'Cylinder Detail'!E154)</f>
        <v/>
      </c>
      <c r="X152" s="21" t="str">
        <f t="shared" si="41"/>
        <v/>
      </c>
      <c r="Y152" s="21" t="str">
        <f>IF('Cylinder Detail'!S154=0,"",'Cylinder Detail'!S154)</f>
        <v/>
      </c>
      <c r="Z152" s="21" t="str">
        <f>IF('Cylinder Detail'!T154=0,"",'Cylinder Detail'!T154)</f>
        <v/>
      </c>
      <c r="AA152" s="21" t="str">
        <f>IF('Cylinder Detail'!H154=0,"",'Cylinder Detail'!H154)</f>
        <v/>
      </c>
      <c r="AB152" s="21" t="str">
        <f>IF('Cylinder Detail'!I154=0,"",'Cylinder Detail'!I154)</f>
        <v/>
      </c>
      <c r="AC152" s="22" t="str">
        <f>IF('Cylinder Detail'!AB154=0,"",'Cylinder Detail'!AB154)</f>
        <v/>
      </c>
      <c r="AD152" s="25" t="str">
        <f>IF('Sensor Detail'!F154=0,"","=" &amp; 'Sensor Detail'!F154)</f>
        <v/>
      </c>
      <c r="AE152" s="25" t="str">
        <f>IF('Sensor Detail'!H154=0,"",'Sensor Detail'!H154)</f>
        <v/>
      </c>
      <c r="AF152" s="27" t="str">
        <f>IF('Sensor Detail'!G154=0,"","-" &amp; 'Sensor Detail'!G154)</f>
        <v/>
      </c>
      <c r="AG152" s="27" t="str">
        <f>IF('Sensor Detail'!I154=0,"",'Sensor Detail'!I154)</f>
        <v/>
      </c>
      <c r="AH152" s="27" t="str">
        <f>IF('Sensor Detail'!E154=0,"","+" &amp; 'Sensor Detail'!E154)</f>
        <v/>
      </c>
      <c r="AI152" s="27" t="str">
        <f t="shared" si="42"/>
        <v/>
      </c>
      <c r="AJ152" s="27" t="str">
        <f>IF('Sensor Detail'!J154=0,"",'Sensor Detail'!J154)</f>
        <v/>
      </c>
      <c r="AK152" s="27" t="str">
        <f>IF('Sensor Detail'!K154=0,"",'Sensor Detail'!K154)</f>
        <v/>
      </c>
      <c r="AL152" s="27" t="str">
        <f>IF('Sensor Detail'!L154=0,"",'Sensor Detail'!L154)</f>
        <v/>
      </c>
      <c r="AM152" s="27" t="str">
        <f>IF('Sensor Detail'!M154=0,"",'Sensor Detail'!M154)</f>
        <v/>
      </c>
      <c r="AN152" s="27" t="str">
        <f>IF('Sensor Detail'!N154=0,"",'Sensor Detail'!N154)</f>
        <v/>
      </c>
      <c r="AO152" s="27" t="str">
        <f>IF('Sensor Detail'!O154=0,"",'Sensor Detail'!O154)</f>
        <v/>
      </c>
      <c r="AP152" s="15" t="str">
        <f t="shared" si="43"/>
        <v/>
      </c>
      <c r="AQ152" s="15" t="str">
        <f t="shared" si="44"/>
        <v/>
      </c>
    </row>
    <row r="153" spans="1:43">
      <c r="A153" s="13" t="str">
        <f t="shared" si="30"/>
        <v/>
      </c>
      <c r="B153" s="13" t="str">
        <f t="shared" si="31"/>
        <v/>
      </c>
      <c r="C153" s="15" t="str">
        <f t="shared" si="32"/>
        <v/>
      </c>
      <c r="D153" s="15" t="str">
        <f t="shared" si="33"/>
        <v/>
      </c>
      <c r="E153" s="15" t="str">
        <f t="shared" si="34"/>
        <v/>
      </c>
      <c r="F153" s="15" t="str">
        <f t="shared" si="35"/>
        <v/>
      </c>
      <c r="G153" s="15" t="str">
        <f t="shared" si="36"/>
        <v/>
      </c>
      <c r="H153" s="15" t="str">
        <f t="shared" si="37"/>
        <v/>
      </c>
      <c r="I153" s="15" t="str">
        <f t="shared" si="38"/>
        <v/>
      </c>
      <c r="J153" s="15" t="str">
        <f t="shared" si="39"/>
        <v/>
      </c>
      <c r="K153" s="13" t="str">
        <f>IF('Cylinder Detail'!U155=0,"",'Cylinder Detail'!U155)</f>
        <v/>
      </c>
      <c r="L153" s="13" t="str">
        <f>IF('Cylinder Detail'!Z155=0,"",_xlfn.TEXTBEFORE('Cylinder Detail'!Z155, ","))</f>
        <v/>
      </c>
      <c r="M153" s="13" t="str">
        <f t="shared" si="40"/>
        <v/>
      </c>
      <c r="N153" s="17" t="str">
        <f>IF('Cylinder Detail'!V155=0,"",'Cylinder Detail'!V155)</f>
        <v/>
      </c>
      <c r="O153" s="17" t="str">
        <f>IF('Cylinder Detail'!Z155=0,"",_xlfn.TEXTAFTER('Cylinder Detail'!Z155, ", "))</f>
        <v/>
      </c>
      <c r="P153" s="17" t="str">
        <f>IF('Cylinder Detail'!AA155=0,"",'Cylinder Detail'!AA155)</f>
        <v/>
      </c>
      <c r="Q153" s="19" t="str">
        <f>IF('Cylinder Detail'!W155=0,"",'Cylinder Detail'!W155)</f>
        <v/>
      </c>
      <c r="R153" s="19" t="str">
        <f>IF('Cylinder Detail'!Y155=0,"",'Cylinder Detail'!Y155)</f>
        <v/>
      </c>
      <c r="S153" s="21" t="str">
        <f>IF('Cylinder Detail'!X155=0,"",'Cylinder Detail'!X155)</f>
        <v/>
      </c>
      <c r="T153" s="21" t="str">
        <f>IF('Cylinder Detail'!F155=0,"",'Cylinder Detail'!F155)</f>
        <v/>
      </c>
      <c r="U153" s="21" t="str">
        <f>IF('Cylinder Detail'!R155=0,"",'Cylinder Detail'!R155)</f>
        <v/>
      </c>
      <c r="V153" s="21" t="str">
        <f>IF('Cylinder Detail'!Q155=0,"",'Cylinder Detail'!Q155)</f>
        <v/>
      </c>
      <c r="W153" s="21" t="str">
        <f>IF('Cylinder Detail'!E155=0,"","+" &amp; 'Cylinder Detail'!E155)</f>
        <v/>
      </c>
      <c r="X153" s="21" t="str">
        <f t="shared" si="41"/>
        <v/>
      </c>
      <c r="Y153" s="21" t="str">
        <f>IF('Cylinder Detail'!S155=0,"",'Cylinder Detail'!S155)</f>
        <v/>
      </c>
      <c r="Z153" s="21" t="str">
        <f>IF('Cylinder Detail'!T155=0,"",'Cylinder Detail'!T155)</f>
        <v/>
      </c>
      <c r="AA153" s="21" t="str">
        <f>IF('Cylinder Detail'!H155=0,"",'Cylinder Detail'!H155)</f>
        <v/>
      </c>
      <c r="AB153" s="21" t="str">
        <f>IF('Cylinder Detail'!I155=0,"",'Cylinder Detail'!I155)</f>
        <v/>
      </c>
      <c r="AC153" s="22" t="str">
        <f>IF('Cylinder Detail'!AB155=0,"",'Cylinder Detail'!AB155)</f>
        <v/>
      </c>
      <c r="AD153" s="25" t="str">
        <f>IF('Sensor Detail'!F155=0,"","=" &amp; 'Sensor Detail'!F155)</f>
        <v/>
      </c>
      <c r="AE153" s="25" t="str">
        <f>IF('Sensor Detail'!H155=0,"",'Sensor Detail'!H155)</f>
        <v/>
      </c>
      <c r="AF153" s="27" t="str">
        <f>IF('Sensor Detail'!G155=0,"","-" &amp; 'Sensor Detail'!G155)</f>
        <v/>
      </c>
      <c r="AG153" s="27" t="str">
        <f>IF('Sensor Detail'!I155=0,"",'Sensor Detail'!I155)</f>
        <v/>
      </c>
      <c r="AH153" s="27" t="str">
        <f>IF('Sensor Detail'!E155=0,"","+" &amp; 'Sensor Detail'!E155)</f>
        <v/>
      </c>
      <c r="AI153" s="27" t="str">
        <f t="shared" si="42"/>
        <v/>
      </c>
      <c r="AJ153" s="27" t="str">
        <f>IF('Sensor Detail'!J155=0,"",'Sensor Detail'!J155)</f>
        <v/>
      </c>
      <c r="AK153" s="27" t="str">
        <f>IF('Sensor Detail'!K155=0,"",'Sensor Detail'!K155)</f>
        <v/>
      </c>
      <c r="AL153" s="27" t="str">
        <f>IF('Sensor Detail'!L155=0,"",'Sensor Detail'!L155)</f>
        <v/>
      </c>
      <c r="AM153" s="27" t="str">
        <f>IF('Sensor Detail'!M155=0,"",'Sensor Detail'!M155)</f>
        <v/>
      </c>
      <c r="AN153" s="27" t="str">
        <f>IF('Sensor Detail'!N155=0,"",'Sensor Detail'!N155)</f>
        <v/>
      </c>
      <c r="AO153" s="27" t="str">
        <f>IF('Sensor Detail'!O155=0,"",'Sensor Detail'!O155)</f>
        <v/>
      </c>
      <c r="AP153" s="15" t="str">
        <f t="shared" si="43"/>
        <v/>
      </c>
      <c r="AQ153" s="15" t="str">
        <f t="shared" si="44"/>
        <v/>
      </c>
    </row>
    <row r="154" spans="1:43">
      <c r="A154" s="13" t="str">
        <f t="shared" si="30"/>
        <v/>
      </c>
      <c r="B154" s="13" t="str">
        <f t="shared" si="31"/>
        <v/>
      </c>
      <c r="C154" s="15" t="str">
        <f t="shared" si="32"/>
        <v/>
      </c>
      <c r="D154" s="15" t="str">
        <f t="shared" si="33"/>
        <v/>
      </c>
      <c r="E154" s="15" t="str">
        <f t="shared" si="34"/>
        <v/>
      </c>
      <c r="F154" s="15" t="str">
        <f t="shared" si="35"/>
        <v/>
      </c>
      <c r="G154" s="15" t="str">
        <f t="shared" si="36"/>
        <v/>
      </c>
      <c r="H154" s="15" t="str">
        <f t="shared" si="37"/>
        <v/>
      </c>
      <c r="I154" s="15" t="str">
        <f t="shared" si="38"/>
        <v/>
      </c>
      <c r="J154" s="15" t="str">
        <f t="shared" si="39"/>
        <v/>
      </c>
      <c r="K154" s="13" t="str">
        <f>IF('Cylinder Detail'!U156=0,"",'Cylinder Detail'!U156)</f>
        <v/>
      </c>
      <c r="L154" s="13" t="str">
        <f>IF('Cylinder Detail'!Z156=0,"",_xlfn.TEXTBEFORE('Cylinder Detail'!Z156, ","))</f>
        <v/>
      </c>
      <c r="M154" s="13" t="str">
        <f t="shared" si="40"/>
        <v/>
      </c>
      <c r="N154" s="17" t="str">
        <f>IF('Cylinder Detail'!V156=0,"",'Cylinder Detail'!V156)</f>
        <v/>
      </c>
      <c r="O154" s="17" t="str">
        <f>IF('Cylinder Detail'!Z156=0,"",_xlfn.TEXTAFTER('Cylinder Detail'!Z156, ", "))</f>
        <v/>
      </c>
      <c r="P154" s="17" t="str">
        <f>IF('Cylinder Detail'!AA156=0,"",'Cylinder Detail'!AA156)</f>
        <v/>
      </c>
      <c r="Q154" s="19" t="str">
        <f>IF('Cylinder Detail'!W156=0,"",'Cylinder Detail'!W156)</f>
        <v/>
      </c>
      <c r="R154" s="19" t="str">
        <f>IF('Cylinder Detail'!Y156=0,"",'Cylinder Detail'!Y156)</f>
        <v/>
      </c>
      <c r="S154" s="21" t="str">
        <f>IF('Cylinder Detail'!X156=0,"",'Cylinder Detail'!X156)</f>
        <v/>
      </c>
      <c r="T154" s="21" t="str">
        <f>IF('Cylinder Detail'!F156=0,"",'Cylinder Detail'!F156)</f>
        <v/>
      </c>
      <c r="U154" s="21" t="str">
        <f>IF('Cylinder Detail'!R156=0,"",'Cylinder Detail'!R156)</f>
        <v/>
      </c>
      <c r="V154" s="21" t="str">
        <f>IF('Cylinder Detail'!Q156=0,"",'Cylinder Detail'!Q156)</f>
        <v/>
      </c>
      <c r="W154" s="21" t="str">
        <f>IF('Cylinder Detail'!E156=0,"","+" &amp; 'Cylinder Detail'!E156)</f>
        <v/>
      </c>
      <c r="X154" s="21" t="str">
        <f t="shared" si="41"/>
        <v/>
      </c>
      <c r="Y154" s="21" t="str">
        <f>IF('Cylinder Detail'!S156=0,"",'Cylinder Detail'!S156)</f>
        <v/>
      </c>
      <c r="Z154" s="21" t="str">
        <f>IF('Cylinder Detail'!T156=0,"",'Cylinder Detail'!T156)</f>
        <v/>
      </c>
      <c r="AA154" s="21" t="str">
        <f>IF('Cylinder Detail'!H156=0,"",'Cylinder Detail'!H156)</f>
        <v/>
      </c>
      <c r="AB154" s="21" t="str">
        <f>IF('Cylinder Detail'!I156=0,"",'Cylinder Detail'!I156)</f>
        <v/>
      </c>
      <c r="AC154" s="22" t="str">
        <f>IF('Cylinder Detail'!AB156=0,"",'Cylinder Detail'!AB156)</f>
        <v/>
      </c>
      <c r="AD154" s="25" t="str">
        <f>IF('Sensor Detail'!F156=0,"","=" &amp; 'Sensor Detail'!F156)</f>
        <v/>
      </c>
      <c r="AE154" s="25" t="str">
        <f>IF('Sensor Detail'!H156=0,"",'Sensor Detail'!H156)</f>
        <v/>
      </c>
      <c r="AF154" s="27" t="str">
        <f>IF('Sensor Detail'!G156=0,"","-" &amp; 'Sensor Detail'!G156)</f>
        <v/>
      </c>
      <c r="AG154" s="27" t="str">
        <f>IF('Sensor Detail'!I156=0,"",'Sensor Detail'!I156)</f>
        <v/>
      </c>
      <c r="AH154" s="27" t="str">
        <f>IF('Sensor Detail'!E156=0,"","+" &amp; 'Sensor Detail'!E156)</f>
        <v/>
      </c>
      <c r="AI154" s="27" t="str">
        <f t="shared" si="42"/>
        <v/>
      </c>
      <c r="AJ154" s="27" t="str">
        <f>IF('Sensor Detail'!J156=0,"",'Sensor Detail'!J156)</f>
        <v/>
      </c>
      <c r="AK154" s="27" t="str">
        <f>IF('Sensor Detail'!K156=0,"",'Sensor Detail'!K156)</f>
        <v/>
      </c>
      <c r="AL154" s="27" t="str">
        <f>IF('Sensor Detail'!L156=0,"",'Sensor Detail'!L156)</f>
        <v/>
      </c>
      <c r="AM154" s="27" t="str">
        <f>IF('Sensor Detail'!M156=0,"",'Sensor Detail'!M156)</f>
        <v/>
      </c>
      <c r="AN154" s="27" t="str">
        <f>IF('Sensor Detail'!N156=0,"",'Sensor Detail'!N156)</f>
        <v/>
      </c>
      <c r="AO154" s="27" t="str">
        <f>IF('Sensor Detail'!O156=0,"",'Sensor Detail'!O156)</f>
        <v/>
      </c>
      <c r="AP154" s="15" t="str">
        <f t="shared" si="43"/>
        <v/>
      </c>
      <c r="AQ154" s="15" t="str">
        <f t="shared" si="44"/>
        <v/>
      </c>
    </row>
    <row r="155" spans="1:43">
      <c r="A155" s="13" t="str">
        <f t="shared" si="30"/>
        <v/>
      </c>
      <c r="B155" s="13" t="str">
        <f t="shared" si="31"/>
        <v/>
      </c>
      <c r="C155" s="15" t="str">
        <f t="shared" si="32"/>
        <v/>
      </c>
      <c r="D155" s="15" t="str">
        <f t="shared" si="33"/>
        <v/>
      </c>
      <c r="E155" s="15" t="str">
        <f t="shared" si="34"/>
        <v/>
      </c>
      <c r="F155" s="15" t="str">
        <f t="shared" si="35"/>
        <v/>
      </c>
      <c r="G155" s="15" t="str">
        <f t="shared" si="36"/>
        <v/>
      </c>
      <c r="H155" s="15" t="str">
        <f t="shared" si="37"/>
        <v/>
      </c>
      <c r="I155" s="15" t="str">
        <f t="shared" si="38"/>
        <v/>
      </c>
      <c r="J155" s="15" t="str">
        <f t="shared" si="39"/>
        <v/>
      </c>
      <c r="K155" s="13" t="str">
        <f>IF('Cylinder Detail'!U157=0,"",'Cylinder Detail'!U157)</f>
        <v/>
      </c>
      <c r="L155" s="13" t="str">
        <f>IF('Cylinder Detail'!Z157=0,"",_xlfn.TEXTBEFORE('Cylinder Detail'!Z157, ","))</f>
        <v/>
      </c>
      <c r="M155" s="13" t="str">
        <f t="shared" si="40"/>
        <v/>
      </c>
      <c r="N155" s="17" t="str">
        <f>IF('Cylinder Detail'!V157=0,"",'Cylinder Detail'!V157)</f>
        <v/>
      </c>
      <c r="O155" s="17" t="str">
        <f>IF('Cylinder Detail'!Z157=0,"",_xlfn.TEXTAFTER('Cylinder Detail'!Z157, ", "))</f>
        <v/>
      </c>
      <c r="P155" s="17" t="str">
        <f>IF('Cylinder Detail'!AA157=0,"",'Cylinder Detail'!AA157)</f>
        <v/>
      </c>
      <c r="Q155" s="19" t="str">
        <f>IF('Cylinder Detail'!W157=0,"",'Cylinder Detail'!W157)</f>
        <v/>
      </c>
      <c r="R155" s="19" t="str">
        <f>IF('Cylinder Detail'!Y157=0,"",'Cylinder Detail'!Y157)</f>
        <v/>
      </c>
      <c r="S155" s="21" t="str">
        <f>IF('Cylinder Detail'!X157=0,"",'Cylinder Detail'!X157)</f>
        <v/>
      </c>
      <c r="T155" s="21" t="str">
        <f>IF('Cylinder Detail'!F157=0,"",'Cylinder Detail'!F157)</f>
        <v/>
      </c>
      <c r="U155" s="21" t="str">
        <f>IF('Cylinder Detail'!R157=0,"",'Cylinder Detail'!R157)</f>
        <v/>
      </c>
      <c r="V155" s="21" t="str">
        <f>IF('Cylinder Detail'!Q157=0,"",'Cylinder Detail'!Q157)</f>
        <v/>
      </c>
      <c r="W155" s="21" t="str">
        <f>IF('Cylinder Detail'!E157=0,"","+" &amp; 'Cylinder Detail'!E157)</f>
        <v/>
      </c>
      <c r="X155" s="21" t="str">
        <f t="shared" si="41"/>
        <v/>
      </c>
      <c r="Y155" s="21" t="str">
        <f>IF('Cylinder Detail'!S157=0,"",'Cylinder Detail'!S157)</f>
        <v/>
      </c>
      <c r="Z155" s="21" t="str">
        <f>IF('Cylinder Detail'!T157=0,"",'Cylinder Detail'!T157)</f>
        <v/>
      </c>
      <c r="AA155" s="21" t="str">
        <f>IF('Cylinder Detail'!H157=0,"",'Cylinder Detail'!H157)</f>
        <v/>
      </c>
      <c r="AB155" s="21" t="str">
        <f>IF('Cylinder Detail'!I157=0,"",'Cylinder Detail'!I157)</f>
        <v/>
      </c>
      <c r="AC155" s="22" t="str">
        <f>IF('Cylinder Detail'!AB157=0,"",'Cylinder Detail'!AB157)</f>
        <v/>
      </c>
      <c r="AD155" s="25" t="str">
        <f>IF('Sensor Detail'!F157=0,"","=" &amp; 'Sensor Detail'!F157)</f>
        <v/>
      </c>
      <c r="AE155" s="25" t="str">
        <f>IF('Sensor Detail'!H157=0,"",'Sensor Detail'!H157)</f>
        <v/>
      </c>
      <c r="AF155" s="27" t="str">
        <f>IF('Sensor Detail'!G157=0,"","-" &amp; 'Sensor Detail'!G157)</f>
        <v/>
      </c>
      <c r="AG155" s="27" t="str">
        <f>IF('Sensor Detail'!I157=0,"",'Sensor Detail'!I157)</f>
        <v/>
      </c>
      <c r="AH155" s="27" t="str">
        <f>IF('Sensor Detail'!E157=0,"","+" &amp; 'Sensor Detail'!E157)</f>
        <v/>
      </c>
      <c r="AI155" s="27" t="str">
        <f t="shared" si="42"/>
        <v/>
      </c>
      <c r="AJ155" s="27" t="str">
        <f>IF('Sensor Detail'!J157=0,"",'Sensor Detail'!J157)</f>
        <v/>
      </c>
      <c r="AK155" s="27" t="str">
        <f>IF('Sensor Detail'!K157=0,"",'Sensor Detail'!K157)</f>
        <v/>
      </c>
      <c r="AL155" s="27" t="str">
        <f>IF('Sensor Detail'!L157=0,"",'Sensor Detail'!L157)</f>
        <v/>
      </c>
      <c r="AM155" s="27" t="str">
        <f>IF('Sensor Detail'!M157=0,"",'Sensor Detail'!M157)</f>
        <v/>
      </c>
      <c r="AN155" s="27" t="str">
        <f>IF('Sensor Detail'!N157=0,"",'Sensor Detail'!N157)</f>
        <v/>
      </c>
      <c r="AO155" s="27" t="str">
        <f>IF('Sensor Detail'!O157=0,"",'Sensor Detail'!O157)</f>
        <v/>
      </c>
      <c r="AP155" s="15" t="str">
        <f t="shared" si="43"/>
        <v/>
      </c>
      <c r="AQ155" s="15" t="str">
        <f t="shared" si="44"/>
        <v/>
      </c>
    </row>
    <row r="156" spans="1:43">
      <c r="A156" s="13" t="str">
        <f t="shared" si="30"/>
        <v/>
      </c>
      <c r="B156" s="13" t="str">
        <f t="shared" si="31"/>
        <v/>
      </c>
      <c r="C156" s="15" t="str">
        <f t="shared" si="32"/>
        <v/>
      </c>
      <c r="D156" s="15" t="str">
        <f t="shared" si="33"/>
        <v/>
      </c>
      <c r="E156" s="15" t="str">
        <f t="shared" si="34"/>
        <v/>
      </c>
      <c r="F156" s="15" t="str">
        <f t="shared" si="35"/>
        <v/>
      </c>
      <c r="G156" s="15" t="str">
        <f t="shared" si="36"/>
        <v/>
      </c>
      <c r="H156" s="15" t="str">
        <f t="shared" si="37"/>
        <v/>
      </c>
      <c r="I156" s="15" t="str">
        <f t="shared" si="38"/>
        <v/>
      </c>
      <c r="J156" s="15" t="str">
        <f t="shared" si="39"/>
        <v/>
      </c>
      <c r="K156" s="13" t="str">
        <f>IF('Cylinder Detail'!U158=0,"",'Cylinder Detail'!U158)</f>
        <v/>
      </c>
      <c r="L156" s="13" t="str">
        <f>IF('Cylinder Detail'!Z158=0,"",_xlfn.TEXTBEFORE('Cylinder Detail'!Z158, ","))</f>
        <v/>
      </c>
      <c r="M156" s="13" t="str">
        <f t="shared" si="40"/>
        <v/>
      </c>
      <c r="N156" s="17" t="str">
        <f>IF('Cylinder Detail'!V158=0,"",'Cylinder Detail'!V158)</f>
        <v/>
      </c>
      <c r="O156" s="17" t="str">
        <f>IF('Cylinder Detail'!Z158=0,"",_xlfn.TEXTAFTER('Cylinder Detail'!Z158, ", "))</f>
        <v/>
      </c>
      <c r="P156" s="17" t="str">
        <f>IF('Cylinder Detail'!AA158=0,"",'Cylinder Detail'!AA158)</f>
        <v/>
      </c>
      <c r="Q156" s="19" t="str">
        <f>IF('Cylinder Detail'!W158=0,"",'Cylinder Detail'!W158)</f>
        <v/>
      </c>
      <c r="R156" s="19" t="str">
        <f>IF('Cylinder Detail'!Y158=0,"",'Cylinder Detail'!Y158)</f>
        <v/>
      </c>
      <c r="S156" s="21" t="str">
        <f>IF('Cylinder Detail'!X158=0,"",'Cylinder Detail'!X158)</f>
        <v/>
      </c>
      <c r="T156" s="21" t="str">
        <f>IF('Cylinder Detail'!F158=0,"",'Cylinder Detail'!F158)</f>
        <v/>
      </c>
      <c r="U156" s="21" t="str">
        <f>IF('Cylinder Detail'!R158=0,"",'Cylinder Detail'!R158)</f>
        <v/>
      </c>
      <c r="V156" s="21" t="str">
        <f>IF('Cylinder Detail'!Q158=0,"",'Cylinder Detail'!Q158)</f>
        <v/>
      </c>
      <c r="W156" s="21" t="str">
        <f>IF('Cylinder Detail'!E158=0,"","+" &amp; 'Cylinder Detail'!E158)</f>
        <v/>
      </c>
      <c r="X156" s="21" t="str">
        <f t="shared" si="41"/>
        <v/>
      </c>
      <c r="Y156" s="21" t="str">
        <f>IF('Cylinder Detail'!S158=0,"",'Cylinder Detail'!S158)</f>
        <v/>
      </c>
      <c r="Z156" s="21" t="str">
        <f>IF('Cylinder Detail'!T158=0,"",'Cylinder Detail'!T158)</f>
        <v/>
      </c>
      <c r="AA156" s="21" t="str">
        <f>IF('Cylinder Detail'!H158=0,"",'Cylinder Detail'!H158)</f>
        <v/>
      </c>
      <c r="AB156" s="21" t="str">
        <f>IF('Cylinder Detail'!I158=0,"",'Cylinder Detail'!I158)</f>
        <v/>
      </c>
      <c r="AC156" s="22" t="str">
        <f>IF('Cylinder Detail'!AB158=0,"",'Cylinder Detail'!AB158)</f>
        <v/>
      </c>
      <c r="AD156" s="25" t="str">
        <f>IF('Sensor Detail'!F158=0,"","=" &amp; 'Sensor Detail'!F158)</f>
        <v/>
      </c>
      <c r="AE156" s="25" t="str">
        <f>IF('Sensor Detail'!H158=0,"",'Sensor Detail'!H158)</f>
        <v/>
      </c>
      <c r="AF156" s="27" t="str">
        <f>IF('Sensor Detail'!G158=0,"","-" &amp; 'Sensor Detail'!G158)</f>
        <v/>
      </c>
      <c r="AG156" s="27" t="str">
        <f>IF('Sensor Detail'!I158=0,"",'Sensor Detail'!I158)</f>
        <v/>
      </c>
      <c r="AH156" s="27" t="str">
        <f>IF('Sensor Detail'!E158=0,"","+" &amp; 'Sensor Detail'!E158)</f>
        <v/>
      </c>
      <c r="AI156" s="27" t="str">
        <f t="shared" si="42"/>
        <v/>
      </c>
      <c r="AJ156" s="27" t="str">
        <f>IF('Sensor Detail'!J158=0,"",'Sensor Detail'!J158)</f>
        <v/>
      </c>
      <c r="AK156" s="27" t="str">
        <f>IF('Sensor Detail'!K158=0,"",'Sensor Detail'!K158)</f>
        <v/>
      </c>
      <c r="AL156" s="27" t="str">
        <f>IF('Sensor Detail'!L158=0,"",'Sensor Detail'!L158)</f>
        <v/>
      </c>
      <c r="AM156" s="27" t="str">
        <f>IF('Sensor Detail'!M158=0,"",'Sensor Detail'!M158)</f>
        <v/>
      </c>
      <c r="AN156" s="27" t="str">
        <f>IF('Sensor Detail'!N158=0,"",'Sensor Detail'!N158)</f>
        <v/>
      </c>
      <c r="AO156" s="27" t="str">
        <f>IF('Sensor Detail'!O158=0,"",'Sensor Detail'!O158)</f>
        <v/>
      </c>
      <c r="AP156" s="15" t="str">
        <f t="shared" si="43"/>
        <v/>
      </c>
      <c r="AQ156" s="15" t="str">
        <f t="shared" si="44"/>
        <v/>
      </c>
    </row>
    <row r="157" spans="1:43">
      <c r="A157" s="13" t="str">
        <f t="shared" si="30"/>
        <v/>
      </c>
      <c r="B157" s="13" t="str">
        <f t="shared" si="31"/>
        <v/>
      </c>
      <c r="C157" s="15" t="str">
        <f t="shared" si="32"/>
        <v/>
      </c>
      <c r="D157" s="15" t="str">
        <f t="shared" si="33"/>
        <v/>
      </c>
      <c r="E157" s="15" t="str">
        <f t="shared" si="34"/>
        <v/>
      </c>
      <c r="F157" s="15" t="str">
        <f t="shared" si="35"/>
        <v/>
      </c>
      <c r="G157" s="15" t="str">
        <f t="shared" si="36"/>
        <v/>
      </c>
      <c r="H157" s="15" t="str">
        <f t="shared" si="37"/>
        <v/>
      </c>
      <c r="I157" s="15" t="str">
        <f t="shared" si="38"/>
        <v/>
      </c>
      <c r="J157" s="15" t="str">
        <f t="shared" si="39"/>
        <v/>
      </c>
      <c r="K157" s="13" t="str">
        <f>IF('Cylinder Detail'!U159=0,"",'Cylinder Detail'!U159)</f>
        <v/>
      </c>
      <c r="L157" s="13" t="str">
        <f>IF('Cylinder Detail'!Z159=0,"",_xlfn.TEXTBEFORE('Cylinder Detail'!Z159, ","))</f>
        <v/>
      </c>
      <c r="M157" s="13" t="str">
        <f t="shared" si="40"/>
        <v/>
      </c>
      <c r="N157" s="17" t="str">
        <f>IF('Cylinder Detail'!V159=0,"",'Cylinder Detail'!V159)</f>
        <v/>
      </c>
      <c r="O157" s="17" t="str">
        <f>IF('Cylinder Detail'!Z159=0,"",_xlfn.TEXTAFTER('Cylinder Detail'!Z159, ", "))</f>
        <v/>
      </c>
      <c r="P157" s="17" t="str">
        <f>IF('Cylinder Detail'!AA159=0,"",'Cylinder Detail'!AA159)</f>
        <v/>
      </c>
      <c r="Q157" s="19" t="str">
        <f>IF('Cylinder Detail'!W159=0,"",'Cylinder Detail'!W159)</f>
        <v/>
      </c>
      <c r="R157" s="19" t="str">
        <f>IF('Cylinder Detail'!Y159=0,"",'Cylinder Detail'!Y159)</f>
        <v/>
      </c>
      <c r="S157" s="21" t="str">
        <f>IF('Cylinder Detail'!X159=0,"",'Cylinder Detail'!X159)</f>
        <v/>
      </c>
      <c r="T157" s="21" t="str">
        <f>IF('Cylinder Detail'!F159=0,"",'Cylinder Detail'!F159)</f>
        <v/>
      </c>
      <c r="U157" s="21" t="str">
        <f>IF('Cylinder Detail'!R159=0,"",'Cylinder Detail'!R159)</f>
        <v/>
      </c>
      <c r="V157" s="21" t="str">
        <f>IF('Cylinder Detail'!Q159=0,"",'Cylinder Detail'!Q159)</f>
        <v/>
      </c>
      <c r="W157" s="21" t="str">
        <f>IF('Cylinder Detail'!E159=0,"","+" &amp; 'Cylinder Detail'!E159)</f>
        <v/>
      </c>
      <c r="X157" s="21" t="str">
        <f t="shared" si="41"/>
        <v/>
      </c>
      <c r="Y157" s="21" t="str">
        <f>IF('Cylinder Detail'!S159=0,"",'Cylinder Detail'!S159)</f>
        <v/>
      </c>
      <c r="Z157" s="21" t="str">
        <f>IF('Cylinder Detail'!T159=0,"",'Cylinder Detail'!T159)</f>
        <v/>
      </c>
      <c r="AA157" s="21" t="str">
        <f>IF('Cylinder Detail'!H159=0,"",'Cylinder Detail'!H159)</f>
        <v/>
      </c>
      <c r="AB157" s="21" t="str">
        <f>IF('Cylinder Detail'!I159=0,"",'Cylinder Detail'!I159)</f>
        <v/>
      </c>
      <c r="AC157" s="22" t="str">
        <f>IF('Cylinder Detail'!AB159=0,"",'Cylinder Detail'!AB159)</f>
        <v/>
      </c>
      <c r="AD157" s="25" t="str">
        <f>IF('Sensor Detail'!F159=0,"","=" &amp; 'Sensor Detail'!F159)</f>
        <v/>
      </c>
      <c r="AE157" s="25" t="str">
        <f>IF('Sensor Detail'!H159=0,"",'Sensor Detail'!H159)</f>
        <v/>
      </c>
      <c r="AF157" s="27" t="str">
        <f>IF('Sensor Detail'!G159=0,"","-" &amp; 'Sensor Detail'!G159)</f>
        <v/>
      </c>
      <c r="AG157" s="27" t="str">
        <f>IF('Sensor Detail'!I159=0,"",'Sensor Detail'!I159)</f>
        <v/>
      </c>
      <c r="AH157" s="27" t="str">
        <f>IF('Sensor Detail'!E159=0,"","+" &amp; 'Sensor Detail'!E159)</f>
        <v/>
      </c>
      <c r="AI157" s="27" t="str">
        <f t="shared" si="42"/>
        <v/>
      </c>
      <c r="AJ157" s="27" t="str">
        <f>IF('Sensor Detail'!J159=0,"",'Sensor Detail'!J159)</f>
        <v/>
      </c>
      <c r="AK157" s="27" t="str">
        <f>IF('Sensor Detail'!K159=0,"",'Sensor Detail'!K159)</f>
        <v/>
      </c>
      <c r="AL157" s="27" t="str">
        <f>IF('Sensor Detail'!L159=0,"",'Sensor Detail'!L159)</f>
        <v/>
      </c>
      <c r="AM157" s="27" t="str">
        <f>IF('Sensor Detail'!M159=0,"",'Sensor Detail'!M159)</f>
        <v/>
      </c>
      <c r="AN157" s="27" t="str">
        <f>IF('Sensor Detail'!N159=0,"",'Sensor Detail'!N159)</f>
        <v/>
      </c>
      <c r="AO157" s="27" t="str">
        <f>IF('Sensor Detail'!O159=0,"",'Sensor Detail'!O159)</f>
        <v/>
      </c>
      <c r="AP157" s="15" t="str">
        <f t="shared" si="43"/>
        <v/>
      </c>
      <c r="AQ157" s="15" t="str">
        <f t="shared" si="44"/>
        <v/>
      </c>
    </row>
    <row r="158" spans="1:43">
      <c r="A158" s="13" t="str">
        <f t="shared" si="30"/>
        <v/>
      </c>
      <c r="B158" s="13" t="str">
        <f t="shared" si="31"/>
        <v/>
      </c>
      <c r="C158" s="15" t="str">
        <f t="shared" si="32"/>
        <v/>
      </c>
      <c r="D158" s="15" t="str">
        <f t="shared" si="33"/>
        <v/>
      </c>
      <c r="E158" s="15" t="str">
        <f t="shared" si="34"/>
        <v/>
      </c>
      <c r="F158" s="15" t="str">
        <f t="shared" si="35"/>
        <v/>
      </c>
      <c r="G158" s="15" t="str">
        <f t="shared" si="36"/>
        <v/>
      </c>
      <c r="H158" s="15" t="str">
        <f t="shared" si="37"/>
        <v/>
      </c>
      <c r="I158" s="15" t="str">
        <f t="shared" si="38"/>
        <v/>
      </c>
      <c r="J158" s="15" t="str">
        <f t="shared" si="39"/>
        <v/>
      </c>
      <c r="K158" s="13" t="str">
        <f>IF('Cylinder Detail'!U160=0,"",'Cylinder Detail'!U160)</f>
        <v/>
      </c>
      <c r="L158" s="13" t="str">
        <f>IF('Cylinder Detail'!Z160=0,"",_xlfn.TEXTBEFORE('Cylinder Detail'!Z160, ","))</f>
        <v/>
      </c>
      <c r="M158" s="13" t="str">
        <f t="shared" si="40"/>
        <v/>
      </c>
      <c r="N158" s="17" t="str">
        <f>IF('Cylinder Detail'!V160=0,"",'Cylinder Detail'!V160)</f>
        <v/>
      </c>
      <c r="O158" s="17" t="str">
        <f>IF('Cylinder Detail'!Z160=0,"",_xlfn.TEXTAFTER('Cylinder Detail'!Z160, ", "))</f>
        <v/>
      </c>
      <c r="P158" s="17" t="str">
        <f>IF('Cylinder Detail'!AA160=0,"",'Cylinder Detail'!AA160)</f>
        <v/>
      </c>
      <c r="Q158" s="19" t="str">
        <f>IF('Cylinder Detail'!W160=0,"",'Cylinder Detail'!W160)</f>
        <v/>
      </c>
      <c r="R158" s="19" t="str">
        <f>IF('Cylinder Detail'!Y160=0,"",'Cylinder Detail'!Y160)</f>
        <v/>
      </c>
      <c r="S158" s="21" t="str">
        <f>IF('Cylinder Detail'!X160=0,"",'Cylinder Detail'!X160)</f>
        <v/>
      </c>
      <c r="T158" s="21" t="str">
        <f>IF('Cylinder Detail'!F160=0,"",'Cylinder Detail'!F160)</f>
        <v/>
      </c>
      <c r="U158" s="21" t="str">
        <f>IF('Cylinder Detail'!R160=0,"",'Cylinder Detail'!R160)</f>
        <v/>
      </c>
      <c r="V158" s="21" t="str">
        <f>IF('Cylinder Detail'!Q160=0,"",'Cylinder Detail'!Q160)</f>
        <v/>
      </c>
      <c r="W158" s="21" t="str">
        <f>IF('Cylinder Detail'!E160=0,"","+" &amp; 'Cylinder Detail'!E160)</f>
        <v/>
      </c>
      <c r="X158" s="21" t="str">
        <f t="shared" si="41"/>
        <v/>
      </c>
      <c r="Y158" s="21" t="str">
        <f>IF('Cylinder Detail'!S160=0,"",'Cylinder Detail'!S160)</f>
        <v/>
      </c>
      <c r="Z158" s="21" t="str">
        <f>IF('Cylinder Detail'!T160=0,"",'Cylinder Detail'!T160)</f>
        <v/>
      </c>
      <c r="AA158" s="21" t="str">
        <f>IF('Cylinder Detail'!H160=0,"",'Cylinder Detail'!H160)</f>
        <v/>
      </c>
      <c r="AB158" s="21" t="str">
        <f>IF('Cylinder Detail'!I160=0,"",'Cylinder Detail'!I160)</f>
        <v/>
      </c>
      <c r="AC158" s="22" t="str">
        <f>IF('Cylinder Detail'!AB160=0,"",'Cylinder Detail'!AB160)</f>
        <v/>
      </c>
      <c r="AD158" s="25" t="str">
        <f>IF('Sensor Detail'!F160=0,"","=" &amp; 'Sensor Detail'!F160)</f>
        <v/>
      </c>
      <c r="AE158" s="25" t="str">
        <f>IF('Sensor Detail'!H160=0,"",'Sensor Detail'!H160)</f>
        <v/>
      </c>
      <c r="AF158" s="27" t="str">
        <f>IF('Sensor Detail'!G160=0,"","-" &amp; 'Sensor Detail'!G160)</f>
        <v/>
      </c>
      <c r="AG158" s="27" t="str">
        <f>IF('Sensor Detail'!I160=0,"",'Sensor Detail'!I160)</f>
        <v/>
      </c>
      <c r="AH158" s="27" t="str">
        <f>IF('Sensor Detail'!E160=0,"","+" &amp; 'Sensor Detail'!E160)</f>
        <v/>
      </c>
      <c r="AI158" s="27" t="str">
        <f t="shared" si="42"/>
        <v/>
      </c>
      <c r="AJ158" s="27" t="str">
        <f>IF('Sensor Detail'!J160=0,"",'Sensor Detail'!J160)</f>
        <v/>
      </c>
      <c r="AK158" s="27" t="str">
        <f>IF('Sensor Detail'!K160=0,"",'Sensor Detail'!K160)</f>
        <v/>
      </c>
      <c r="AL158" s="27" t="str">
        <f>IF('Sensor Detail'!L160=0,"",'Sensor Detail'!L160)</f>
        <v/>
      </c>
      <c r="AM158" s="27" t="str">
        <f>IF('Sensor Detail'!M160=0,"",'Sensor Detail'!M160)</f>
        <v/>
      </c>
      <c r="AN158" s="27" t="str">
        <f>IF('Sensor Detail'!N160=0,"",'Sensor Detail'!N160)</f>
        <v/>
      </c>
      <c r="AO158" s="27" t="str">
        <f>IF('Sensor Detail'!O160=0,"",'Sensor Detail'!O160)</f>
        <v/>
      </c>
      <c r="AP158" s="15" t="str">
        <f t="shared" si="43"/>
        <v/>
      </c>
      <c r="AQ158" s="15" t="str">
        <f t="shared" si="44"/>
        <v/>
      </c>
    </row>
    <row r="159" spans="1:43">
      <c r="A159" s="13" t="str">
        <f t="shared" si="30"/>
        <v/>
      </c>
      <c r="B159" s="13" t="str">
        <f t="shared" si="31"/>
        <v/>
      </c>
      <c r="C159" s="15" t="str">
        <f t="shared" si="32"/>
        <v/>
      </c>
      <c r="D159" s="15" t="str">
        <f t="shared" si="33"/>
        <v/>
      </c>
      <c r="E159" s="15" t="str">
        <f t="shared" si="34"/>
        <v/>
      </c>
      <c r="F159" s="15" t="str">
        <f t="shared" si="35"/>
        <v/>
      </c>
      <c r="G159" s="15" t="str">
        <f t="shared" si="36"/>
        <v/>
      </c>
      <c r="H159" s="15" t="str">
        <f t="shared" si="37"/>
        <v/>
      </c>
      <c r="I159" s="15" t="str">
        <f t="shared" si="38"/>
        <v/>
      </c>
      <c r="J159" s="15" t="str">
        <f t="shared" si="39"/>
        <v/>
      </c>
      <c r="K159" s="13" t="str">
        <f>IF('Cylinder Detail'!U161=0,"",'Cylinder Detail'!U161)</f>
        <v/>
      </c>
      <c r="L159" s="13" t="str">
        <f>IF('Cylinder Detail'!Z161=0,"",_xlfn.TEXTBEFORE('Cylinder Detail'!Z161, ","))</f>
        <v/>
      </c>
      <c r="M159" s="13" t="str">
        <f t="shared" si="40"/>
        <v/>
      </c>
      <c r="N159" s="17" t="str">
        <f>IF('Cylinder Detail'!V161=0,"",'Cylinder Detail'!V161)</f>
        <v/>
      </c>
      <c r="O159" s="17" t="str">
        <f>IF('Cylinder Detail'!Z161=0,"",_xlfn.TEXTAFTER('Cylinder Detail'!Z161, ", "))</f>
        <v/>
      </c>
      <c r="P159" s="17" t="str">
        <f>IF('Cylinder Detail'!AA161=0,"",'Cylinder Detail'!AA161)</f>
        <v/>
      </c>
      <c r="Q159" s="19" t="str">
        <f>IF('Cylinder Detail'!W161=0,"",'Cylinder Detail'!W161)</f>
        <v/>
      </c>
      <c r="R159" s="19" t="str">
        <f>IF('Cylinder Detail'!Y161=0,"",'Cylinder Detail'!Y161)</f>
        <v/>
      </c>
      <c r="S159" s="21" t="str">
        <f>IF('Cylinder Detail'!X161=0,"",'Cylinder Detail'!X161)</f>
        <v/>
      </c>
      <c r="T159" s="21" t="str">
        <f>IF('Cylinder Detail'!F161=0,"",'Cylinder Detail'!F161)</f>
        <v/>
      </c>
      <c r="U159" s="21" t="str">
        <f>IF('Cylinder Detail'!R161=0,"",'Cylinder Detail'!R161)</f>
        <v/>
      </c>
      <c r="V159" s="21" t="str">
        <f>IF('Cylinder Detail'!Q161=0,"",'Cylinder Detail'!Q161)</f>
        <v/>
      </c>
      <c r="W159" s="21" t="str">
        <f>IF('Cylinder Detail'!E161=0,"","+" &amp; 'Cylinder Detail'!E161)</f>
        <v/>
      </c>
      <c r="X159" s="21" t="str">
        <f t="shared" si="41"/>
        <v/>
      </c>
      <c r="Y159" s="21" t="str">
        <f>IF('Cylinder Detail'!S161=0,"",'Cylinder Detail'!S161)</f>
        <v/>
      </c>
      <c r="Z159" s="21" t="str">
        <f>IF('Cylinder Detail'!T161=0,"",'Cylinder Detail'!T161)</f>
        <v/>
      </c>
      <c r="AA159" s="21" t="str">
        <f>IF('Cylinder Detail'!H161=0,"",'Cylinder Detail'!H161)</f>
        <v/>
      </c>
      <c r="AB159" s="21" t="str">
        <f>IF('Cylinder Detail'!I161=0,"",'Cylinder Detail'!I161)</f>
        <v/>
      </c>
      <c r="AC159" s="22" t="str">
        <f>IF('Cylinder Detail'!AB161=0,"",'Cylinder Detail'!AB161)</f>
        <v/>
      </c>
      <c r="AD159" s="25" t="str">
        <f>IF('Sensor Detail'!F161=0,"","=" &amp; 'Sensor Detail'!F161)</f>
        <v/>
      </c>
      <c r="AE159" s="25" t="str">
        <f>IF('Sensor Detail'!H161=0,"",'Sensor Detail'!H161)</f>
        <v/>
      </c>
      <c r="AF159" s="27" t="str">
        <f>IF('Sensor Detail'!G161=0,"","-" &amp; 'Sensor Detail'!G161)</f>
        <v/>
      </c>
      <c r="AG159" s="27" t="str">
        <f>IF('Sensor Detail'!I161=0,"",'Sensor Detail'!I161)</f>
        <v/>
      </c>
      <c r="AH159" s="27" t="str">
        <f>IF('Sensor Detail'!E161=0,"","+" &amp; 'Sensor Detail'!E161)</f>
        <v/>
      </c>
      <c r="AI159" s="27" t="str">
        <f t="shared" si="42"/>
        <v/>
      </c>
      <c r="AJ159" s="27" t="str">
        <f>IF('Sensor Detail'!J161=0,"",'Sensor Detail'!J161)</f>
        <v/>
      </c>
      <c r="AK159" s="27" t="str">
        <f>IF('Sensor Detail'!K161=0,"",'Sensor Detail'!K161)</f>
        <v/>
      </c>
      <c r="AL159" s="27" t="str">
        <f>IF('Sensor Detail'!L161=0,"",'Sensor Detail'!L161)</f>
        <v/>
      </c>
      <c r="AM159" s="27" t="str">
        <f>IF('Sensor Detail'!M161=0,"",'Sensor Detail'!M161)</f>
        <v/>
      </c>
      <c r="AN159" s="27" t="str">
        <f>IF('Sensor Detail'!N161=0,"",'Sensor Detail'!N161)</f>
        <v/>
      </c>
      <c r="AO159" s="27" t="str">
        <f>IF('Sensor Detail'!O161=0,"",'Sensor Detail'!O161)</f>
        <v/>
      </c>
      <c r="AP159" s="15" t="str">
        <f t="shared" si="43"/>
        <v/>
      </c>
      <c r="AQ159" s="15" t="str">
        <f t="shared" si="44"/>
        <v/>
      </c>
    </row>
    <row r="160" spans="1:43">
      <c r="A160" s="13" t="str">
        <f t="shared" si="30"/>
        <v/>
      </c>
      <c r="B160" s="13" t="str">
        <f t="shared" si="31"/>
        <v/>
      </c>
      <c r="C160" s="15" t="str">
        <f t="shared" si="32"/>
        <v/>
      </c>
      <c r="D160" s="15" t="str">
        <f t="shared" si="33"/>
        <v/>
      </c>
      <c r="E160" s="15" t="str">
        <f t="shared" si="34"/>
        <v/>
      </c>
      <c r="F160" s="15" t="str">
        <f t="shared" si="35"/>
        <v/>
      </c>
      <c r="G160" s="15" t="str">
        <f t="shared" si="36"/>
        <v/>
      </c>
      <c r="H160" s="15" t="str">
        <f t="shared" si="37"/>
        <v/>
      </c>
      <c r="I160" s="15" t="str">
        <f t="shared" si="38"/>
        <v/>
      </c>
      <c r="J160" s="15" t="str">
        <f t="shared" si="39"/>
        <v/>
      </c>
      <c r="K160" s="13" t="str">
        <f>IF('Cylinder Detail'!U162=0,"",'Cylinder Detail'!U162)</f>
        <v/>
      </c>
      <c r="L160" s="13" t="str">
        <f>IF('Cylinder Detail'!Z162=0,"",_xlfn.TEXTBEFORE('Cylinder Detail'!Z162, ","))</f>
        <v/>
      </c>
      <c r="M160" s="13" t="str">
        <f t="shared" si="40"/>
        <v/>
      </c>
      <c r="N160" s="17" t="str">
        <f>IF('Cylinder Detail'!V162=0,"",'Cylinder Detail'!V162)</f>
        <v/>
      </c>
      <c r="O160" s="17" t="str">
        <f>IF('Cylinder Detail'!Z162=0,"",_xlfn.TEXTAFTER('Cylinder Detail'!Z162, ", "))</f>
        <v/>
      </c>
      <c r="P160" s="17" t="str">
        <f>IF('Cylinder Detail'!AA162=0,"",'Cylinder Detail'!AA162)</f>
        <v/>
      </c>
      <c r="Q160" s="19" t="str">
        <f>IF('Cylinder Detail'!W162=0,"",'Cylinder Detail'!W162)</f>
        <v/>
      </c>
      <c r="R160" s="19" t="str">
        <f>IF('Cylinder Detail'!Y162=0,"",'Cylinder Detail'!Y162)</f>
        <v/>
      </c>
      <c r="S160" s="21" t="str">
        <f>IF('Cylinder Detail'!X162=0,"",'Cylinder Detail'!X162)</f>
        <v/>
      </c>
      <c r="T160" s="21" t="str">
        <f>IF('Cylinder Detail'!F162=0,"",'Cylinder Detail'!F162)</f>
        <v/>
      </c>
      <c r="U160" s="21" t="str">
        <f>IF('Cylinder Detail'!R162=0,"",'Cylinder Detail'!R162)</f>
        <v/>
      </c>
      <c r="V160" s="21" t="str">
        <f>IF('Cylinder Detail'!Q162=0,"",'Cylinder Detail'!Q162)</f>
        <v/>
      </c>
      <c r="W160" s="21" t="str">
        <f>IF('Cylinder Detail'!E162=0,"","+" &amp; 'Cylinder Detail'!E162)</f>
        <v/>
      </c>
      <c r="X160" s="21" t="str">
        <f t="shared" si="41"/>
        <v/>
      </c>
      <c r="Y160" s="21" t="str">
        <f>IF('Cylinder Detail'!S162=0,"",'Cylinder Detail'!S162)</f>
        <v/>
      </c>
      <c r="Z160" s="21" t="str">
        <f>IF('Cylinder Detail'!T162=0,"",'Cylinder Detail'!T162)</f>
        <v/>
      </c>
      <c r="AA160" s="21" t="str">
        <f>IF('Cylinder Detail'!H162=0,"",'Cylinder Detail'!H162)</f>
        <v/>
      </c>
      <c r="AB160" s="21" t="str">
        <f>IF('Cylinder Detail'!I162=0,"",'Cylinder Detail'!I162)</f>
        <v/>
      </c>
      <c r="AC160" s="22" t="str">
        <f>IF('Cylinder Detail'!AB162=0,"",'Cylinder Detail'!AB162)</f>
        <v/>
      </c>
      <c r="AD160" s="25" t="str">
        <f>IF('Sensor Detail'!F162=0,"","=" &amp; 'Sensor Detail'!F162)</f>
        <v/>
      </c>
      <c r="AE160" s="25" t="str">
        <f>IF('Sensor Detail'!H162=0,"",'Sensor Detail'!H162)</f>
        <v/>
      </c>
      <c r="AF160" s="27" t="str">
        <f>IF('Sensor Detail'!G162=0,"","-" &amp; 'Sensor Detail'!G162)</f>
        <v/>
      </c>
      <c r="AG160" s="27" t="str">
        <f>IF('Sensor Detail'!I162=0,"",'Sensor Detail'!I162)</f>
        <v/>
      </c>
      <c r="AH160" s="27" t="str">
        <f>IF('Sensor Detail'!E162=0,"","+" &amp; 'Sensor Detail'!E162)</f>
        <v/>
      </c>
      <c r="AI160" s="27" t="str">
        <f t="shared" si="42"/>
        <v/>
      </c>
      <c r="AJ160" s="27" t="str">
        <f>IF('Sensor Detail'!J162=0,"",'Sensor Detail'!J162)</f>
        <v/>
      </c>
      <c r="AK160" s="27" t="str">
        <f>IF('Sensor Detail'!K162=0,"",'Sensor Detail'!K162)</f>
        <v/>
      </c>
      <c r="AL160" s="27" t="str">
        <f>IF('Sensor Detail'!L162=0,"",'Sensor Detail'!L162)</f>
        <v/>
      </c>
      <c r="AM160" s="27" t="str">
        <f>IF('Sensor Detail'!M162=0,"",'Sensor Detail'!M162)</f>
        <v/>
      </c>
      <c r="AN160" s="27" t="str">
        <f>IF('Sensor Detail'!N162=0,"",'Sensor Detail'!N162)</f>
        <v/>
      </c>
      <c r="AO160" s="27" t="str">
        <f>IF('Sensor Detail'!O162=0,"",'Sensor Detail'!O162)</f>
        <v/>
      </c>
      <c r="AP160" s="15" t="str">
        <f t="shared" si="43"/>
        <v/>
      </c>
      <c r="AQ160" s="15" t="str">
        <f t="shared" si="44"/>
        <v/>
      </c>
    </row>
    <row r="161" spans="1:43">
      <c r="A161" s="13" t="str">
        <f t="shared" si="30"/>
        <v/>
      </c>
      <c r="B161" s="13" t="str">
        <f t="shared" si="31"/>
        <v/>
      </c>
      <c r="C161" s="15" t="str">
        <f t="shared" si="32"/>
        <v/>
      </c>
      <c r="D161" s="15" t="str">
        <f t="shared" si="33"/>
        <v/>
      </c>
      <c r="E161" s="15" t="str">
        <f t="shared" si="34"/>
        <v/>
      </c>
      <c r="F161" s="15" t="str">
        <f t="shared" si="35"/>
        <v/>
      </c>
      <c r="G161" s="15" t="str">
        <f t="shared" si="36"/>
        <v/>
      </c>
      <c r="H161" s="15" t="str">
        <f t="shared" si="37"/>
        <v/>
      </c>
      <c r="I161" s="15" t="str">
        <f t="shared" si="38"/>
        <v/>
      </c>
      <c r="J161" s="15" t="str">
        <f t="shared" si="39"/>
        <v/>
      </c>
      <c r="K161" s="13" t="str">
        <f>IF('Cylinder Detail'!U163=0,"",'Cylinder Detail'!U163)</f>
        <v/>
      </c>
      <c r="L161" s="13" t="str">
        <f>IF('Cylinder Detail'!Z163=0,"",_xlfn.TEXTBEFORE('Cylinder Detail'!Z163, ","))</f>
        <v/>
      </c>
      <c r="M161" s="13" t="str">
        <f t="shared" si="40"/>
        <v/>
      </c>
      <c r="N161" s="17" t="str">
        <f>IF('Cylinder Detail'!V163=0,"",'Cylinder Detail'!V163)</f>
        <v/>
      </c>
      <c r="O161" s="17" t="str">
        <f>IF('Cylinder Detail'!Z163=0,"",_xlfn.TEXTAFTER('Cylinder Detail'!Z163, ", "))</f>
        <v/>
      </c>
      <c r="P161" s="17" t="str">
        <f>IF('Cylinder Detail'!AA163=0,"",'Cylinder Detail'!AA163)</f>
        <v/>
      </c>
      <c r="Q161" s="19" t="str">
        <f>IF('Cylinder Detail'!W163=0,"",'Cylinder Detail'!W163)</f>
        <v/>
      </c>
      <c r="R161" s="19" t="str">
        <f>IF('Cylinder Detail'!Y163=0,"",'Cylinder Detail'!Y163)</f>
        <v/>
      </c>
      <c r="S161" s="21" t="str">
        <f>IF('Cylinder Detail'!X163=0,"",'Cylinder Detail'!X163)</f>
        <v/>
      </c>
      <c r="T161" s="21" t="str">
        <f>IF('Cylinder Detail'!F163=0,"",'Cylinder Detail'!F163)</f>
        <v/>
      </c>
      <c r="U161" s="21" t="str">
        <f>IF('Cylinder Detail'!R163=0,"",'Cylinder Detail'!R163)</f>
        <v/>
      </c>
      <c r="V161" s="21" t="str">
        <f>IF('Cylinder Detail'!Q163=0,"",'Cylinder Detail'!Q163)</f>
        <v/>
      </c>
      <c r="W161" s="21" t="str">
        <f>IF('Cylinder Detail'!E163=0,"","+" &amp; 'Cylinder Detail'!E163)</f>
        <v/>
      </c>
      <c r="X161" s="21" t="str">
        <f t="shared" si="41"/>
        <v/>
      </c>
      <c r="Y161" s="21" t="str">
        <f>IF('Cylinder Detail'!S163=0,"",'Cylinder Detail'!S163)</f>
        <v/>
      </c>
      <c r="Z161" s="21" t="str">
        <f>IF('Cylinder Detail'!T163=0,"",'Cylinder Detail'!T163)</f>
        <v/>
      </c>
      <c r="AA161" s="21" t="str">
        <f>IF('Cylinder Detail'!H163=0,"",'Cylinder Detail'!H163)</f>
        <v/>
      </c>
      <c r="AB161" s="21" t="str">
        <f>IF('Cylinder Detail'!I163=0,"",'Cylinder Detail'!I163)</f>
        <v/>
      </c>
      <c r="AC161" s="22" t="str">
        <f>IF('Cylinder Detail'!AB163=0,"",'Cylinder Detail'!AB163)</f>
        <v/>
      </c>
      <c r="AD161" s="25" t="str">
        <f>IF('Sensor Detail'!F163=0,"","=" &amp; 'Sensor Detail'!F163)</f>
        <v/>
      </c>
      <c r="AE161" s="25" t="str">
        <f>IF('Sensor Detail'!H163=0,"",'Sensor Detail'!H163)</f>
        <v/>
      </c>
      <c r="AF161" s="27" t="str">
        <f>IF('Sensor Detail'!G163=0,"","-" &amp; 'Sensor Detail'!G163)</f>
        <v/>
      </c>
      <c r="AG161" s="27" t="str">
        <f>IF('Sensor Detail'!I163=0,"",'Sensor Detail'!I163)</f>
        <v/>
      </c>
      <c r="AH161" s="27" t="str">
        <f>IF('Sensor Detail'!E163=0,"","+" &amp; 'Sensor Detail'!E163)</f>
        <v/>
      </c>
      <c r="AI161" s="27" t="str">
        <f t="shared" si="42"/>
        <v/>
      </c>
      <c r="AJ161" s="27" t="str">
        <f>IF('Sensor Detail'!J163=0,"",'Sensor Detail'!J163)</f>
        <v/>
      </c>
      <c r="AK161" s="27" t="str">
        <f>IF('Sensor Detail'!K163=0,"",'Sensor Detail'!K163)</f>
        <v/>
      </c>
      <c r="AL161" s="27" t="str">
        <f>IF('Sensor Detail'!L163=0,"",'Sensor Detail'!L163)</f>
        <v/>
      </c>
      <c r="AM161" s="27" t="str">
        <f>IF('Sensor Detail'!M163=0,"",'Sensor Detail'!M163)</f>
        <v/>
      </c>
      <c r="AN161" s="27" t="str">
        <f>IF('Sensor Detail'!N163=0,"",'Sensor Detail'!N163)</f>
        <v/>
      </c>
      <c r="AO161" s="27" t="str">
        <f>IF('Sensor Detail'!O163=0,"",'Sensor Detail'!O163)</f>
        <v/>
      </c>
      <c r="AP161" s="15" t="str">
        <f t="shared" si="43"/>
        <v/>
      </c>
      <c r="AQ161" s="15" t="str">
        <f t="shared" si="44"/>
        <v/>
      </c>
    </row>
    <row r="162" spans="1:43">
      <c r="A162" s="13" t="str">
        <f t="shared" si="30"/>
        <v/>
      </c>
      <c r="B162" s="13" t="str">
        <f t="shared" si="31"/>
        <v/>
      </c>
      <c r="C162" s="15" t="str">
        <f t="shared" si="32"/>
        <v/>
      </c>
      <c r="D162" s="15" t="str">
        <f t="shared" si="33"/>
        <v/>
      </c>
      <c r="E162" s="15" t="str">
        <f t="shared" si="34"/>
        <v/>
      </c>
      <c r="F162" s="15" t="str">
        <f t="shared" si="35"/>
        <v/>
      </c>
      <c r="G162" s="15" t="str">
        <f t="shared" si="36"/>
        <v/>
      </c>
      <c r="H162" s="15" t="str">
        <f t="shared" si="37"/>
        <v/>
      </c>
      <c r="I162" s="15" t="str">
        <f t="shared" si="38"/>
        <v/>
      </c>
      <c r="J162" s="15" t="str">
        <f t="shared" si="39"/>
        <v/>
      </c>
      <c r="K162" s="13" t="str">
        <f>IF('Cylinder Detail'!U164=0,"",'Cylinder Detail'!U164)</f>
        <v/>
      </c>
      <c r="L162" s="13" t="str">
        <f>IF('Cylinder Detail'!Z164=0,"",_xlfn.TEXTBEFORE('Cylinder Detail'!Z164, ","))</f>
        <v/>
      </c>
      <c r="M162" s="13" t="str">
        <f t="shared" si="40"/>
        <v/>
      </c>
      <c r="N162" s="17" t="str">
        <f>IF('Cylinder Detail'!V164=0,"",'Cylinder Detail'!V164)</f>
        <v/>
      </c>
      <c r="O162" s="17" t="str">
        <f>IF('Cylinder Detail'!Z164=0,"",_xlfn.TEXTAFTER('Cylinder Detail'!Z164, ", "))</f>
        <v/>
      </c>
      <c r="P162" s="17" t="str">
        <f>IF('Cylinder Detail'!AA164=0,"",'Cylinder Detail'!AA164)</f>
        <v/>
      </c>
      <c r="Q162" s="19" t="str">
        <f>IF('Cylinder Detail'!W164=0,"",'Cylinder Detail'!W164)</f>
        <v/>
      </c>
      <c r="R162" s="19" t="str">
        <f>IF('Cylinder Detail'!Y164=0,"",'Cylinder Detail'!Y164)</f>
        <v/>
      </c>
      <c r="S162" s="21" t="str">
        <f>IF('Cylinder Detail'!X164=0,"",'Cylinder Detail'!X164)</f>
        <v/>
      </c>
      <c r="T162" s="21" t="str">
        <f>IF('Cylinder Detail'!F164=0,"",'Cylinder Detail'!F164)</f>
        <v/>
      </c>
      <c r="U162" s="21" t="str">
        <f>IF('Cylinder Detail'!R164=0,"",'Cylinder Detail'!R164)</f>
        <v/>
      </c>
      <c r="V162" s="21" t="str">
        <f>IF('Cylinder Detail'!Q164=0,"",'Cylinder Detail'!Q164)</f>
        <v/>
      </c>
      <c r="W162" s="21" t="str">
        <f>IF('Cylinder Detail'!E164=0,"","+" &amp; 'Cylinder Detail'!E164)</f>
        <v/>
      </c>
      <c r="X162" s="21" t="str">
        <f t="shared" si="41"/>
        <v/>
      </c>
      <c r="Y162" s="21" t="str">
        <f>IF('Cylinder Detail'!S164=0,"",'Cylinder Detail'!S164)</f>
        <v/>
      </c>
      <c r="Z162" s="21" t="str">
        <f>IF('Cylinder Detail'!T164=0,"",'Cylinder Detail'!T164)</f>
        <v/>
      </c>
      <c r="AA162" s="21" t="str">
        <f>IF('Cylinder Detail'!H164=0,"",'Cylinder Detail'!H164)</f>
        <v/>
      </c>
      <c r="AB162" s="21" t="str">
        <f>IF('Cylinder Detail'!I164=0,"",'Cylinder Detail'!I164)</f>
        <v/>
      </c>
      <c r="AC162" s="22" t="str">
        <f>IF('Cylinder Detail'!AB164=0,"",'Cylinder Detail'!AB164)</f>
        <v/>
      </c>
      <c r="AD162" s="25" t="str">
        <f>IF('Sensor Detail'!F164=0,"","=" &amp; 'Sensor Detail'!F164)</f>
        <v/>
      </c>
      <c r="AE162" s="25" t="str">
        <f>IF('Sensor Detail'!H164=0,"",'Sensor Detail'!H164)</f>
        <v/>
      </c>
      <c r="AF162" s="27" t="str">
        <f>IF('Sensor Detail'!G164=0,"","-" &amp; 'Sensor Detail'!G164)</f>
        <v/>
      </c>
      <c r="AG162" s="27" t="str">
        <f>IF('Sensor Detail'!I164=0,"",'Sensor Detail'!I164)</f>
        <v/>
      </c>
      <c r="AH162" s="27" t="str">
        <f>IF('Sensor Detail'!E164=0,"","+" &amp; 'Sensor Detail'!E164)</f>
        <v/>
      </c>
      <c r="AI162" s="27" t="str">
        <f t="shared" si="42"/>
        <v/>
      </c>
      <c r="AJ162" s="27" t="str">
        <f>IF('Sensor Detail'!J164=0,"",'Sensor Detail'!J164)</f>
        <v/>
      </c>
      <c r="AK162" s="27" t="str">
        <f>IF('Sensor Detail'!K164=0,"",'Sensor Detail'!K164)</f>
        <v/>
      </c>
      <c r="AL162" s="27" t="str">
        <f>IF('Sensor Detail'!L164=0,"",'Sensor Detail'!L164)</f>
        <v/>
      </c>
      <c r="AM162" s="27" t="str">
        <f>IF('Sensor Detail'!M164=0,"",'Sensor Detail'!M164)</f>
        <v/>
      </c>
      <c r="AN162" s="27" t="str">
        <f>IF('Sensor Detail'!N164=0,"",'Sensor Detail'!N164)</f>
        <v/>
      </c>
      <c r="AO162" s="27" t="str">
        <f>IF('Sensor Detail'!O164=0,"",'Sensor Detail'!O164)</f>
        <v/>
      </c>
      <c r="AP162" s="15" t="str">
        <f t="shared" si="43"/>
        <v/>
      </c>
      <c r="AQ162" s="15" t="str">
        <f t="shared" si="44"/>
        <v/>
      </c>
    </row>
    <row r="163" spans="1:43">
      <c r="A163" s="13" t="str">
        <f t="shared" si="30"/>
        <v/>
      </c>
      <c r="B163" s="13" t="str">
        <f t="shared" si="31"/>
        <v/>
      </c>
      <c r="C163" s="15" t="str">
        <f t="shared" si="32"/>
        <v/>
      </c>
      <c r="D163" s="15" t="str">
        <f t="shared" si="33"/>
        <v/>
      </c>
      <c r="E163" s="15" t="str">
        <f t="shared" si="34"/>
        <v/>
      </c>
      <c r="F163" s="15" t="str">
        <f t="shared" si="35"/>
        <v/>
      </c>
      <c r="G163" s="15" t="str">
        <f t="shared" si="36"/>
        <v/>
      </c>
      <c r="H163" s="15" t="str">
        <f t="shared" si="37"/>
        <v/>
      </c>
      <c r="I163" s="15" t="str">
        <f t="shared" si="38"/>
        <v/>
      </c>
      <c r="J163" s="15" t="str">
        <f t="shared" si="39"/>
        <v/>
      </c>
      <c r="K163" s="13" t="str">
        <f>IF('Cylinder Detail'!U165=0,"",'Cylinder Detail'!U165)</f>
        <v/>
      </c>
      <c r="L163" s="13" t="str">
        <f>IF('Cylinder Detail'!Z165=0,"",_xlfn.TEXTBEFORE('Cylinder Detail'!Z165, ","))</f>
        <v/>
      </c>
      <c r="M163" s="13" t="str">
        <f t="shared" si="40"/>
        <v/>
      </c>
      <c r="N163" s="17" t="str">
        <f>IF('Cylinder Detail'!V165=0,"",'Cylinder Detail'!V165)</f>
        <v/>
      </c>
      <c r="O163" s="17" t="str">
        <f>IF('Cylinder Detail'!Z165=0,"",_xlfn.TEXTAFTER('Cylinder Detail'!Z165, ", "))</f>
        <v/>
      </c>
      <c r="P163" s="17" t="str">
        <f>IF('Cylinder Detail'!AA165=0,"",'Cylinder Detail'!AA165)</f>
        <v/>
      </c>
      <c r="Q163" s="19" t="str">
        <f>IF('Cylinder Detail'!W165=0,"",'Cylinder Detail'!W165)</f>
        <v/>
      </c>
      <c r="R163" s="19" t="str">
        <f>IF('Cylinder Detail'!Y165=0,"",'Cylinder Detail'!Y165)</f>
        <v/>
      </c>
      <c r="S163" s="21" t="str">
        <f>IF('Cylinder Detail'!X165=0,"",'Cylinder Detail'!X165)</f>
        <v/>
      </c>
      <c r="T163" s="21" t="str">
        <f>IF('Cylinder Detail'!F165=0,"",'Cylinder Detail'!F165)</f>
        <v/>
      </c>
      <c r="U163" s="21" t="str">
        <f>IF('Cylinder Detail'!R165=0,"",'Cylinder Detail'!R165)</f>
        <v/>
      </c>
      <c r="V163" s="21" t="str">
        <f>IF('Cylinder Detail'!Q165=0,"",'Cylinder Detail'!Q165)</f>
        <v/>
      </c>
      <c r="W163" s="21" t="str">
        <f>IF('Cylinder Detail'!E165=0,"","+" &amp; 'Cylinder Detail'!E165)</f>
        <v/>
      </c>
      <c r="X163" s="21" t="str">
        <f t="shared" si="41"/>
        <v/>
      </c>
      <c r="Y163" s="21" t="str">
        <f>IF('Cylinder Detail'!S165=0,"",'Cylinder Detail'!S165)</f>
        <v/>
      </c>
      <c r="Z163" s="21" t="str">
        <f>IF('Cylinder Detail'!T165=0,"",'Cylinder Detail'!T165)</f>
        <v/>
      </c>
      <c r="AA163" s="21" t="str">
        <f>IF('Cylinder Detail'!H165=0,"",'Cylinder Detail'!H165)</f>
        <v/>
      </c>
      <c r="AB163" s="21" t="str">
        <f>IF('Cylinder Detail'!I165=0,"",'Cylinder Detail'!I165)</f>
        <v/>
      </c>
      <c r="AC163" s="22" t="str">
        <f>IF('Cylinder Detail'!AB165=0,"",'Cylinder Detail'!AB165)</f>
        <v/>
      </c>
      <c r="AD163" s="25" t="str">
        <f>IF('Sensor Detail'!F165=0,"","=" &amp; 'Sensor Detail'!F165)</f>
        <v/>
      </c>
      <c r="AE163" s="25" t="str">
        <f>IF('Sensor Detail'!H165=0,"",'Sensor Detail'!H165)</f>
        <v/>
      </c>
      <c r="AF163" s="27" t="str">
        <f>IF('Sensor Detail'!G165=0,"","-" &amp; 'Sensor Detail'!G165)</f>
        <v/>
      </c>
      <c r="AG163" s="27" t="str">
        <f>IF('Sensor Detail'!I165=0,"",'Sensor Detail'!I165)</f>
        <v/>
      </c>
      <c r="AH163" s="27" t="str">
        <f>IF('Sensor Detail'!E165=0,"","+" &amp; 'Sensor Detail'!E165)</f>
        <v/>
      </c>
      <c r="AI163" s="27" t="str">
        <f t="shared" si="42"/>
        <v/>
      </c>
      <c r="AJ163" s="27" t="str">
        <f>IF('Sensor Detail'!J165=0,"",'Sensor Detail'!J165)</f>
        <v/>
      </c>
      <c r="AK163" s="27" t="str">
        <f>IF('Sensor Detail'!K165=0,"",'Sensor Detail'!K165)</f>
        <v/>
      </c>
      <c r="AL163" s="27" t="str">
        <f>IF('Sensor Detail'!L165=0,"",'Sensor Detail'!L165)</f>
        <v/>
      </c>
      <c r="AM163" s="27" t="str">
        <f>IF('Sensor Detail'!M165=0,"",'Sensor Detail'!M165)</f>
        <v/>
      </c>
      <c r="AN163" s="27" t="str">
        <f>IF('Sensor Detail'!N165=0,"",'Sensor Detail'!N165)</f>
        <v/>
      </c>
      <c r="AO163" s="27" t="str">
        <f>IF('Sensor Detail'!O165=0,"",'Sensor Detail'!O165)</f>
        <v/>
      </c>
      <c r="AP163" s="15" t="str">
        <f t="shared" si="43"/>
        <v/>
      </c>
      <c r="AQ163" s="15" t="str">
        <f t="shared" si="44"/>
        <v/>
      </c>
    </row>
    <row r="164" spans="1:43">
      <c r="A164" s="13" t="str">
        <f t="shared" si="30"/>
        <v/>
      </c>
      <c r="B164" s="13" t="str">
        <f t="shared" si="31"/>
        <v/>
      </c>
      <c r="C164" s="15" t="str">
        <f t="shared" si="32"/>
        <v/>
      </c>
      <c r="D164" s="15" t="str">
        <f t="shared" si="33"/>
        <v/>
      </c>
      <c r="E164" s="15" t="str">
        <f t="shared" si="34"/>
        <v/>
      </c>
      <c r="F164" s="15" t="str">
        <f t="shared" si="35"/>
        <v/>
      </c>
      <c r="G164" s="15" t="str">
        <f t="shared" si="36"/>
        <v/>
      </c>
      <c r="H164" s="15" t="str">
        <f t="shared" si="37"/>
        <v/>
      </c>
      <c r="I164" s="15" t="str">
        <f t="shared" si="38"/>
        <v/>
      </c>
      <c r="J164" s="15" t="str">
        <f t="shared" si="39"/>
        <v/>
      </c>
      <c r="K164" s="13" t="str">
        <f>IF('Cylinder Detail'!U166=0,"",'Cylinder Detail'!U166)</f>
        <v/>
      </c>
      <c r="L164" s="13" t="str">
        <f>IF('Cylinder Detail'!Z166=0,"",_xlfn.TEXTBEFORE('Cylinder Detail'!Z166, ","))</f>
        <v/>
      </c>
      <c r="M164" s="13" t="str">
        <f t="shared" si="40"/>
        <v/>
      </c>
      <c r="N164" s="17" t="str">
        <f>IF('Cylinder Detail'!V166=0,"",'Cylinder Detail'!V166)</f>
        <v/>
      </c>
      <c r="O164" s="17" t="str">
        <f>IF('Cylinder Detail'!Z166=0,"",_xlfn.TEXTAFTER('Cylinder Detail'!Z166, ", "))</f>
        <v/>
      </c>
      <c r="P164" s="17" t="str">
        <f>IF('Cylinder Detail'!AA166=0,"",'Cylinder Detail'!AA166)</f>
        <v/>
      </c>
      <c r="Q164" s="19" t="str">
        <f>IF('Cylinder Detail'!W166=0,"",'Cylinder Detail'!W166)</f>
        <v/>
      </c>
      <c r="R164" s="19" t="str">
        <f>IF('Cylinder Detail'!Y166=0,"",'Cylinder Detail'!Y166)</f>
        <v/>
      </c>
      <c r="S164" s="21" t="str">
        <f>IF('Cylinder Detail'!X166=0,"",'Cylinder Detail'!X166)</f>
        <v/>
      </c>
      <c r="T164" s="21" t="str">
        <f>IF('Cylinder Detail'!F166=0,"",'Cylinder Detail'!F166)</f>
        <v/>
      </c>
      <c r="U164" s="21" t="str">
        <f>IF('Cylinder Detail'!R166=0,"",'Cylinder Detail'!R166)</f>
        <v/>
      </c>
      <c r="V164" s="21" t="str">
        <f>IF('Cylinder Detail'!Q166=0,"",'Cylinder Detail'!Q166)</f>
        <v/>
      </c>
      <c r="W164" s="21" t="str">
        <f>IF('Cylinder Detail'!E166=0,"","+" &amp; 'Cylinder Detail'!E166)</f>
        <v/>
      </c>
      <c r="X164" s="21" t="str">
        <f t="shared" si="41"/>
        <v/>
      </c>
      <c r="Y164" s="21" t="str">
        <f>IF('Cylinder Detail'!S166=0,"",'Cylinder Detail'!S166)</f>
        <v/>
      </c>
      <c r="Z164" s="21" t="str">
        <f>IF('Cylinder Detail'!T166=0,"",'Cylinder Detail'!T166)</f>
        <v/>
      </c>
      <c r="AA164" s="21" t="str">
        <f>IF('Cylinder Detail'!H166=0,"",'Cylinder Detail'!H166)</f>
        <v/>
      </c>
      <c r="AB164" s="21" t="str">
        <f>IF('Cylinder Detail'!I166=0,"",'Cylinder Detail'!I166)</f>
        <v/>
      </c>
      <c r="AC164" s="22" t="str">
        <f>IF('Cylinder Detail'!AB166=0,"",'Cylinder Detail'!AB166)</f>
        <v/>
      </c>
      <c r="AD164" s="25" t="str">
        <f>IF('Sensor Detail'!F166=0,"","=" &amp; 'Sensor Detail'!F166)</f>
        <v/>
      </c>
      <c r="AE164" s="25" t="str">
        <f>IF('Sensor Detail'!H166=0,"",'Sensor Detail'!H166)</f>
        <v/>
      </c>
      <c r="AF164" s="27" t="str">
        <f>IF('Sensor Detail'!G166=0,"","-" &amp; 'Sensor Detail'!G166)</f>
        <v/>
      </c>
      <c r="AG164" s="27" t="str">
        <f>IF('Sensor Detail'!I166=0,"",'Sensor Detail'!I166)</f>
        <v/>
      </c>
      <c r="AH164" s="27" t="str">
        <f>IF('Sensor Detail'!E166=0,"","+" &amp; 'Sensor Detail'!E166)</f>
        <v/>
      </c>
      <c r="AI164" s="27" t="str">
        <f t="shared" si="42"/>
        <v/>
      </c>
      <c r="AJ164" s="27" t="str">
        <f>IF('Sensor Detail'!J166=0,"",'Sensor Detail'!J166)</f>
        <v/>
      </c>
      <c r="AK164" s="27" t="str">
        <f>IF('Sensor Detail'!K166=0,"",'Sensor Detail'!K166)</f>
        <v/>
      </c>
      <c r="AL164" s="27" t="str">
        <f>IF('Sensor Detail'!L166=0,"",'Sensor Detail'!L166)</f>
        <v/>
      </c>
      <c r="AM164" s="27" t="str">
        <f>IF('Sensor Detail'!M166=0,"",'Sensor Detail'!M166)</f>
        <v/>
      </c>
      <c r="AN164" s="27" t="str">
        <f>IF('Sensor Detail'!N166=0,"",'Sensor Detail'!N166)</f>
        <v/>
      </c>
      <c r="AO164" s="27" t="str">
        <f>IF('Sensor Detail'!O166=0,"",'Sensor Detail'!O166)</f>
        <v/>
      </c>
      <c r="AP164" s="15" t="str">
        <f t="shared" si="43"/>
        <v/>
      </c>
      <c r="AQ164" s="15" t="str">
        <f t="shared" si="44"/>
        <v/>
      </c>
    </row>
    <row r="165" spans="1:43">
      <c r="A165" s="13" t="str">
        <f t="shared" si="30"/>
        <v/>
      </c>
      <c r="B165" s="13" t="str">
        <f t="shared" si="31"/>
        <v/>
      </c>
      <c r="C165" s="15" t="str">
        <f t="shared" si="32"/>
        <v/>
      </c>
      <c r="D165" s="15" t="str">
        <f t="shared" si="33"/>
        <v/>
      </c>
      <c r="E165" s="15" t="str">
        <f t="shared" si="34"/>
        <v/>
      </c>
      <c r="F165" s="15" t="str">
        <f t="shared" si="35"/>
        <v/>
      </c>
      <c r="G165" s="15" t="str">
        <f t="shared" si="36"/>
        <v/>
      </c>
      <c r="H165" s="15" t="str">
        <f t="shared" si="37"/>
        <v/>
      </c>
      <c r="I165" s="15" t="str">
        <f t="shared" si="38"/>
        <v/>
      </c>
      <c r="J165" s="15" t="str">
        <f t="shared" si="39"/>
        <v/>
      </c>
      <c r="K165" s="13" t="str">
        <f>IF('Cylinder Detail'!U167=0,"",'Cylinder Detail'!U167)</f>
        <v/>
      </c>
      <c r="L165" s="13" t="str">
        <f>IF('Cylinder Detail'!Z167=0,"",_xlfn.TEXTBEFORE('Cylinder Detail'!Z167, ","))</f>
        <v/>
      </c>
      <c r="M165" s="13" t="str">
        <f t="shared" si="40"/>
        <v/>
      </c>
      <c r="N165" s="17" t="str">
        <f>IF('Cylinder Detail'!V167=0,"",'Cylinder Detail'!V167)</f>
        <v/>
      </c>
      <c r="O165" s="17" t="str">
        <f>IF('Cylinder Detail'!Z167=0,"",_xlfn.TEXTAFTER('Cylinder Detail'!Z167, ", "))</f>
        <v/>
      </c>
      <c r="P165" s="17" t="str">
        <f>IF('Cylinder Detail'!AA167=0,"",'Cylinder Detail'!AA167)</f>
        <v/>
      </c>
      <c r="Q165" s="19" t="str">
        <f>IF('Cylinder Detail'!W167=0,"",'Cylinder Detail'!W167)</f>
        <v/>
      </c>
      <c r="R165" s="19" t="str">
        <f>IF('Cylinder Detail'!Y167=0,"",'Cylinder Detail'!Y167)</f>
        <v/>
      </c>
      <c r="S165" s="21" t="str">
        <f>IF('Cylinder Detail'!X167=0,"",'Cylinder Detail'!X167)</f>
        <v/>
      </c>
      <c r="T165" s="21" t="str">
        <f>IF('Cylinder Detail'!F167=0,"",'Cylinder Detail'!F167)</f>
        <v/>
      </c>
      <c r="U165" s="21" t="str">
        <f>IF('Cylinder Detail'!R167=0,"",'Cylinder Detail'!R167)</f>
        <v/>
      </c>
      <c r="V165" s="21" t="str">
        <f>IF('Cylinder Detail'!Q167=0,"",'Cylinder Detail'!Q167)</f>
        <v/>
      </c>
      <c r="W165" s="21" t="str">
        <f>IF('Cylinder Detail'!E167=0,"","+" &amp; 'Cylinder Detail'!E167)</f>
        <v/>
      </c>
      <c r="X165" s="21" t="str">
        <f t="shared" si="41"/>
        <v/>
      </c>
      <c r="Y165" s="21" t="str">
        <f>IF('Cylinder Detail'!S167=0,"",'Cylinder Detail'!S167)</f>
        <v/>
      </c>
      <c r="Z165" s="21" t="str">
        <f>IF('Cylinder Detail'!T167=0,"",'Cylinder Detail'!T167)</f>
        <v/>
      </c>
      <c r="AA165" s="21" t="str">
        <f>IF('Cylinder Detail'!H167=0,"",'Cylinder Detail'!H167)</f>
        <v/>
      </c>
      <c r="AB165" s="21" t="str">
        <f>IF('Cylinder Detail'!I167=0,"",'Cylinder Detail'!I167)</f>
        <v/>
      </c>
      <c r="AC165" s="22" t="str">
        <f>IF('Cylinder Detail'!AB167=0,"",'Cylinder Detail'!AB167)</f>
        <v/>
      </c>
      <c r="AD165" s="25" t="str">
        <f>IF('Sensor Detail'!F167=0,"","=" &amp; 'Sensor Detail'!F167)</f>
        <v/>
      </c>
      <c r="AE165" s="25" t="str">
        <f>IF('Sensor Detail'!H167=0,"",'Sensor Detail'!H167)</f>
        <v/>
      </c>
      <c r="AF165" s="27" t="str">
        <f>IF('Sensor Detail'!G167=0,"","-" &amp; 'Sensor Detail'!G167)</f>
        <v/>
      </c>
      <c r="AG165" s="27" t="str">
        <f>IF('Sensor Detail'!I167=0,"",'Sensor Detail'!I167)</f>
        <v/>
      </c>
      <c r="AH165" s="27" t="str">
        <f>IF('Sensor Detail'!E167=0,"","+" &amp; 'Sensor Detail'!E167)</f>
        <v/>
      </c>
      <c r="AI165" s="27" t="str">
        <f t="shared" si="42"/>
        <v/>
      </c>
      <c r="AJ165" s="27" t="str">
        <f>IF('Sensor Detail'!J167=0,"",'Sensor Detail'!J167)</f>
        <v/>
      </c>
      <c r="AK165" s="27" t="str">
        <f>IF('Sensor Detail'!K167=0,"",'Sensor Detail'!K167)</f>
        <v/>
      </c>
      <c r="AL165" s="27" t="str">
        <f>IF('Sensor Detail'!L167=0,"",'Sensor Detail'!L167)</f>
        <v/>
      </c>
      <c r="AM165" s="27" t="str">
        <f>IF('Sensor Detail'!M167=0,"",'Sensor Detail'!M167)</f>
        <v/>
      </c>
      <c r="AN165" s="27" t="str">
        <f>IF('Sensor Detail'!N167=0,"",'Sensor Detail'!N167)</f>
        <v/>
      </c>
      <c r="AO165" s="27" t="str">
        <f>IF('Sensor Detail'!O167=0,"",'Sensor Detail'!O167)</f>
        <v/>
      </c>
      <c r="AP165" s="15" t="str">
        <f t="shared" si="43"/>
        <v/>
      </c>
      <c r="AQ165" s="15" t="str">
        <f t="shared" si="44"/>
        <v/>
      </c>
    </row>
    <row r="166" spans="1:43">
      <c r="A166" s="13" t="str">
        <f t="shared" si="30"/>
        <v/>
      </c>
      <c r="B166" s="13" t="str">
        <f t="shared" si="31"/>
        <v/>
      </c>
      <c r="C166" s="15" t="str">
        <f t="shared" si="32"/>
        <v/>
      </c>
      <c r="D166" s="15" t="str">
        <f t="shared" si="33"/>
        <v/>
      </c>
      <c r="E166" s="15" t="str">
        <f t="shared" si="34"/>
        <v/>
      </c>
      <c r="F166" s="15" t="str">
        <f t="shared" si="35"/>
        <v/>
      </c>
      <c r="G166" s="15" t="str">
        <f t="shared" si="36"/>
        <v/>
      </c>
      <c r="H166" s="15" t="str">
        <f t="shared" si="37"/>
        <v/>
      </c>
      <c r="I166" s="15" t="str">
        <f t="shared" si="38"/>
        <v/>
      </c>
      <c r="J166" s="15" t="str">
        <f t="shared" si="39"/>
        <v/>
      </c>
      <c r="K166" s="13" t="str">
        <f>IF('Cylinder Detail'!U168=0,"",'Cylinder Detail'!U168)</f>
        <v/>
      </c>
      <c r="L166" s="13" t="str">
        <f>IF('Cylinder Detail'!Z168=0,"",_xlfn.TEXTBEFORE('Cylinder Detail'!Z168, ","))</f>
        <v/>
      </c>
      <c r="M166" s="13" t="str">
        <f t="shared" si="40"/>
        <v/>
      </c>
      <c r="N166" s="17" t="str">
        <f>IF('Cylinder Detail'!V168=0,"",'Cylinder Detail'!V168)</f>
        <v/>
      </c>
      <c r="O166" s="17" t="str">
        <f>IF('Cylinder Detail'!Z168=0,"",_xlfn.TEXTAFTER('Cylinder Detail'!Z168, ", "))</f>
        <v/>
      </c>
      <c r="P166" s="17" t="str">
        <f>IF('Cylinder Detail'!AA168=0,"",'Cylinder Detail'!AA168)</f>
        <v/>
      </c>
      <c r="Q166" s="19" t="str">
        <f>IF('Cylinder Detail'!W168=0,"",'Cylinder Detail'!W168)</f>
        <v/>
      </c>
      <c r="R166" s="19" t="str">
        <f>IF('Cylinder Detail'!Y168=0,"",'Cylinder Detail'!Y168)</f>
        <v/>
      </c>
      <c r="S166" s="21" t="str">
        <f>IF('Cylinder Detail'!X168=0,"",'Cylinder Detail'!X168)</f>
        <v/>
      </c>
      <c r="T166" s="21" t="str">
        <f>IF('Cylinder Detail'!F168=0,"",'Cylinder Detail'!F168)</f>
        <v/>
      </c>
      <c r="U166" s="21" t="str">
        <f>IF('Cylinder Detail'!R168=0,"",'Cylinder Detail'!R168)</f>
        <v/>
      </c>
      <c r="V166" s="21" t="str">
        <f>IF('Cylinder Detail'!Q168=0,"",'Cylinder Detail'!Q168)</f>
        <v/>
      </c>
      <c r="W166" s="21" t="str">
        <f>IF('Cylinder Detail'!E168=0,"","+" &amp; 'Cylinder Detail'!E168)</f>
        <v/>
      </c>
      <c r="X166" s="21" t="str">
        <f t="shared" si="41"/>
        <v/>
      </c>
      <c r="Y166" s="21" t="str">
        <f>IF('Cylinder Detail'!S168=0,"",'Cylinder Detail'!S168)</f>
        <v/>
      </c>
      <c r="Z166" s="21" t="str">
        <f>IF('Cylinder Detail'!T168=0,"",'Cylinder Detail'!T168)</f>
        <v/>
      </c>
      <c r="AA166" s="21" t="str">
        <f>IF('Cylinder Detail'!H168=0,"",'Cylinder Detail'!H168)</f>
        <v/>
      </c>
      <c r="AB166" s="21" t="str">
        <f>IF('Cylinder Detail'!I168=0,"",'Cylinder Detail'!I168)</f>
        <v/>
      </c>
      <c r="AC166" s="22" t="str">
        <f>IF('Cylinder Detail'!AB168=0,"",'Cylinder Detail'!AB168)</f>
        <v/>
      </c>
      <c r="AD166" s="25" t="str">
        <f>IF('Sensor Detail'!F168=0,"","=" &amp; 'Sensor Detail'!F168)</f>
        <v/>
      </c>
      <c r="AE166" s="25" t="str">
        <f>IF('Sensor Detail'!H168=0,"",'Sensor Detail'!H168)</f>
        <v/>
      </c>
      <c r="AF166" s="27" t="str">
        <f>IF('Sensor Detail'!G168=0,"","-" &amp; 'Sensor Detail'!G168)</f>
        <v/>
      </c>
      <c r="AG166" s="27" t="str">
        <f>IF('Sensor Detail'!I168=0,"",'Sensor Detail'!I168)</f>
        <v/>
      </c>
      <c r="AH166" s="27" t="str">
        <f>IF('Sensor Detail'!E168=0,"","+" &amp; 'Sensor Detail'!E168)</f>
        <v/>
      </c>
      <c r="AI166" s="27" t="str">
        <f t="shared" si="42"/>
        <v/>
      </c>
      <c r="AJ166" s="27" t="str">
        <f>IF('Sensor Detail'!J168=0,"",'Sensor Detail'!J168)</f>
        <v/>
      </c>
      <c r="AK166" s="27" t="str">
        <f>IF('Sensor Detail'!K168=0,"",'Sensor Detail'!K168)</f>
        <v/>
      </c>
      <c r="AL166" s="27" t="str">
        <f>IF('Sensor Detail'!L168=0,"",'Sensor Detail'!L168)</f>
        <v/>
      </c>
      <c r="AM166" s="27" t="str">
        <f>IF('Sensor Detail'!M168=0,"",'Sensor Detail'!M168)</f>
        <v/>
      </c>
      <c r="AN166" s="27" t="str">
        <f>IF('Sensor Detail'!N168=0,"",'Sensor Detail'!N168)</f>
        <v/>
      </c>
      <c r="AO166" s="27" t="str">
        <f>IF('Sensor Detail'!O168=0,"",'Sensor Detail'!O168)</f>
        <v/>
      </c>
      <c r="AP166" s="15" t="str">
        <f t="shared" si="43"/>
        <v/>
      </c>
      <c r="AQ166" s="15" t="str">
        <f t="shared" si="44"/>
        <v/>
      </c>
    </row>
    <row r="167" spans="1:43">
      <c r="A167" s="13" t="str">
        <f t="shared" si="30"/>
        <v/>
      </c>
      <c r="B167" s="13" t="str">
        <f t="shared" si="31"/>
        <v/>
      </c>
      <c r="C167" s="15" t="str">
        <f t="shared" si="32"/>
        <v/>
      </c>
      <c r="D167" s="15" t="str">
        <f t="shared" si="33"/>
        <v/>
      </c>
      <c r="E167" s="15" t="str">
        <f t="shared" si="34"/>
        <v/>
      </c>
      <c r="F167" s="15" t="str">
        <f t="shared" si="35"/>
        <v/>
      </c>
      <c r="G167" s="15" t="str">
        <f t="shared" si="36"/>
        <v/>
      </c>
      <c r="H167" s="15" t="str">
        <f t="shared" si="37"/>
        <v/>
      </c>
      <c r="I167" s="15" t="str">
        <f t="shared" si="38"/>
        <v/>
      </c>
      <c r="J167" s="15" t="str">
        <f t="shared" si="39"/>
        <v/>
      </c>
      <c r="K167" s="13" t="str">
        <f>IF('Cylinder Detail'!U169=0,"",'Cylinder Detail'!U169)</f>
        <v/>
      </c>
      <c r="L167" s="13" t="str">
        <f>IF('Cylinder Detail'!Z169=0,"",_xlfn.TEXTBEFORE('Cylinder Detail'!Z169, ","))</f>
        <v/>
      </c>
      <c r="M167" s="13" t="str">
        <f t="shared" si="40"/>
        <v/>
      </c>
      <c r="N167" s="17" t="str">
        <f>IF('Cylinder Detail'!V169=0,"",'Cylinder Detail'!V169)</f>
        <v/>
      </c>
      <c r="O167" s="17" t="str">
        <f>IF('Cylinder Detail'!Z169=0,"",_xlfn.TEXTAFTER('Cylinder Detail'!Z169, ", "))</f>
        <v/>
      </c>
      <c r="P167" s="17" t="str">
        <f>IF('Cylinder Detail'!AA169=0,"",'Cylinder Detail'!AA169)</f>
        <v/>
      </c>
      <c r="Q167" s="19" t="str">
        <f>IF('Cylinder Detail'!W169=0,"",'Cylinder Detail'!W169)</f>
        <v/>
      </c>
      <c r="R167" s="19" t="str">
        <f>IF('Cylinder Detail'!Y169=0,"",'Cylinder Detail'!Y169)</f>
        <v/>
      </c>
      <c r="S167" s="21" t="str">
        <f>IF('Cylinder Detail'!X169=0,"",'Cylinder Detail'!X169)</f>
        <v/>
      </c>
      <c r="T167" s="21" t="str">
        <f>IF('Cylinder Detail'!F169=0,"",'Cylinder Detail'!F169)</f>
        <v/>
      </c>
      <c r="U167" s="21" t="str">
        <f>IF('Cylinder Detail'!R169=0,"",'Cylinder Detail'!R169)</f>
        <v/>
      </c>
      <c r="V167" s="21" t="str">
        <f>IF('Cylinder Detail'!Q169=0,"",'Cylinder Detail'!Q169)</f>
        <v/>
      </c>
      <c r="W167" s="21" t="str">
        <f>IF('Cylinder Detail'!E169=0,"","+" &amp; 'Cylinder Detail'!E169)</f>
        <v/>
      </c>
      <c r="X167" s="21" t="str">
        <f t="shared" si="41"/>
        <v/>
      </c>
      <c r="Y167" s="21" t="str">
        <f>IF('Cylinder Detail'!S169=0,"",'Cylinder Detail'!S169)</f>
        <v/>
      </c>
      <c r="Z167" s="21" t="str">
        <f>IF('Cylinder Detail'!T169=0,"",'Cylinder Detail'!T169)</f>
        <v/>
      </c>
      <c r="AA167" s="21" t="str">
        <f>IF('Cylinder Detail'!H169=0,"",'Cylinder Detail'!H169)</f>
        <v/>
      </c>
      <c r="AB167" s="21" t="str">
        <f>IF('Cylinder Detail'!I169=0,"",'Cylinder Detail'!I169)</f>
        <v/>
      </c>
      <c r="AC167" s="22" t="str">
        <f>IF('Cylinder Detail'!AB169=0,"",'Cylinder Detail'!AB169)</f>
        <v/>
      </c>
      <c r="AD167" s="25" t="str">
        <f>IF('Sensor Detail'!F169=0,"","=" &amp; 'Sensor Detail'!F169)</f>
        <v/>
      </c>
      <c r="AE167" s="25" t="str">
        <f>IF('Sensor Detail'!H169=0,"",'Sensor Detail'!H169)</f>
        <v/>
      </c>
      <c r="AF167" s="27" t="str">
        <f>IF('Sensor Detail'!G169=0,"","-" &amp; 'Sensor Detail'!G169)</f>
        <v/>
      </c>
      <c r="AG167" s="27" t="str">
        <f>IF('Sensor Detail'!I169=0,"",'Sensor Detail'!I169)</f>
        <v/>
      </c>
      <c r="AH167" s="27" t="str">
        <f>IF('Sensor Detail'!E169=0,"","+" &amp; 'Sensor Detail'!E169)</f>
        <v/>
      </c>
      <c r="AI167" s="27" t="str">
        <f t="shared" si="42"/>
        <v/>
      </c>
      <c r="AJ167" s="27" t="str">
        <f>IF('Sensor Detail'!J169=0,"",'Sensor Detail'!J169)</f>
        <v/>
      </c>
      <c r="AK167" s="27" t="str">
        <f>IF('Sensor Detail'!K169=0,"",'Sensor Detail'!K169)</f>
        <v/>
      </c>
      <c r="AL167" s="27" t="str">
        <f>IF('Sensor Detail'!L169=0,"",'Sensor Detail'!L169)</f>
        <v/>
      </c>
      <c r="AM167" s="27" t="str">
        <f>IF('Sensor Detail'!M169=0,"",'Sensor Detail'!M169)</f>
        <v/>
      </c>
      <c r="AN167" s="27" t="str">
        <f>IF('Sensor Detail'!N169=0,"",'Sensor Detail'!N169)</f>
        <v/>
      </c>
      <c r="AO167" s="27" t="str">
        <f>IF('Sensor Detail'!O169=0,"",'Sensor Detail'!O169)</f>
        <v/>
      </c>
      <c r="AP167" s="15" t="str">
        <f t="shared" si="43"/>
        <v/>
      </c>
      <c r="AQ167" s="15" t="str">
        <f t="shared" si="44"/>
        <v/>
      </c>
    </row>
    <row r="168" spans="1:43">
      <c r="A168" s="13" t="str">
        <f t="shared" si="30"/>
        <v/>
      </c>
      <c r="B168" s="13" t="str">
        <f t="shared" si="31"/>
        <v/>
      </c>
      <c r="C168" s="15" t="str">
        <f t="shared" si="32"/>
        <v/>
      </c>
      <c r="D168" s="15" t="str">
        <f t="shared" si="33"/>
        <v/>
      </c>
      <c r="E168" s="15" t="str">
        <f t="shared" si="34"/>
        <v/>
      </c>
      <c r="F168" s="15" t="str">
        <f t="shared" si="35"/>
        <v/>
      </c>
      <c r="G168" s="15" t="str">
        <f t="shared" si="36"/>
        <v/>
      </c>
      <c r="H168" s="15" t="str">
        <f t="shared" si="37"/>
        <v/>
      </c>
      <c r="I168" s="15" t="str">
        <f t="shared" si="38"/>
        <v/>
      </c>
      <c r="J168" s="15" t="str">
        <f t="shared" si="39"/>
        <v/>
      </c>
      <c r="K168" s="13" t="str">
        <f>IF('Cylinder Detail'!U170=0,"",'Cylinder Detail'!U170)</f>
        <v/>
      </c>
      <c r="L168" s="13" t="str">
        <f>IF('Cylinder Detail'!Z170=0,"",_xlfn.TEXTBEFORE('Cylinder Detail'!Z170, ","))</f>
        <v/>
      </c>
      <c r="M168" s="13" t="str">
        <f t="shared" si="40"/>
        <v/>
      </c>
      <c r="N168" s="17" t="str">
        <f>IF('Cylinder Detail'!V170=0,"",'Cylinder Detail'!V170)</f>
        <v/>
      </c>
      <c r="O168" s="17" t="str">
        <f>IF('Cylinder Detail'!Z170=0,"",_xlfn.TEXTAFTER('Cylinder Detail'!Z170, ", "))</f>
        <v/>
      </c>
      <c r="P168" s="17" t="str">
        <f>IF('Cylinder Detail'!AA170=0,"",'Cylinder Detail'!AA170)</f>
        <v/>
      </c>
      <c r="Q168" s="19" t="str">
        <f>IF('Cylinder Detail'!W170=0,"",'Cylinder Detail'!W170)</f>
        <v/>
      </c>
      <c r="R168" s="19" t="str">
        <f>IF('Cylinder Detail'!Y170=0,"",'Cylinder Detail'!Y170)</f>
        <v/>
      </c>
      <c r="S168" s="21" t="str">
        <f>IF('Cylinder Detail'!X170=0,"",'Cylinder Detail'!X170)</f>
        <v/>
      </c>
      <c r="T168" s="21" t="str">
        <f>IF('Cylinder Detail'!F170=0,"",'Cylinder Detail'!F170)</f>
        <v/>
      </c>
      <c r="U168" s="21" t="str">
        <f>IF('Cylinder Detail'!R170=0,"",'Cylinder Detail'!R170)</f>
        <v/>
      </c>
      <c r="V168" s="21" t="str">
        <f>IF('Cylinder Detail'!Q170=0,"",'Cylinder Detail'!Q170)</f>
        <v/>
      </c>
      <c r="W168" s="21" t="str">
        <f>IF('Cylinder Detail'!E170=0,"","+" &amp; 'Cylinder Detail'!E170)</f>
        <v/>
      </c>
      <c r="X168" s="21" t="str">
        <f t="shared" si="41"/>
        <v/>
      </c>
      <c r="Y168" s="21" t="str">
        <f>IF('Cylinder Detail'!S170=0,"",'Cylinder Detail'!S170)</f>
        <v/>
      </c>
      <c r="Z168" s="21" t="str">
        <f>IF('Cylinder Detail'!T170=0,"",'Cylinder Detail'!T170)</f>
        <v/>
      </c>
      <c r="AA168" s="21" t="str">
        <f>IF('Cylinder Detail'!H170=0,"",'Cylinder Detail'!H170)</f>
        <v/>
      </c>
      <c r="AB168" s="21" t="str">
        <f>IF('Cylinder Detail'!I170=0,"",'Cylinder Detail'!I170)</f>
        <v/>
      </c>
      <c r="AC168" s="22" t="str">
        <f>IF('Cylinder Detail'!AB170=0,"",'Cylinder Detail'!AB170)</f>
        <v/>
      </c>
      <c r="AD168" s="25" t="str">
        <f>IF('Sensor Detail'!F170=0,"","=" &amp; 'Sensor Detail'!F170)</f>
        <v/>
      </c>
      <c r="AE168" s="25" t="str">
        <f>IF('Sensor Detail'!H170=0,"",'Sensor Detail'!H170)</f>
        <v/>
      </c>
      <c r="AF168" s="27" t="str">
        <f>IF('Sensor Detail'!G170=0,"","-" &amp; 'Sensor Detail'!G170)</f>
        <v/>
      </c>
      <c r="AG168" s="27" t="str">
        <f>IF('Sensor Detail'!I170=0,"",'Sensor Detail'!I170)</f>
        <v/>
      </c>
      <c r="AH168" s="27" t="str">
        <f>IF('Sensor Detail'!E170=0,"","+" &amp; 'Sensor Detail'!E170)</f>
        <v/>
      </c>
      <c r="AI168" s="27" t="str">
        <f t="shared" si="42"/>
        <v/>
      </c>
      <c r="AJ168" s="27" t="str">
        <f>IF('Sensor Detail'!J170=0,"",'Sensor Detail'!J170)</f>
        <v/>
      </c>
      <c r="AK168" s="27" t="str">
        <f>IF('Sensor Detail'!K170=0,"",'Sensor Detail'!K170)</f>
        <v/>
      </c>
      <c r="AL168" s="27" t="str">
        <f>IF('Sensor Detail'!L170=0,"",'Sensor Detail'!L170)</f>
        <v/>
      </c>
      <c r="AM168" s="27" t="str">
        <f>IF('Sensor Detail'!M170=0,"",'Sensor Detail'!M170)</f>
        <v/>
      </c>
      <c r="AN168" s="27" t="str">
        <f>IF('Sensor Detail'!N170=0,"",'Sensor Detail'!N170)</f>
        <v/>
      </c>
      <c r="AO168" s="27" t="str">
        <f>IF('Sensor Detail'!O170=0,"",'Sensor Detail'!O170)</f>
        <v/>
      </c>
      <c r="AP168" s="15" t="str">
        <f t="shared" si="43"/>
        <v/>
      </c>
      <c r="AQ168" s="15" t="str">
        <f t="shared" si="44"/>
        <v/>
      </c>
    </row>
    <row r="169" spans="1:43">
      <c r="A169" s="13" t="str">
        <f t="shared" si="30"/>
        <v/>
      </c>
      <c r="B169" s="13" t="str">
        <f t="shared" si="31"/>
        <v/>
      </c>
      <c r="C169" s="15" t="str">
        <f t="shared" si="32"/>
        <v/>
      </c>
      <c r="D169" s="15" t="str">
        <f t="shared" si="33"/>
        <v/>
      </c>
      <c r="E169" s="15" t="str">
        <f t="shared" si="34"/>
        <v/>
      </c>
      <c r="F169" s="15" t="str">
        <f t="shared" si="35"/>
        <v/>
      </c>
      <c r="G169" s="15" t="str">
        <f t="shared" si="36"/>
        <v/>
      </c>
      <c r="H169" s="15" t="str">
        <f t="shared" si="37"/>
        <v/>
      </c>
      <c r="I169" s="15" t="str">
        <f t="shared" si="38"/>
        <v/>
      </c>
      <c r="J169" s="15" t="str">
        <f t="shared" si="39"/>
        <v/>
      </c>
      <c r="K169" s="13" t="str">
        <f>IF('Cylinder Detail'!U171=0,"",'Cylinder Detail'!U171)</f>
        <v/>
      </c>
      <c r="L169" s="13" t="str">
        <f>IF('Cylinder Detail'!Z171=0,"",_xlfn.TEXTBEFORE('Cylinder Detail'!Z171, ","))</f>
        <v/>
      </c>
      <c r="M169" s="13" t="str">
        <f t="shared" si="40"/>
        <v/>
      </c>
      <c r="N169" s="17" t="str">
        <f>IF('Cylinder Detail'!V171=0,"",'Cylinder Detail'!V171)</f>
        <v/>
      </c>
      <c r="O169" s="17" t="str">
        <f>IF('Cylinder Detail'!Z171=0,"",_xlfn.TEXTAFTER('Cylinder Detail'!Z171, ", "))</f>
        <v/>
      </c>
      <c r="P169" s="17" t="str">
        <f>IF('Cylinder Detail'!AA171=0,"",'Cylinder Detail'!AA171)</f>
        <v/>
      </c>
      <c r="Q169" s="19" t="str">
        <f>IF('Cylinder Detail'!W171=0,"",'Cylinder Detail'!W171)</f>
        <v/>
      </c>
      <c r="R169" s="19" t="str">
        <f>IF('Cylinder Detail'!Y171=0,"",'Cylinder Detail'!Y171)</f>
        <v/>
      </c>
      <c r="S169" s="21" t="str">
        <f>IF('Cylinder Detail'!X171=0,"",'Cylinder Detail'!X171)</f>
        <v/>
      </c>
      <c r="T169" s="21" t="str">
        <f>IF('Cylinder Detail'!F171=0,"",'Cylinder Detail'!F171)</f>
        <v/>
      </c>
      <c r="U169" s="21" t="str">
        <f>IF('Cylinder Detail'!R171=0,"",'Cylinder Detail'!R171)</f>
        <v/>
      </c>
      <c r="V169" s="21" t="str">
        <f>IF('Cylinder Detail'!Q171=0,"",'Cylinder Detail'!Q171)</f>
        <v/>
      </c>
      <c r="W169" s="21" t="str">
        <f>IF('Cylinder Detail'!E171=0,"","+" &amp; 'Cylinder Detail'!E171)</f>
        <v/>
      </c>
      <c r="X169" s="21" t="str">
        <f t="shared" si="41"/>
        <v/>
      </c>
      <c r="Y169" s="21" t="str">
        <f>IF('Cylinder Detail'!S171=0,"",'Cylinder Detail'!S171)</f>
        <v/>
      </c>
      <c r="Z169" s="21" t="str">
        <f>IF('Cylinder Detail'!T171=0,"",'Cylinder Detail'!T171)</f>
        <v/>
      </c>
      <c r="AA169" s="21" t="str">
        <f>IF('Cylinder Detail'!H171=0,"",'Cylinder Detail'!H171)</f>
        <v/>
      </c>
      <c r="AB169" s="21" t="str">
        <f>IF('Cylinder Detail'!I171=0,"",'Cylinder Detail'!I171)</f>
        <v/>
      </c>
      <c r="AC169" s="22" t="str">
        <f>IF('Cylinder Detail'!AB171=0,"",'Cylinder Detail'!AB171)</f>
        <v/>
      </c>
      <c r="AD169" s="25" t="str">
        <f>IF('Sensor Detail'!F171=0,"","=" &amp; 'Sensor Detail'!F171)</f>
        <v/>
      </c>
      <c r="AE169" s="25" t="str">
        <f>IF('Sensor Detail'!H171=0,"",'Sensor Detail'!H171)</f>
        <v/>
      </c>
      <c r="AF169" s="27" t="str">
        <f>IF('Sensor Detail'!G171=0,"","-" &amp; 'Sensor Detail'!G171)</f>
        <v/>
      </c>
      <c r="AG169" s="27" t="str">
        <f>IF('Sensor Detail'!I171=0,"",'Sensor Detail'!I171)</f>
        <v/>
      </c>
      <c r="AH169" s="27" t="str">
        <f>IF('Sensor Detail'!E171=0,"","+" &amp; 'Sensor Detail'!E171)</f>
        <v/>
      </c>
      <c r="AI169" s="27" t="str">
        <f t="shared" si="42"/>
        <v/>
      </c>
      <c r="AJ169" s="27" t="str">
        <f>IF('Sensor Detail'!J171=0,"",'Sensor Detail'!J171)</f>
        <v/>
      </c>
      <c r="AK169" s="27" t="str">
        <f>IF('Sensor Detail'!K171=0,"",'Sensor Detail'!K171)</f>
        <v/>
      </c>
      <c r="AL169" s="27" t="str">
        <f>IF('Sensor Detail'!L171=0,"",'Sensor Detail'!L171)</f>
        <v/>
      </c>
      <c r="AM169" s="27" t="str">
        <f>IF('Sensor Detail'!M171=0,"",'Sensor Detail'!M171)</f>
        <v/>
      </c>
      <c r="AN169" s="27" t="str">
        <f>IF('Sensor Detail'!N171=0,"",'Sensor Detail'!N171)</f>
        <v/>
      </c>
      <c r="AO169" s="27" t="str">
        <f>IF('Sensor Detail'!O171=0,"",'Sensor Detail'!O171)</f>
        <v/>
      </c>
      <c r="AP169" s="15" t="str">
        <f t="shared" si="43"/>
        <v/>
      </c>
      <c r="AQ169" s="15" t="str">
        <f t="shared" si="44"/>
        <v/>
      </c>
    </row>
    <row r="170" spans="1:43">
      <c r="A170" s="13" t="str">
        <f t="shared" si="30"/>
        <v/>
      </c>
      <c r="B170" s="13" t="str">
        <f t="shared" si="31"/>
        <v/>
      </c>
      <c r="C170" s="15" t="str">
        <f t="shared" si="32"/>
        <v/>
      </c>
      <c r="D170" s="15" t="str">
        <f t="shared" si="33"/>
        <v/>
      </c>
      <c r="E170" s="15" t="str">
        <f t="shared" si="34"/>
        <v/>
      </c>
      <c r="F170" s="15" t="str">
        <f t="shared" si="35"/>
        <v/>
      </c>
      <c r="G170" s="15" t="str">
        <f t="shared" si="36"/>
        <v/>
      </c>
      <c r="H170" s="15" t="str">
        <f t="shared" si="37"/>
        <v/>
      </c>
      <c r="I170" s="15" t="str">
        <f t="shared" si="38"/>
        <v/>
      </c>
      <c r="J170" s="15" t="str">
        <f t="shared" si="39"/>
        <v/>
      </c>
      <c r="K170" s="13" t="str">
        <f>IF('Cylinder Detail'!U172=0,"",'Cylinder Detail'!U172)</f>
        <v/>
      </c>
      <c r="L170" s="13" t="str">
        <f>IF('Cylinder Detail'!Z172=0,"",_xlfn.TEXTBEFORE('Cylinder Detail'!Z172, ","))</f>
        <v/>
      </c>
      <c r="M170" s="13" t="str">
        <f t="shared" si="40"/>
        <v/>
      </c>
      <c r="N170" s="17" t="str">
        <f>IF('Cylinder Detail'!V172=0,"",'Cylinder Detail'!V172)</f>
        <v/>
      </c>
      <c r="O170" s="17" t="str">
        <f>IF('Cylinder Detail'!Z172=0,"",_xlfn.TEXTAFTER('Cylinder Detail'!Z172, ", "))</f>
        <v/>
      </c>
      <c r="P170" s="17" t="str">
        <f>IF('Cylinder Detail'!AA172=0,"",'Cylinder Detail'!AA172)</f>
        <v/>
      </c>
      <c r="Q170" s="19" t="str">
        <f>IF('Cylinder Detail'!W172=0,"",'Cylinder Detail'!W172)</f>
        <v/>
      </c>
      <c r="R170" s="19" t="str">
        <f>IF('Cylinder Detail'!Y172=0,"",'Cylinder Detail'!Y172)</f>
        <v/>
      </c>
      <c r="S170" s="21" t="str">
        <f>IF('Cylinder Detail'!X172=0,"",'Cylinder Detail'!X172)</f>
        <v/>
      </c>
      <c r="T170" s="21" t="str">
        <f>IF('Cylinder Detail'!F172=0,"",'Cylinder Detail'!F172)</f>
        <v/>
      </c>
      <c r="U170" s="21" t="str">
        <f>IF('Cylinder Detail'!R172=0,"",'Cylinder Detail'!R172)</f>
        <v/>
      </c>
      <c r="V170" s="21" t="str">
        <f>IF('Cylinder Detail'!Q172=0,"",'Cylinder Detail'!Q172)</f>
        <v/>
      </c>
      <c r="W170" s="21" t="str">
        <f>IF('Cylinder Detail'!E172=0,"","+" &amp; 'Cylinder Detail'!E172)</f>
        <v/>
      </c>
      <c r="X170" s="21" t="str">
        <f t="shared" si="41"/>
        <v/>
      </c>
      <c r="Y170" s="21" t="str">
        <f>IF('Cylinder Detail'!S172=0,"",'Cylinder Detail'!S172)</f>
        <v/>
      </c>
      <c r="Z170" s="21" t="str">
        <f>IF('Cylinder Detail'!T172=0,"",'Cylinder Detail'!T172)</f>
        <v/>
      </c>
      <c r="AA170" s="21" t="str">
        <f>IF('Cylinder Detail'!H172=0,"",'Cylinder Detail'!H172)</f>
        <v/>
      </c>
      <c r="AB170" s="21" t="str">
        <f>IF('Cylinder Detail'!I172=0,"",'Cylinder Detail'!I172)</f>
        <v/>
      </c>
      <c r="AC170" s="22" t="str">
        <f>IF('Cylinder Detail'!AB172=0,"",'Cylinder Detail'!AB172)</f>
        <v/>
      </c>
      <c r="AD170" s="25" t="str">
        <f>IF('Sensor Detail'!F172=0,"","=" &amp; 'Sensor Detail'!F172)</f>
        <v/>
      </c>
      <c r="AE170" s="25" t="str">
        <f>IF('Sensor Detail'!H172=0,"",'Sensor Detail'!H172)</f>
        <v/>
      </c>
      <c r="AF170" s="27" t="str">
        <f>IF('Sensor Detail'!G172=0,"","-" &amp; 'Sensor Detail'!G172)</f>
        <v/>
      </c>
      <c r="AG170" s="27" t="str">
        <f>IF('Sensor Detail'!I172=0,"",'Sensor Detail'!I172)</f>
        <v/>
      </c>
      <c r="AH170" s="27" t="str">
        <f>IF('Sensor Detail'!E172=0,"","+" &amp; 'Sensor Detail'!E172)</f>
        <v/>
      </c>
      <c r="AI170" s="27" t="str">
        <f t="shared" si="42"/>
        <v/>
      </c>
      <c r="AJ170" s="27" t="str">
        <f>IF('Sensor Detail'!J172=0,"",'Sensor Detail'!J172)</f>
        <v/>
      </c>
      <c r="AK170" s="27" t="str">
        <f>IF('Sensor Detail'!K172=0,"",'Sensor Detail'!K172)</f>
        <v/>
      </c>
      <c r="AL170" s="27" t="str">
        <f>IF('Sensor Detail'!L172=0,"",'Sensor Detail'!L172)</f>
        <v/>
      </c>
      <c r="AM170" s="27" t="str">
        <f>IF('Sensor Detail'!M172=0,"",'Sensor Detail'!M172)</f>
        <v/>
      </c>
      <c r="AN170" s="27" t="str">
        <f>IF('Sensor Detail'!N172=0,"",'Sensor Detail'!N172)</f>
        <v/>
      </c>
      <c r="AO170" s="27" t="str">
        <f>IF('Sensor Detail'!O172=0,"",'Sensor Detail'!O172)</f>
        <v/>
      </c>
      <c r="AP170" s="15" t="str">
        <f t="shared" si="43"/>
        <v/>
      </c>
      <c r="AQ170" s="15" t="str">
        <f t="shared" si="44"/>
        <v/>
      </c>
    </row>
    <row r="171" spans="1:43">
      <c r="A171" s="13" t="str">
        <f t="shared" si="30"/>
        <v/>
      </c>
      <c r="B171" s="13" t="str">
        <f t="shared" si="31"/>
        <v/>
      </c>
      <c r="C171" s="15" t="str">
        <f t="shared" si="32"/>
        <v/>
      </c>
      <c r="D171" s="15" t="str">
        <f t="shared" si="33"/>
        <v/>
      </c>
      <c r="E171" s="15" t="str">
        <f t="shared" si="34"/>
        <v/>
      </c>
      <c r="F171" s="15" t="str">
        <f t="shared" si="35"/>
        <v/>
      </c>
      <c r="G171" s="15" t="str">
        <f t="shared" si="36"/>
        <v/>
      </c>
      <c r="H171" s="15" t="str">
        <f t="shared" si="37"/>
        <v/>
      </c>
      <c r="I171" s="15" t="str">
        <f t="shared" si="38"/>
        <v/>
      </c>
      <c r="J171" s="15" t="str">
        <f t="shared" si="39"/>
        <v/>
      </c>
      <c r="K171" s="13" t="str">
        <f>IF('Cylinder Detail'!U173=0,"",'Cylinder Detail'!U173)</f>
        <v/>
      </c>
      <c r="L171" s="13" t="str">
        <f>IF('Cylinder Detail'!Z173=0,"",_xlfn.TEXTBEFORE('Cylinder Detail'!Z173, ","))</f>
        <v/>
      </c>
      <c r="M171" s="13" t="str">
        <f t="shared" si="40"/>
        <v/>
      </c>
      <c r="N171" s="17" t="str">
        <f>IF('Cylinder Detail'!V173=0,"",'Cylinder Detail'!V173)</f>
        <v/>
      </c>
      <c r="O171" s="17" t="str">
        <f>IF('Cylinder Detail'!Z173=0,"",_xlfn.TEXTAFTER('Cylinder Detail'!Z173, ", "))</f>
        <v/>
      </c>
      <c r="P171" s="17" t="str">
        <f>IF('Cylinder Detail'!AA173=0,"",'Cylinder Detail'!AA173)</f>
        <v/>
      </c>
      <c r="Q171" s="19" t="str">
        <f>IF('Cylinder Detail'!W173=0,"",'Cylinder Detail'!W173)</f>
        <v/>
      </c>
      <c r="R171" s="19" t="str">
        <f>IF('Cylinder Detail'!Y173=0,"",'Cylinder Detail'!Y173)</f>
        <v/>
      </c>
      <c r="S171" s="21" t="str">
        <f>IF('Cylinder Detail'!X173=0,"",'Cylinder Detail'!X173)</f>
        <v/>
      </c>
      <c r="T171" s="21" t="str">
        <f>IF('Cylinder Detail'!F173=0,"",'Cylinder Detail'!F173)</f>
        <v/>
      </c>
      <c r="U171" s="21" t="str">
        <f>IF('Cylinder Detail'!R173=0,"",'Cylinder Detail'!R173)</f>
        <v/>
      </c>
      <c r="V171" s="21" t="str">
        <f>IF('Cylinder Detail'!Q173=0,"",'Cylinder Detail'!Q173)</f>
        <v/>
      </c>
      <c r="W171" s="21" t="str">
        <f>IF('Cylinder Detail'!E173=0,"","+" &amp; 'Cylinder Detail'!E173)</f>
        <v/>
      </c>
      <c r="X171" s="21" t="str">
        <f t="shared" si="41"/>
        <v/>
      </c>
      <c r="Y171" s="21" t="str">
        <f>IF('Cylinder Detail'!S173=0,"",'Cylinder Detail'!S173)</f>
        <v/>
      </c>
      <c r="Z171" s="21" t="str">
        <f>IF('Cylinder Detail'!T173=0,"",'Cylinder Detail'!T173)</f>
        <v/>
      </c>
      <c r="AA171" s="21" t="str">
        <f>IF('Cylinder Detail'!H173=0,"",'Cylinder Detail'!H173)</f>
        <v/>
      </c>
      <c r="AB171" s="21" t="str">
        <f>IF('Cylinder Detail'!I173=0,"",'Cylinder Detail'!I173)</f>
        <v/>
      </c>
      <c r="AC171" s="22" t="str">
        <f>IF('Cylinder Detail'!AB173=0,"",'Cylinder Detail'!AB173)</f>
        <v/>
      </c>
      <c r="AD171" s="25" t="str">
        <f>IF('Sensor Detail'!F173=0,"","=" &amp; 'Sensor Detail'!F173)</f>
        <v/>
      </c>
      <c r="AE171" s="25" t="str">
        <f>IF('Sensor Detail'!H173=0,"",'Sensor Detail'!H173)</f>
        <v/>
      </c>
      <c r="AF171" s="27" t="str">
        <f>IF('Sensor Detail'!G173=0,"","-" &amp; 'Sensor Detail'!G173)</f>
        <v/>
      </c>
      <c r="AG171" s="27" t="str">
        <f>IF('Sensor Detail'!I173=0,"",'Sensor Detail'!I173)</f>
        <v/>
      </c>
      <c r="AH171" s="27" t="str">
        <f>IF('Sensor Detail'!E173=0,"","+" &amp; 'Sensor Detail'!E173)</f>
        <v/>
      </c>
      <c r="AI171" s="27" t="str">
        <f t="shared" si="42"/>
        <v/>
      </c>
      <c r="AJ171" s="27" t="str">
        <f>IF('Sensor Detail'!J173=0,"",'Sensor Detail'!J173)</f>
        <v/>
      </c>
      <c r="AK171" s="27" t="str">
        <f>IF('Sensor Detail'!K173=0,"",'Sensor Detail'!K173)</f>
        <v/>
      </c>
      <c r="AL171" s="27" t="str">
        <f>IF('Sensor Detail'!L173=0,"",'Sensor Detail'!L173)</f>
        <v/>
      </c>
      <c r="AM171" s="27" t="str">
        <f>IF('Sensor Detail'!M173=0,"",'Sensor Detail'!M173)</f>
        <v/>
      </c>
      <c r="AN171" s="27" t="str">
        <f>IF('Sensor Detail'!N173=0,"",'Sensor Detail'!N173)</f>
        <v/>
      </c>
      <c r="AO171" s="27" t="str">
        <f>IF('Sensor Detail'!O173=0,"",'Sensor Detail'!O173)</f>
        <v/>
      </c>
      <c r="AP171" s="15" t="str">
        <f t="shared" si="43"/>
        <v/>
      </c>
      <c r="AQ171" s="15" t="str">
        <f t="shared" si="44"/>
        <v/>
      </c>
    </row>
    <row r="172" spans="1:43">
      <c r="A172" s="13" t="str">
        <f t="shared" si="30"/>
        <v/>
      </c>
      <c r="B172" s="13" t="str">
        <f t="shared" si="31"/>
        <v/>
      </c>
      <c r="C172" s="15" t="str">
        <f t="shared" si="32"/>
        <v/>
      </c>
      <c r="D172" s="15" t="str">
        <f t="shared" si="33"/>
        <v/>
      </c>
      <c r="E172" s="15" t="str">
        <f t="shared" si="34"/>
        <v/>
      </c>
      <c r="F172" s="15" t="str">
        <f t="shared" si="35"/>
        <v/>
      </c>
      <c r="G172" s="15" t="str">
        <f t="shared" si="36"/>
        <v/>
      </c>
      <c r="H172" s="15" t="str">
        <f t="shared" si="37"/>
        <v/>
      </c>
      <c r="I172" s="15" t="str">
        <f t="shared" si="38"/>
        <v/>
      </c>
      <c r="J172" s="15" t="str">
        <f t="shared" si="39"/>
        <v/>
      </c>
      <c r="K172" s="13" t="str">
        <f>IF('Cylinder Detail'!U174=0,"",'Cylinder Detail'!U174)</f>
        <v/>
      </c>
      <c r="L172" s="13" t="str">
        <f>IF('Cylinder Detail'!Z174=0,"",_xlfn.TEXTBEFORE('Cylinder Detail'!Z174, ","))</f>
        <v/>
      </c>
      <c r="M172" s="13" t="str">
        <f t="shared" si="40"/>
        <v/>
      </c>
      <c r="N172" s="17" t="str">
        <f>IF('Cylinder Detail'!V174=0,"",'Cylinder Detail'!V174)</f>
        <v/>
      </c>
      <c r="O172" s="17" t="str">
        <f>IF('Cylinder Detail'!Z174=0,"",_xlfn.TEXTAFTER('Cylinder Detail'!Z174, ", "))</f>
        <v/>
      </c>
      <c r="P172" s="17" t="str">
        <f>IF('Cylinder Detail'!AA174=0,"",'Cylinder Detail'!AA174)</f>
        <v/>
      </c>
      <c r="Q172" s="19" t="str">
        <f>IF('Cylinder Detail'!W174=0,"",'Cylinder Detail'!W174)</f>
        <v/>
      </c>
      <c r="R172" s="19" t="str">
        <f>IF('Cylinder Detail'!Y174=0,"",'Cylinder Detail'!Y174)</f>
        <v/>
      </c>
      <c r="S172" s="21" t="str">
        <f>IF('Cylinder Detail'!X174=0,"",'Cylinder Detail'!X174)</f>
        <v/>
      </c>
      <c r="T172" s="21" t="str">
        <f>IF('Cylinder Detail'!F174=0,"",'Cylinder Detail'!F174)</f>
        <v/>
      </c>
      <c r="U172" s="21" t="str">
        <f>IF('Cylinder Detail'!R174=0,"",'Cylinder Detail'!R174)</f>
        <v/>
      </c>
      <c r="V172" s="21" t="str">
        <f>IF('Cylinder Detail'!Q174=0,"",'Cylinder Detail'!Q174)</f>
        <v/>
      </c>
      <c r="W172" s="21" t="str">
        <f>IF('Cylinder Detail'!E174=0,"","+" &amp; 'Cylinder Detail'!E174)</f>
        <v/>
      </c>
      <c r="X172" s="21" t="str">
        <f t="shared" si="41"/>
        <v/>
      </c>
      <c r="Y172" s="21" t="str">
        <f>IF('Cylinder Detail'!S174=0,"",'Cylinder Detail'!S174)</f>
        <v/>
      </c>
      <c r="Z172" s="21" t="str">
        <f>IF('Cylinder Detail'!T174=0,"",'Cylinder Detail'!T174)</f>
        <v/>
      </c>
      <c r="AA172" s="21" t="str">
        <f>IF('Cylinder Detail'!H174=0,"",'Cylinder Detail'!H174)</f>
        <v/>
      </c>
      <c r="AB172" s="21" t="str">
        <f>IF('Cylinder Detail'!I174=0,"",'Cylinder Detail'!I174)</f>
        <v/>
      </c>
      <c r="AC172" s="22" t="str">
        <f>IF('Cylinder Detail'!AB174=0,"",'Cylinder Detail'!AB174)</f>
        <v/>
      </c>
      <c r="AD172" s="25" t="str">
        <f>IF('Sensor Detail'!F174=0,"","=" &amp; 'Sensor Detail'!F174)</f>
        <v/>
      </c>
      <c r="AE172" s="25" t="str">
        <f>IF('Sensor Detail'!H174=0,"",'Sensor Detail'!H174)</f>
        <v/>
      </c>
      <c r="AF172" s="27" t="str">
        <f>IF('Sensor Detail'!G174=0,"","-" &amp; 'Sensor Detail'!G174)</f>
        <v/>
      </c>
      <c r="AG172" s="27" t="str">
        <f>IF('Sensor Detail'!I174=0,"",'Sensor Detail'!I174)</f>
        <v/>
      </c>
      <c r="AH172" s="27" t="str">
        <f>IF('Sensor Detail'!E174=0,"","+" &amp; 'Sensor Detail'!E174)</f>
        <v/>
      </c>
      <c r="AI172" s="27" t="str">
        <f t="shared" si="42"/>
        <v/>
      </c>
      <c r="AJ172" s="27" t="str">
        <f>IF('Sensor Detail'!J174=0,"",'Sensor Detail'!J174)</f>
        <v/>
      </c>
      <c r="AK172" s="27" t="str">
        <f>IF('Sensor Detail'!K174=0,"",'Sensor Detail'!K174)</f>
        <v/>
      </c>
      <c r="AL172" s="27" t="str">
        <f>IF('Sensor Detail'!L174=0,"",'Sensor Detail'!L174)</f>
        <v/>
      </c>
      <c r="AM172" s="27" t="str">
        <f>IF('Sensor Detail'!M174=0,"",'Sensor Detail'!M174)</f>
        <v/>
      </c>
      <c r="AN172" s="27" t="str">
        <f>IF('Sensor Detail'!N174=0,"",'Sensor Detail'!N174)</f>
        <v/>
      </c>
      <c r="AO172" s="27" t="str">
        <f>IF('Sensor Detail'!O174=0,"",'Sensor Detail'!O174)</f>
        <v/>
      </c>
      <c r="AP172" s="15" t="str">
        <f t="shared" si="43"/>
        <v/>
      </c>
      <c r="AQ172" s="15" t="str">
        <f t="shared" si="44"/>
        <v/>
      </c>
    </row>
    <row r="173" spans="1:43">
      <c r="A173" s="13" t="str">
        <f t="shared" si="30"/>
        <v/>
      </c>
      <c r="B173" s="13" t="str">
        <f t="shared" si="31"/>
        <v/>
      </c>
      <c r="C173" s="15" t="str">
        <f t="shared" si="32"/>
        <v/>
      </c>
      <c r="D173" s="15" t="str">
        <f t="shared" si="33"/>
        <v/>
      </c>
      <c r="E173" s="15" t="str">
        <f t="shared" si="34"/>
        <v/>
      </c>
      <c r="F173" s="15" t="str">
        <f t="shared" si="35"/>
        <v/>
      </c>
      <c r="G173" s="15" t="str">
        <f t="shared" si="36"/>
        <v/>
      </c>
      <c r="H173" s="15" t="str">
        <f t="shared" si="37"/>
        <v/>
      </c>
      <c r="I173" s="15" t="str">
        <f t="shared" si="38"/>
        <v/>
      </c>
      <c r="J173" s="15" t="str">
        <f t="shared" si="39"/>
        <v/>
      </c>
      <c r="K173" s="13" t="str">
        <f>IF('Cylinder Detail'!U175=0,"",'Cylinder Detail'!U175)</f>
        <v/>
      </c>
      <c r="L173" s="13" t="str">
        <f>IF('Cylinder Detail'!Z175=0,"",_xlfn.TEXTBEFORE('Cylinder Detail'!Z175, ","))</f>
        <v/>
      </c>
      <c r="M173" s="13" t="str">
        <f t="shared" si="40"/>
        <v/>
      </c>
      <c r="N173" s="17" t="str">
        <f>IF('Cylinder Detail'!V175=0,"",'Cylinder Detail'!V175)</f>
        <v/>
      </c>
      <c r="O173" s="17" t="str">
        <f>IF('Cylinder Detail'!Z175=0,"",_xlfn.TEXTAFTER('Cylinder Detail'!Z175, ", "))</f>
        <v/>
      </c>
      <c r="P173" s="17" t="str">
        <f>IF('Cylinder Detail'!AA175=0,"",'Cylinder Detail'!AA175)</f>
        <v/>
      </c>
      <c r="Q173" s="19" t="str">
        <f>IF('Cylinder Detail'!W175=0,"",'Cylinder Detail'!W175)</f>
        <v/>
      </c>
      <c r="R173" s="19" t="str">
        <f>IF('Cylinder Detail'!Y175=0,"",'Cylinder Detail'!Y175)</f>
        <v/>
      </c>
      <c r="S173" s="21" t="str">
        <f>IF('Cylinder Detail'!X175=0,"",'Cylinder Detail'!X175)</f>
        <v/>
      </c>
      <c r="T173" s="21" t="str">
        <f>IF('Cylinder Detail'!F175=0,"",'Cylinder Detail'!F175)</f>
        <v/>
      </c>
      <c r="U173" s="21" t="str">
        <f>IF('Cylinder Detail'!R175=0,"",'Cylinder Detail'!R175)</f>
        <v/>
      </c>
      <c r="V173" s="21" t="str">
        <f>IF('Cylinder Detail'!Q175=0,"",'Cylinder Detail'!Q175)</f>
        <v/>
      </c>
      <c r="W173" s="21" t="str">
        <f>IF('Cylinder Detail'!E175=0,"","+" &amp; 'Cylinder Detail'!E175)</f>
        <v/>
      </c>
      <c r="X173" s="21" t="str">
        <f t="shared" si="41"/>
        <v/>
      </c>
      <c r="Y173" s="21" t="str">
        <f>IF('Cylinder Detail'!S175=0,"",'Cylinder Detail'!S175)</f>
        <v/>
      </c>
      <c r="Z173" s="21" t="str">
        <f>IF('Cylinder Detail'!T175=0,"",'Cylinder Detail'!T175)</f>
        <v/>
      </c>
      <c r="AA173" s="21" t="str">
        <f>IF('Cylinder Detail'!H175=0,"",'Cylinder Detail'!H175)</f>
        <v/>
      </c>
      <c r="AB173" s="21" t="str">
        <f>IF('Cylinder Detail'!I175=0,"",'Cylinder Detail'!I175)</f>
        <v/>
      </c>
      <c r="AC173" s="22" t="str">
        <f>IF('Cylinder Detail'!AB175=0,"",'Cylinder Detail'!AB175)</f>
        <v/>
      </c>
      <c r="AD173" s="25" t="str">
        <f>IF('Sensor Detail'!F175=0,"","=" &amp; 'Sensor Detail'!F175)</f>
        <v/>
      </c>
      <c r="AE173" s="25" t="str">
        <f>IF('Sensor Detail'!H175=0,"",'Sensor Detail'!H175)</f>
        <v/>
      </c>
      <c r="AF173" s="27" t="str">
        <f>IF('Sensor Detail'!G175=0,"","-" &amp; 'Sensor Detail'!G175)</f>
        <v/>
      </c>
      <c r="AG173" s="27" t="str">
        <f>IF('Sensor Detail'!I175=0,"",'Sensor Detail'!I175)</f>
        <v/>
      </c>
      <c r="AH173" s="27" t="str">
        <f>IF('Sensor Detail'!E175=0,"","+" &amp; 'Sensor Detail'!E175)</f>
        <v/>
      </c>
      <c r="AI173" s="27" t="str">
        <f t="shared" si="42"/>
        <v/>
      </c>
      <c r="AJ173" s="27" t="str">
        <f>IF('Sensor Detail'!J175=0,"",'Sensor Detail'!J175)</f>
        <v/>
      </c>
      <c r="AK173" s="27" t="str">
        <f>IF('Sensor Detail'!K175=0,"",'Sensor Detail'!K175)</f>
        <v/>
      </c>
      <c r="AL173" s="27" t="str">
        <f>IF('Sensor Detail'!L175=0,"",'Sensor Detail'!L175)</f>
        <v/>
      </c>
      <c r="AM173" s="27" t="str">
        <f>IF('Sensor Detail'!M175=0,"",'Sensor Detail'!M175)</f>
        <v/>
      </c>
      <c r="AN173" s="27" t="str">
        <f>IF('Sensor Detail'!N175=0,"",'Sensor Detail'!N175)</f>
        <v/>
      </c>
      <c r="AO173" s="27" t="str">
        <f>IF('Sensor Detail'!O175=0,"",'Sensor Detail'!O175)</f>
        <v/>
      </c>
      <c r="AP173" s="15" t="str">
        <f t="shared" si="43"/>
        <v/>
      </c>
      <c r="AQ173" s="15" t="str">
        <f t="shared" si="44"/>
        <v/>
      </c>
    </row>
    <row r="174" spans="1:43">
      <c r="A174" s="13" t="str">
        <f t="shared" si="30"/>
        <v/>
      </c>
      <c r="B174" s="13" t="str">
        <f t="shared" si="31"/>
        <v/>
      </c>
      <c r="C174" s="15" t="str">
        <f t="shared" si="32"/>
        <v/>
      </c>
      <c r="D174" s="15" t="str">
        <f t="shared" si="33"/>
        <v/>
      </c>
      <c r="E174" s="15" t="str">
        <f t="shared" si="34"/>
        <v/>
      </c>
      <c r="F174" s="15" t="str">
        <f t="shared" si="35"/>
        <v/>
      </c>
      <c r="G174" s="15" t="str">
        <f t="shared" si="36"/>
        <v/>
      </c>
      <c r="H174" s="15" t="str">
        <f t="shared" si="37"/>
        <v/>
      </c>
      <c r="I174" s="15" t="str">
        <f t="shared" si="38"/>
        <v/>
      </c>
      <c r="J174" s="15" t="str">
        <f t="shared" si="39"/>
        <v/>
      </c>
      <c r="K174" s="13" t="str">
        <f>IF('Cylinder Detail'!U176=0,"",'Cylinder Detail'!U176)</f>
        <v/>
      </c>
      <c r="L174" s="13" t="str">
        <f>IF('Cylinder Detail'!Z176=0,"",_xlfn.TEXTBEFORE('Cylinder Detail'!Z176, ","))</f>
        <v/>
      </c>
      <c r="M174" s="13" t="str">
        <f t="shared" si="40"/>
        <v/>
      </c>
      <c r="N174" s="17" t="str">
        <f>IF('Cylinder Detail'!V176=0,"",'Cylinder Detail'!V176)</f>
        <v/>
      </c>
      <c r="O174" s="17" t="str">
        <f>IF('Cylinder Detail'!Z176=0,"",_xlfn.TEXTAFTER('Cylinder Detail'!Z176, ", "))</f>
        <v/>
      </c>
      <c r="P174" s="17" t="str">
        <f>IF('Cylinder Detail'!AA176=0,"",'Cylinder Detail'!AA176)</f>
        <v/>
      </c>
      <c r="Q174" s="19" t="str">
        <f>IF('Cylinder Detail'!W176=0,"",'Cylinder Detail'!W176)</f>
        <v/>
      </c>
      <c r="R174" s="19" t="str">
        <f>IF('Cylinder Detail'!Y176=0,"",'Cylinder Detail'!Y176)</f>
        <v/>
      </c>
      <c r="S174" s="21" t="str">
        <f>IF('Cylinder Detail'!X176=0,"",'Cylinder Detail'!X176)</f>
        <v/>
      </c>
      <c r="T174" s="21" t="str">
        <f>IF('Cylinder Detail'!F176=0,"",'Cylinder Detail'!F176)</f>
        <v/>
      </c>
      <c r="U174" s="21" t="str">
        <f>IF('Cylinder Detail'!R176=0,"",'Cylinder Detail'!R176)</f>
        <v/>
      </c>
      <c r="V174" s="21" t="str">
        <f>IF('Cylinder Detail'!Q176=0,"",'Cylinder Detail'!Q176)</f>
        <v/>
      </c>
      <c r="W174" s="21" t="str">
        <f>IF('Cylinder Detail'!E176=0,"","+" &amp; 'Cylinder Detail'!E176)</f>
        <v/>
      </c>
      <c r="X174" s="21" t="str">
        <f t="shared" si="41"/>
        <v/>
      </c>
      <c r="Y174" s="21" t="str">
        <f>IF('Cylinder Detail'!S176=0,"",'Cylinder Detail'!S176)</f>
        <v/>
      </c>
      <c r="Z174" s="21" t="str">
        <f>IF('Cylinder Detail'!T176=0,"",'Cylinder Detail'!T176)</f>
        <v/>
      </c>
      <c r="AA174" s="21" t="str">
        <f>IF('Cylinder Detail'!H176=0,"",'Cylinder Detail'!H176)</f>
        <v/>
      </c>
      <c r="AB174" s="21" t="str">
        <f>IF('Cylinder Detail'!I176=0,"",'Cylinder Detail'!I176)</f>
        <v/>
      </c>
      <c r="AC174" s="22" t="str">
        <f>IF('Cylinder Detail'!AB176=0,"",'Cylinder Detail'!AB176)</f>
        <v/>
      </c>
      <c r="AD174" s="25" t="str">
        <f>IF('Sensor Detail'!F176=0,"","=" &amp; 'Sensor Detail'!F176)</f>
        <v/>
      </c>
      <c r="AE174" s="25" t="str">
        <f>IF('Sensor Detail'!H176=0,"",'Sensor Detail'!H176)</f>
        <v/>
      </c>
      <c r="AF174" s="27" t="str">
        <f>IF('Sensor Detail'!G176=0,"","-" &amp; 'Sensor Detail'!G176)</f>
        <v/>
      </c>
      <c r="AG174" s="27" t="str">
        <f>IF('Sensor Detail'!I176=0,"",'Sensor Detail'!I176)</f>
        <v/>
      </c>
      <c r="AH174" s="27" t="str">
        <f>IF('Sensor Detail'!E176=0,"","+" &amp; 'Sensor Detail'!E176)</f>
        <v/>
      </c>
      <c r="AI174" s="27" t="str">
        <f t="shared" si="42"/>
        <v/>
      </c>
      <c r="AJ174" s="27" t="str">
        <f>IF('Sensor Detail'!J176=0,"",'Sensor Detail'!J176)</f>
        <v/>
      </c>
      <c r="AK174" s="27" t="str">
        <f>IF('Sensor Detail'!K176=0,"",'Sensor Detail'!K176)</f>
        <v/>
      </c>
      <c r="AL174" s="27" t="str">
        <f>IF('Sensor Detail'!L176=0,"",'Sensor Detail'!L176)</f>
        <v/>
      </c>
      <c r="AM174" s="27" t="str">
        <f>IF('Sensor Detail'!M176=0,"",'Sensor Detail'!M176)</f>
        <v/>
      </c>
      <c r="AN174" s="27" t="str">
        <f>IF('Sensor Detail'!N176=0,"",'Sensor Detail'!N176)</f>
        <v/>
      </c>
      <c r="AO174" s="27" t="str">
        <f>IF('Sensor Detail'!O176=0,"",'Sensor Detail'!O176)</f>
        <v/>
      </c>
      <c r="AP174" s="15" t="str">
        <f t="shared" si="43"/>
        <v/>
      </c>
      <c r="AQ174" s="15" t="str">
        <f t="shared" si="44"/>
        <v/>
      </c>
    </row>
    <row r="175" spans="1:43">
      <c r="A175" s="13" t="str">
        <f t="shared" si="30"/>
        <v/>
      </c>
      <c r="B175" s="13" t="str">
        <f t="shared" si="31"/>
        <v/>
      </c>
      <c r="C175" s="15" t="str">
        <f t="shared" si="32"/>
        <v/>
      </c>
      <c r="D175" s="15" t="str">
        <f t="shared" si="33"/>
        <v/>
      </c>
      <c r="E175" s="15" t="str">
        <f t="shared" si="34"/>
        <v/>
      </c>
      <c r="F175" s="15" t="str">
        <f t="shared" si="35"/>
        <v/>
      </c>
      <c r="G175" s="15" t="str">
        <f t="shared" si="36"/>
        <v/>
      </c>
      <c r="H175" s="15" t="str">
        <f t="shared" si="37"/>
        <v/>
      </c>
      <c r="I175" s="15" t="str">
        <f t="shared" si="38"/>
        <v/>
      </c>
      <c r="J175" s="15" t="str">
        <f t="shared" si="39"/>
        <v/>
      </c>
      <c r="K175" s="13" t="str">
        <f>IF('Cylinder Detail'!U177=0,"",'Cylinder Detail'!U177)</f>
        <v/>
      </c>
      <c r="L175" s="13" t="str">
        <f>IF('Cylinder Detail'!Z177=0,"",_xlfn.TEXTBEFORE('Cylinder Detail'!Z177, ","))</f>
        <v/>
      </c>
      <c r="M175" s="13" t="str">
        <f t="shared" si="40"/>
        <v/>
      </c>
      <c r="N175" s="17" t="str">
        <f>IF('Cylinder Detail'!V177=0,"",'Cylinder Detail'!V177)</f>
        <v/>
      </c>
      <c r="O175" s="17" t="str">
        <f>IF('Cylinder Detail'!Z177=0,"",_xlfn.TEXTAFTER('Cylinder Detail'!Z177, ", "))</f>
        <v/>
      </c>
      <c r="P175" s="17" t="str">
        <f>IF('Cylinder Detail'!AA177=0,"",'Cylinder Detail'!AA177)</f>
        <v/>
      </c>
      <c r="Q175" s="19" t="str">
        <f>IF('Cylinder Detail'!W177=0,"",'Cylinder Detail'!W177)</f>
        <v/>
      </c>
      <c r="R175" s="19" t="str">
        <f>IF('Cylinder Detail'!Y177=0,"",'Cylinder Detail'!Y177)</f>
        <v/>
      </c>
      <c r="S175" s="21" t="str">
        <f>IF('Cylinder Detail'!X177=0,"",'Cylinder Detail'!X177)</f>
        <v/>
      </c>
      <c r="T175" s="21" t="str">
        <f>IF('Cylinder Detail'!F177=0,"",'Cylinder Detail'!F177)</f>
        <v/>
      </c>
      <c r="U175" s="21" t="str">
        <f>IF('Cylinder Detail'!R177=0,"",'Cylinder Detail'!R177)</f>
        <v/>
      </c>
      <c r="V175" s="21" t="str">
        <f>IF('Cylinder Detail'!Q177=0,"",'Cylinder Detail'!Q177)</f>
        <v/>
      </c>
      <c r="W175" s="21" t="str">
        <f>IF('Cylinder Detail'!E177=0,"","+" &amp; 'Cylinder Detail'!E177)</f>
        <v/>
      </c>
      <c r="X175" s="21" t="str">
        <f t="shared" si="41"/>
        <v/>
      </c>
      <c r="Y175" s="21" t="str">
        <f>IF('Cylinder Detail'!S177=0,"",'Cylinder Detail'!S177)</f>
        <v/>
      </c>
      <c r="Z175" s="21" t="str">
        <f>IF('Cylinder Detail'!T177=0,"",'Cylinder Detail'!T177)</f>
        <v/>
      </c>
      <c r="AA175" s="21" t="str">
        <f>IF('Cylinder Detail'!H177=0,"",'Cylinder Detail'!H177)</f>
        <v/>
      </c>
      <c r="AB175" s="21" t="str">
        <f>IF('Cylinder Detail'!I177=0,"",'Cylinder Detail'!I177)</f>
        <v/>
      </c>
      <c r="AC175" s="22" t="str">
        <f>IF('Cylinder Detail'!AB177=0,"",'Cylinder Detail'!AB177)</f>
        <v/>
      </c>
      <c r="AD175" s="25" t="str">
        <f>IF('Sensor Detail'!F177=0,"","=" &amp; 'Sensor Detail'!F177)</f>
        <v/>
      </c>
      <c r="AE175" s="25" t="str">
        <f>IF('Sensor Detail'!H177=0,"",'Sensor Detail'!H177)</f>
        <v/>
      </c>
      <c r="AF175" s="27" t="str">
        <f>IF('Sensor Detail'!G177=0,"","-" &amp; 'Sensor Detail'!G177)</f>
        <v/>
      </c>
      <c r="AG175" s="27" t="str">
        <f>IF('Sensor Detail'!I177=0,"",'Sensor Detail'!I177)</f>
        <v/>
      </c>
      <c r="AH175" s="27" t="str">
        <f>IF('Sensor Detail'!E177=0,"","+" &amp; 'Sensor Detail'!E177)</f>
        <v/>
      </c>
      <c r="AI175" s="27" t="str">
        <f t="shared" si="42"/>
        <v/>
      </c>
      <c r="AJ175" s="27" t="str">
        <f>IF('Sensor Detail'!J177=0,"",'Sensor Detail'!J177)</f>
        <v/>
      </c>
      <c r="AK175" s="27" t="str">
        <f>IF('Sensor Detail'!K177=0,"",'Sensor Detail'!K177)</f>
        <v/>
      </c>
      <c r="AL175" s="27" t="str">
        <f>IF('Sensor Detail'!L177=0,"",'Sensor Detail'!L177)</f>
        <v/>
      </c>
      <c r="AM175" s="27" t="str">
        <f>IF('Sensor Detail'!M177=0,"",'Sensor Detail'!M177)</f>
        <v/>
      </c>
      <c r="AN175" s="27" t="str">
        <f>IF('Sensor Detail'!N177=0,"",'Sensor Detail'!N177)</f>
        <v/>
      </c>
      <c r="AO175" s="27" t="str">
        <f>IF('Sensor Detail'!O177=0,"",'Sensor Detail'!O177)</f>
        <v/>
      </c>
      <c r="AP175" s="15" t="str">
        <f t="shared" si="43"/>
        <v/>
      </c>
      <c r="AQ175" s="15" t="str">
        <f t="shared" si="44"/>
        <v/>
      </c>
    </row>
    <row r="176" spans="1:43">
      <c r="A176" s="13" t="str">
        <f t="shared" si="30"/>
        <v/>
      </c>
      <c r="B176" s="13" t="str">
        <f t="shared" si="31"/>
        <v/>
      </c>
      <c r="C176" s="15" t="str">
        <f t="shared" si="32"/>
        <v/>
      </c>
      <c r="D176" s="15" t="str">
        <f t="shared" si="33"/>
        <v/>
      </c>
      <c r="E176" s="15" t="str">
        <f t="shared" si="34"/>
        <v/>
      </c>
      <c r="F176" s="15" t="str">
        <f t="shared" si="35"/>
        <v/>
      </c>
      <c r="G176" s="15" t="str">
        <f t="shared" si="36"/>
        <v/>
      </c>
      <c r="H176" s="15" t="str">
        <f t="shared" si="37"/>
        <v/>
      </c>
      <c r="I176" s="15" t="str">
        <f t="shared" si="38"/>
        <v/>
      </c>
      <c r="J176" s="15" t="str">
        <f t="shared" si="39"/>
        <v/>
      </c>
      <c r="K176" s="13" t="str">
        <f>IF('Cylinder Detail'!U178=0,"",'Cylinder Detail'!U178)</f>
        <v/>
      </c>
      <c r="L176" s="13" t="str">
        <f>IF('Cylinder Detail'!Z178=0,"",_xlfn.TEXTBEFORE('Cylinder Detail'!Z178, ","))</f>
        <v/>
      </c>
      <c r="M176" s="13" t="str">
        <f t="shared" si="40"/>
        <v/>
      </c>
      <c r="N176" s="17" t="str">
        <f>IF('Cylinder Detail'!V178=0,"",'Cylinder Detail'!V178)</f>
        <v/>
      </c>
      <c r="O176" s="17" t="str">
        <f>IF('Cylinder Detail'!Z178=0,"",_xlfn.TEXTAFTER('Cylinder Detail'!Z178, ", "))</f>
        <v/>
      </c>
      <c r="P176" s="17" t="str">
        <f>IF('Cylinder Detail'!AA178=0,"",'Cylinder Detail'!AA178)</f>
        <v/>
      </c>
      <c r="Q176" s="19" t="str">
        <f>IF('Cylinder Detail'!W178=0,"",'Cylinder Detail'!W178)</f>
        <v/>
      </c>
      <c r="R176" s="19" t="str">
        <f>IF('Cylinder Detail'!Y178=0,"",'Cylinder Detail'!Y178)</f>
        <v/>
      </c>
      <c r="S176" s="21" t="str">
        <f>IF('Cylinder Detail'!X178=0,"",'Cylinder Detail'!X178)</f>
        <v/>
      </c>
      <c r="T176" s="21" t="str">
        <f>IF('Cylinder Detail'!F178=0,"",'Cylinder Detail'!F178)</f>
        <v/>
      </c>
      <c r="U176" s="21" t="str">
        <f>IF('Cylinder Detail'!R178=0,"",'Cylinder Detail'!R178)</f>
        <v/>
      </c>
      <c r="V176" s="21" t="str">
        <f>IF('Cylinder Detail'!Q178=0,"",'Cylinder Detail'!Q178)</f>
        <v/>
      </c>
      <c r="W176" s="21" t="str">
        <f>IF('Cylinder Detail'!E178=0,"","+" &amp; 'Cylinder Detail'!E178)</f>
        <v/>
      </c>
      <c r="X176" s="21" t="str">
        <f t="shared" si="41"/>
        <v/>
      </c>
      <c r="Y176" s="21" t="str">
        <f>IF('Cylinder Detail'!S178=0,"",'Cylinder Detail'!S178)</f>
        <v/>
      </c>
      <c r="Z176" s="21" t="str">
        <f>IF('Cylinder Detail'!T178=0,"",'Cylinder Detail'!T178)</f>
        <v/>
      </c>
      <c r="AA176" s="21" t="str">
        <f>IF('Cylinder Detail'!H178=0,"",'Cylinder Detail'!H178)</f>
        <v/>
      </c>
      <c r="AB176" s="21" t="str">
        <f>IF('Cylinder Detail'!I178=0,"",'Cylinder Detail'!I178)</f>
        <v/>
      </c>
      <c r="AC176" s="22" t="str">
        <f>IF('Cylinder Detail'!AB178=0,"",'Cylinder Detail'!AB178)</f>
        <v/>
      </c>
      <c r="AD176" s="25" t="str">
        <f>IF('Sensor Detail'!F178=0,"","=" &amp; 'Sensor Detail'!F178)</f>
        <v/>
      </c>
      <c r="AE176" s="25" t="str">
        <f>IF('Sensor Detail'!H178=0,"",'Sensor Detail'!H178)</f>
        <v/>
      </c>
      <c r="AF176" s="27" t="str">
        <f>IF('Sensor Detail'!G178=0,"","-" &amp; 'Sensor Detail'!G178)</f>
        <v/>
      </c>
      <c r="AG176" s="27" t="str">
        <f>IF('Sensor Detail'!I178=0,"",'Sensor Detail'!I178)</f>
        <v/>
      </c>
      <c r="AH176" s="27" t="str">
        <f>IF('Sensor Detail'!E178=0,"","+" &amp; 'Sensor Detail'!E178)</f>
        <v/>
      </c>
      <c r="AI176" s="27" t="str">
        <f t="shared" si="42"/>
        <v/>
      </c>
      <c r="AJ176" s="27" t="str">
        <f>IF('Sensor Detail'!J178=0,"",'Sensor Detail'!J178)</f>
        <v/>
      </c>
      <c r="AK176" s="27" t="str">
        <f>IF('Sensor Detail'!K178=0,"",'Sensor Detail'!K178)</f>
        <v/>
      </c>
      <c r="AL176" s="27" t="str">
        <f>IF('Sensor Detail'!L178=0,"",'Sensor Detail'!L178)</f>
        <v/>
      </c>
      <c r="AM176" s="27" t="str">
        <f>IF('Sensor Detail'!M178=0,"",'Sensor Detail'!M178)</f>
        <v/>
      </c>
      <c r="AN176" s="27" t="str">
        <f>IF('Sensor Detail'!N178=0,"",'Sensor Detail'!N178)</f>
        <v/>
      </c>
      <c r="AO176" s="27" t="str">
        <f>IF('Sensor Detail'!O178=0,"",'Sensor Detail'!O178)</f>
        <v/>
      </c>
      <c r="AP176" s="15" t="str">
        <f t="shared" si="43"/>
        <v/>
      </c>
      <c r="AQ176" s="15" t="str">
        <f t="shared" si="44"/>
        <v/>
      </c>
    </row>
    <row r="177" spans="1:43">
      <c r="A177" s="13" t="str">
        <f t="shared" si="30"/>
        <v/>
      </c>
      <c r="B177" s="13" t="str">
        <f t="shared" si="31"/>
        <v/>
      </c>
      <c r="C177" s="15" t="str">
        <f t="shared" si="32"/>
        <v/>
      </c>
      <c r="D177" s="15" t="str">
        <f t="shared" si="33"/>
        <v/>
      </c>
      <c r="E177" s="15" t="str">
        <f t="shared" si="34"/>
        <v/>
      </c>
      <c r="F177" s="15" t="str">
        <f t="shared" si="35"/>
        <v/>
      </c>
      <c r="G177" s="15" t="str">
        <f t="shared" si="36"/>
        <v/>
      </c>
      <c r="H177" s="15" t="str">
        <f t="shared" si="37"/>
        <v/>
      </c>
      <c r="I177" s="15" t="str">
        <f t="shared" si="38"/>
        <v/>
      </c>
      <c r="J177" s="15" t="str">
        <f t="shared" si="39"/>
        <v/>
      </c>
      <c r="K177" s="13" t="str">
        <f>IF('Cylinder Detail'!U179=0,"",'Cylinder Detail'!U179)</f>
        <v/>
      </c>
      <c r="L177" s="13" t="str">
        <f>IF('Cylinder Detail'!Z179=0,"",_xlfn.TEXTBEFORE('Cylinder Detail'!Z179, ","))</f>
        <v/>
      </c>
      <c r="M177" s="13" t="str">
        <f t="shared" si="40"/>
        <v/>
      </c>
      <c r="N177" s="17" t="str">
        <f>IF('Cylinder Detail'!V179=0,"",'Cylinder Detail'!V179)</f>
        <v/>
      </c>
      <c r="O177" s="17" t="str">
        <f>IF('Cylinder Detail'!Z179=0,"",_xlfn.TEXTAFTER('Cylinder Detail'!Z179, ", "))</f>
        <v/>
      </c>
      <c r="P177" s="17" t="str">
        <f>IF('Cylinder Detail'!AA179=0,"",'Cylinder Detail'!AA179)</f>
        <v/>
      </c>
      <c r="Q177" s="19" t="str">
        <f>IF('Cylinder Detail'!W179=0,"",'Cylinder Detail'!W179)</f>
        <v/>
      </c>
      <c r="R177" s="19" t="str">
        <f>IF('Cylinder Detail'!Y179=0,"",'Cylinder Detail'!Y179)</f>
        <v/>
      </c>
      <c r="S177" s="21" t="str">
        <f>IF('Cylinder Detail'!X179=0,"",'Cylinder Detail'!X179)</f>
        <v/>
      </c>
      <c r="T177" s="21" t="str">
        <f>IF('Cylinder Detail'!F179=0,"",'Cylinder Detail'!F179)</f>
        <v/>
      </c>
      <c r="U177" s="21" t="str">
        <f>IF('Cylinder Detail'!R179=0,"",'Cylinder Detail'!R179)</f>
        <v/>
      </c>
      <c r="V177" s="21" t="str">
        <f>IF('Cylinder Detail'!Q179=0,"",'Cylinder Detail'!Q179)</f>
        <v/>
      </c>
      <c r="W177" s="21" t="str">
        <f>IF('Cylinder Detail'!E179=0,"","+" &amp; 'Cylinder Detail'!E179)</f>
        <v/>
      </c>
      <c r="X177" s="21" t="str">
        <f t="shared" si="41"/>
        <v/>
      </c>
      <c r="Y177" s="21" t="str">
        <f>IF('Cylinder Detail'!S179=0,"",'Cylinder Detail'!S179)</f>
        <v/>
      </c>
      <c r="Z177" s="21" t="str">
        <f>IF('Cylinder Detail'!T179=0,"",'Cylinder Detail'!T179)</f>
        <v/>
      </c>
      <c r="AA177" s="21" t="str">
        <f>IF('Cylinder Detail'!H179=0,"",'Cylinder Detail'!H179)</f>
        <v/>
      </c>
      <c r="AB177" s="21" t="str">
        <f>IF('Cylinder Detail'!I179=0,"",'Cylinder Detail'!I179)</f>
        <v/>
      </c>
      <c r="AC177" s="22" t="str">
        <f>IF('Cylinder Detail'!AB179=0,"",'Cylinder Detail'!AB179)</f>
        <v/>
      </c>
      <c r="AD177" s="25" t="str">
        <f>IF('Sensor Detail'!F179=0,"","=" &amp; 'Sensor Detail'!F179)</f>
        <v/>
      </c>
      <c r="AE177" s="25" t="str">
        <f>IF('Sensor Detail'!H179=0,"",'Sensor Detail'!H179)</f>
        <v/>
      </c>
      <c r="AF177" s="27" t="str">
        <f>IF('Sensor Detail'!G179=0,"","-" &amp; 'Sensor Detail'!G179)</f>
        <v/>
      </c>
      <c r="AG177" s="27" t="str">
        <f>IF('Sensor Detail'!I179=0,"",'Sensor Detail'!I179)</f>
        <v/>
      </c>
      <c r="AH177" s="27" t="str">
        <f>IF('Sensor Detail'!E179=0,"","+" &amp; 'Sensor Detail'!E179)</f>
        <v/>
      </c>
      <c r="AI177" s="27" t="str">
        <f t="shared" si="42"/>
        <v/>
      </c>
      <c r="AJ177" s="27" t="str">
        <f>IF('Sensor Detail'!J179=0,"",'Sensor Detail'!J179)</f>
        <v/>
      </c>
      <c r="AK177" s="27" t="str">
        <f>IF('Sensor Detail'!K179=0,"",'Sensor Detail'!K179)</f>
        <v/>
      </c>
      <c r="AL177" s="27" t="str">
        <f>IF('Sensor Detail'!L179=0,"",'Sensor Detail'!L179)</f>
        <v/>
      </c>
      <c r="AM177" s="27" t="str">
        <f>IF('Sensor Detail'!M179=0,"",'Sensor Detail'!M179)</f>
        <v/>
      </c>
      <c r="AN177" s="27" t="str">
        <f>IF('Sensor Detail'!N179=0,"",'Sensor Detail'!N179)</f>
        <v/>
      </c>
      <c r="AO177" s="27" t="str">
        <f>IF('Sensor Detail'!O179=0,"",'Sensor Detail'!O179)</f>
        <v/>
      </c>
      <c r="AP177" s="15" t="str">
        <f t="shared" si="43"/>
        <v/>
      </c>
      <c r="AQ177" s="15" t="str">
        <f t="shared" si="44"/>
        <v/>
      </c>
    </row>
    <row r="178" spans="1:43">
      <c r="A178" s="13" t="str">
        <f t="shared" si="30"/>
        <v/>
      </c>
      <c r="B178" s="13" t="str">
        <f t="shared" si="31"/>
        <v/>
      </c>
      <c r="C178" s="15" t="str">
        <f t="shared" si="32"/>
        <v/>
      </c>
      <c r="D178" s="15" t="str">
        <f t="shared" si="33"/>
        <v/>
      </c>
      <c r="E178" s="15" t="str">
        <f t="shared" si="34"/>
        <v/>
      </c>
      <c r="F178" s="15" t="str">
        <f t="shared" si="35"/>
        <v/>
      </c>
      <c r="G178" s="15" t="str">
        <f t="shared" si="36"/>
        <v/>
      </c>
      <c r="H178" s="15" t="str">
        <f t="shared" si="37"/>
        <v/>
      </c>
      <c r="I178" s="15" t="str">
        <f t="shared" si="38"/>
        <v/>
      </c>
      <c r="J178" s="15" t="str">
        <f t="shared" si="39"/>
        <v/>
      </c>
      <c r="K178" s="13" t="str">
        <f>IF('Cylinder Detail'!U180=0,"",'Cylinder Detail'!U180)</f>
        <v/>
      </c>
      <c r="L178" s="13" t="str">
        <f>IF('Cylinder Detail'!Z180=0,"",_xlfn.TEXTBEFORE('Cylinder Detail'!Z180, ","))</f>
        <v/>
      </c>
      <c r="M178" s="13" t="str">
        <f t="shared" si="40"/>
        <v/>
      </c>
      <c r="N178" s="17" t="str">
        <f>IF('Cylinder Detail'!V180=0,"",'Cylinder Detail'!V180)</f>
        <v/>
      </c>
      <c r="O178" s="17" t="str">
        <f>IF('Cylinder Detail'!Z180=0,"",_xlfn.TEXTAFTER('Cylinder Detail'!Z180, ", "))</f>
        <v/>
      </c>
      <c r="P178" s="17" t="str">
        <f>IF('Cylinder Detail'!AA180=0,"",'Cylinder Detail'!AA180)</f>
        <v/>
      </c>
      <c r="Q178" s="19" t="str">
        <f>IF('Cylinder Detail'!W180=0,"",'Cylinder Detail'!W180)</f>
        <v/>
      </c>
      <c r="R178" s="19" t="str">
        <f>IF('Cylinder Detail'!Y180=0,"",'Cylinder Detail'!Y180)</f>
        <v/>
      </c>
      <c r="S178" s="21" t="str">
        <f>IF('Cylinder Detail'!X180=0,"",'Cylinder Detail'!X180)</f>
        <v/>
      </c>
      <c r="T178" s="21" t="str">
        <f>IF('Cylinder Detail'!F180=0,"",'Cylinder Detail'!F180)</f>
        <v/>
      </c>
      <c r="U178" s="21" t="str">
        <f>IF('Cylinder Detail'!R180=0,"",'Cylinder Detail'!R180)</f>
        <v/>
      </c>
      <c r="V178" s="21" t="str">
        <f>IF('Cylinder Detail'!Q180=0,"",'Cylinder Detail'!Q180)</f>
        <v/>
      </c>
      <c r="W178" s="21" t="str">
        <f>IF('Cylinder Detail'!E180=0,"","+" &amp; 'Cylinder Detail'!E180)</f>
        <v/>
      </c>
      <c r="X178" s="21" t="str">
        <f t="shared" si="41"/>
        <v/>
      </c>
      <c r="Y178" s="21" t="str">
        <f>IF('Cylinder Detail'!S180=0,"",'Cylinder Detail'!S180)</f>
        <v/>
      </c>
      <c r="Z178" s="21" t="str">
        <f>IF('Cylinder Detail'!T180=0,"",'Cylinder Detail'!T180)</f>
        <v/>
      </c>
      <c r="AA178" s="21" t="str">
        <f>IF('Cylinder Detail'!H180=0,"",'Cylinder Detail'!H180)</f>
        <v/>
      </c>
      <c r="AB178" s="21" t="str">
        <f>IF('Cylinder Detail'!I180=0,"",'Cylinder Detail'!I180)</f>
        <v/>
      </c>
      <c r="AC178" s="22" t="str">
        <f>IF('Cylinder Detail'!AB180=0,"",'Cylinder Detail'!AB180)</f>
        <v/>
      </c>
      <c r="AD178" s="25" t="str">
        <f>IF('Sensor Detail'!F180=0,"","=" &amp; 'Sensor Detail'!F180)</f>
        <v/>
      </c>
      <c r="AE178" s="25" t="str">
        <f>IF('Sensor Detail'!H180=0,"",'Sensor Detail'!H180)</f>
        <v/>
      </c>
      <c r="AF178" s="27" t="str">
        <f>IF('Sensor Detail'!G180=0,"","-" &amp; 'Sensor Detail'!G180)</f>
        <v/>
      </c>
      <c r="AG178" s="27" t="str">
        <f>IF('Sensor Detail'!I180=0,"",'Sensor Detail'!I180)</f>
        <v/>
      </c>
      <c r="AH178" s="27" t="str">
        <f>IF('Sensor Detail'!E180=0,"","+" &amp; 'Sensor Detail'!E180)</f>
        <v/>
      </c>
      <c r="AI178" s="27" t="str">
        <f t="shared" si="42"/>
        <v/>
      </c>
      <c r="AJ178" s="27" t="str">
        <f>IF('Sensor Detail'!J180=0,"",'Sensor Detail'!J180)</f>
        <v/>
      </c>
      <c r="AK178" s="27" t="str">
        <f>IF('Sensor Detail'!K180=0,"",'Sensor Detail'!K180)</f>
        <v/>
      </c>
      <c r="AL178" s="27" t="str">
        <f>IF('Sensor Detail'!L180=0,"",'Sensor Detail'!L180)</f>
        <v/>
      </c>
      <c r="AM178" s="27" t="str">
        <f>IF('Sensor Detail'!M180=0,"",'Sensor Detail'!M180)</f>
        <v/>
      </c>
      <c r="AN178" s="27" t="str">
        <f>IF('Sensor Detail'!N180=0,"",'Sensor Detail'!N180)</f>
        <v/>
      </c>
      <c r="AO178" s="27" t="str">
        <f>IF('Sensor Detail'!O180=0,"",'Sensor Detail'!O180)</f>
        <v/>
      </c>
      <c r="AP178" s="15" t="str">
        <f t="shared" si="43"/>
        <v/>
      </c>
      <c r="AQ178" s="15" t="str">
        <f t="shared" si="44"/>
        <v/>
      </c>
    </row>
    <row r="179" spans="1:43">
      <c r="A179" s="13" t="str">
        <f t="shared" si="30"/>
        <v/>
      </c>
      <c r="B179" s="13" t="str">
        <f t="shared" si="31"/>
        <v/>
      </c>
      <c r="C179" s="15" t="str">
        <f t="shared" si="32"/>
        <v/>
      </c>
      <c r="D179" s="15" t="str">
        <f t="shared" si="33"/>
        <v/>
      </c>
      <c r="E179" s="15" t="str">
        <f t="shared" si="34"/>
        <v/>
      </c>
      <c r="F179" s="15" t="str">
        <f t="shared" si="35"/>
        <v/>
      </c>
      <c r="G179" s="15" t="str">
        <f t="shared" si="36"/>
        <v/>
      </c>
      <c r="H179" s="15" t="str">
        <f t="shared" si="37"/>
        <v/>
      </c>
      <c r="I179" s="15" t="str">
        <f t="shared" si="38"/>
        <v/>
      </c>
      <c r="J179" s="15" t="str">
        <f t="shared" si="39"/>
        <v/>
      </c>
      <c r="K179" s="13" t="str">
        <f>IF('Cylinder Detail'!U181=0,"",'Cylinder Detail'!U181)</f>
        <v/>
      </c>
      <c r="L179" s="13" t="str">
        <f>IF('Cylinder Detail'!Z181=0,"",_xlfn.TEXTBEFORE('Cylinder Detail'!Z181, ","))</f>
        <v/>
      </c>
      <c r="M179" s="13" t="str">
        <f t="shared" si="40"/>
        <v/>
      </c>
      <c r="N179" s="17" t="str">
        <f>IF('Cylinder Detail'!V181=0,"",'Cylinder Detail'!V181)</f>
        <v/>
      </c>
      <c r="O179" s="17" t="str">
        <f>IF('Cylinder Detail'!Z181=0,"",_xlfn.TEXTAFTER('Cylinder Detail'!Z181, ", "))</f>
        <v/>
      </c>
      <c r="P179" s="17" t="str">
        <f>IF('Cylinder Detail'!AA181=0,"",'Cylinder Detail'!AA181)</f>
        <v/>
      </c>
      <c r="Q179" s="19" t="str">
        <f>IF('Cylinder Detail'!W181=0,"",'Cylinder Detail'!W181)</f>
        <v/>
      </c>
      <c r="R179" s="19" t="str">
        <f>IF('Cylinder Detail'!Y181=0,"",'Cylinder Detail'!Y181)</f>
        <v/>
      </c>
      <c r="S179" s="21" t="str">
        <f>IF('Cylinder Detail'!X181=0,"",'Cylinder Detail'!X181)</f>
        <v/>
      </c>
      <c r="T179" s="21" t="str">
        <f>IF('Cylinder Detail'!F181=0,"",'Cylinder Detail'!F181)</f>
        <v/>
      </c>
      <c r="U179" s="21" t="str">
        <f>IF('Cylinder Detail'!R181=0,"",'Cylinder Detail'!R181)</f>
        <v/>
      </c>
      <c r="V179" s="21" t="str">
        <f>IF('Cylinder Detail'!Q181=0,"",'Cylinder Detail'!Q181)</f>
        <v/>
      </c>
      <c r="W179" s="21" t="str">
        <f>IF('Cylinder Detail'!E181=0,"","+" &amp; 'Cylinder Detail'!E181)</f>
        <v/>
      </c>
      <c r="X179" s="21" t="str">
        <f t="shared" si="41"/>
        <v/>
      </c>
      <c r="Y179" s="21" t="str">
        <f>IF('Cylinder Detail'!S181=0,"",'Cylinder Detail'!S181)</f>
        <v/>
      </c>
      <c r="Z179" s="21" t="str">
        <f>IF('Cylinder Detail'!T181=0,"",'Cylinder Detail'!T181)</f>
        <v/>
      </c>
      <c r="AA179" s="21" t="str">
        <f>IF('Cylinder Detail'!H181=0,"",'Cylinder Detail'!H181)</f>
        <v/>
      </c>
      <c r="AB179" s="21" t="str">
        <f>IF('Cylinder Detail'!I181=0,"",'Cylinder Detail'!I181)</f>
        <v/>
      </c>
      <c r="AC179" s="22" t="str">
        <f>IF('Cylinder Detail'!AB181=0,"",'Cylinder Detail'!AB181)</f>
        <v/>
      </c>
      <c r="AD179" s="25" t="str">
        <f>IF('Sensor Detail'!F181=0,"","=" &amp; 'Sensor Detail'!F181)</f>
        <v/>
      </c>
      <c r="AE179" s="25" t="str">
        <f>IF('Sensor Detail'!H181=0,"",'Sensor Detail'!H181)</f>
        <v/>
      </c>
      <c r="AF179" s="27" t="str">
        <f>IF('Sensor Detail'!G181=0,"","-" &amp; 'Sensor Detail'!G181)</f>
        <v/>
      </c>
      <c r="AG179" s="27" t="str">
        <f>IF('Sensor Detail'!I181=0,"",'Sensor Detail'!I181)</f>
        <v/>
      </c>
      <c r="AH179" s="27" t="str">
        <f>IF('Sensor Detail'!E181=0,"","+" &amp; 'Sensor Detail'!E181)</f>
        <v/>
      </c>
      <c r="AI179" s="27" t="str">
        <f t="shared" si="42"/>
        <v/>
      </c>
      <c r="AJ179" s="27" t="str">
        <f>IF('Sensor Detail'!J181=0,"",'Sensor Detail'!J181)</f>
        <v/>
      </c>
      <c r="AK179" s="27" t="str">
        <f>IF('Sensor Detail'!K181=0,"",'Sensor Detail'!K181)</f>
        <v/>
      </c>
      <c r="AL179" s="27" t="str">
        <f>IF('Sensor Detail'!L181=0,"",'Sensor Detail'!L181)</f>
        <v/>
      </c>
      <c r="AM179" s="27" t="str">
        <f>IF('Sensor Detail'!M181=0,"",'Sensor Detail'!M181)</f>
        <v/>
      </c>
      <c r="AN179" s="27" t="str">
        <f>IF('Sensor Detail'!N181=0,"",'Sensor Detail'!N181)</f>
        <v/>
      </c>
      <c r="AO179" s="27" t="str">
        <f>IF('Sensor Detail'!O181=0,"",'Sensor Detail'!O181)</f>
        <v/>
      </c>
      <c r="AP179" s="15" t="str">
        <f t="shared" si="43"/>
        <v/>
      </c>
      <c r="AQ179" s="15" t="str">
        <f t="shared" si="44"/>
        <v/>
      </c>
    </row>
    <row r="180" spans="1:43">
      <c r="A180" s="13" t="str">
        <f t="shared" si="30"/>
        <v/>
      </c>
      <c r="B180" s="13" t="str">
        <f t="shared" si="31"/>
        <v/>
      </c>
      <c r="C180" s="15" t="str">
        <f t="shared" si="32"/>
        <v/>
      </c>
      <c r="D180" s="15" t="str">
        <f t="shared" si="33"/>
        <v/>
      </c>
      <c r="E180" s="15" t="str">
        <f t="shared" si="34"/>
        <v/>
      </c>
      <c r="F180" s="15" t="str">
        <f t="shared" si="35"/>
        <v/>
      </c>
      <c r="G180" s="15" t="str">
        <f t="shared" si="36"/>
        <v/>
      </c>
      <c r="H180" s="15" t="str">
        <f t="shared" si="37"/>
        <v/>
      </c>
      <c r="I180" s="15" t="str">
        <f t="shared" si="38"/>
        <v/>
      </c>
      <c r="J180" s="15" t="str">
        <f t="shared" si="39"/>
        <v/>
      </c>
      <c r="K180" s="13" t="str">
        <f>IF('Cylinder Detail'!U182=0,"",'Cylinder Detail'!U182)</f>
        <v/>
      </c>
      <c r="L180" s="13" t="str">
        <f>IF('Cylinder Detail'!Z182=0,"",_xlfn.TEXTBEFORE('Cylinder Detail'!Z182, ","))</f>
        <v/>
      </c>
      <c r="M180" s="13" t="str">
        <f t="shared" si="40"/>
        <v/>
      </c>
      <c r="N180" s="17" t="str">
        <f>IF('Cylinder Detail'!V182=0,"",'Cylinder Detail'!V182)</f>
        <v/>
      </c>
      <c r="O180" s="17" t="str">
        <f>IF('Cylinder Detail'!Z182=0,"",_xlfn.TEXTAFTER('Cylinder Detail'!Z182, ", "))</f>
        <v/>
      </c>
      <c r="P180" s="17" t="str">
        <f>IF('Cylinder Detail'!AA182=0,"",'Cylinder Detail'!AA182)</f>
        <v/>
      </c>
      <c r="Q180" s="19" t="str">
        <f>IF('Cylinder Detail'!W182=0,"",'Cylinder Detail'!W182)</f>
        <v/>
      </c>
      <c r="R180" s="19" t="str">
        <f>IF('Cylinder Detail'!Y182=0,"",'Cylinder Detail'!Y182)</f>
        <v/>
      </c>
      <c r="S180" s="21" t="str">
        <f>IF('Cylinder Detail'!X182=0,"",'Cylinder Detail'!X182)</f>
        <v/>
      </c>
      <c r="T180" s="21" t="str">
        <f>IF('Cylinder Detail'!F182=0,"",'Cylinder Detail'!F182)</f>
        <v/>
      </c>
      <c r="U180" s="21" t="str">
        <f>IF('Cylinder Detail'!R182=0,"",'Cylinder Detail'!R182)</f>
        <v/>
      </c>
      <c r="V180" s="21" t="str">
        <f>IF('Cylinder Detail'!Q182=0,"",'Cylinder Detail'!Q182)</f>
        <v/>
      </c>
      <c r="W180" s="21" t="str">
        <f>IF('Cylinder Detail'!E182=0,"","+" &amp; 'Cylinder Detail'!E182)</f>
        <v/>
      </c>
      <c r="X180" s="21" t="str">
        <f t="shared" si="41"/>
        <v/>
      </c>
      <c r="Y180" s="21" t="str">
        <f>IF('Cylinder Detail'!S182=0,"",'Cylinder Detail'!S182)</f>
        <v/>
      </c>
      <c r="Z180" s="21" t="str">
        <f>IF('Cylinder Detail'!T182=0,"",'Cylinder Detail'!T182)</f>
        <v/>
      </c>
      <c r="AA180" s="21" t="str">
        <f>IF('Cylinder Detail'!H182=0,"",'Cylinder Detail'!H182)</f>
        <v/>
      </c>
      <c r="AB180" s="21" t="str">
        <f>IF('Cylinder Detail'!I182=0,"",'Cylinder Detail'!I182)</f>
        <v/>
      </c>
      <c r="AC180" s="22" t="str">
        <f>IF('Cylinder Detail'!AB182=0,"",'Cylinder Detail'!AB182)</f>
        <v/>
      </c>
      <c r="AD180" s="25" t="str">
        <f>IF('Sensor Detail'!F182=0,"","=" &amp; 'Sensor Detail'!F182)</f>
        <v/>
      </c>
      <c r="AE180" s="25" t="str">
        <f>IF('Sensor Detail'!H182=0,"",'Sensor Detail'!H182)</f>
        <v/>
      </c>
      <c r="AF180" s="27" t="str">
        <f>IF('Sensor Detail'!G182=0,"","-" &amp; 'Sensor Detail'!G182)</f>
        <v/>
      </c>
      <c r="AG180" s="27" t="str">
        <f>IF('Sensor Detail'!I182=0,"",'Sensor Detail'!I182)</f>
        <v/>
      </c>
      <c r="AH180" s="27" t="str">
        <f>IF('Sensor Detail'!E182=0,"","+" &amp; 'Sensor Detail'!E182)</f>
        <v/>
      </c>
      <c r="AI180" s="27" t="str">
        <f t="shared" si="42"/>
        <v/>
      </c>
      <c r="AJ180" s="27" t="str">
        <f>IF('Sensor Detail'!J182=0,"",'Sensor Detail'!J182)</f>
        <v/>
      </c>
      <c r="AK180" s="27" t="str">
        <f>IF('Sensor Detail'!K182=0,"",'Sensor Detail'!K182)</f>
        <v/>
      </c>
      <c r="AL180" s="27" t="str">
        <f>IF('Sensor Detail'!L182=0,"",'Sensor Detail'!L182)</f>
        <v/>
      </c>
      <c r="AM180" s="27" t="str">
        <f>IF('Sensor Detail'!M182=0,"",'Sensor Detail'!M182)</f>
        <v/>
      </c>
      <c r="AN180" s="27" t="str">
        <f>IF('Sensor Detail'!N182=0,"",'Sensor Detail'!N182)</f>
        <v/>
      </c>
      <c r="AO180" s="27" t="str">
        <f>IF('Sensor Detail'!O182=0,"",'Sensor Detail'!O182)</f>
        <v/>
      </c>
      <c r="AP180" s="15" t="str">
        <f t="shared" si="43"/>
        <v/>
      </c>
      <c r="AQ180" s="15" t="str">
        <f t="shared" si="44"/>
        <v/>
      </c>
    </row>
    <row r="181" spans="1:43">
      <c r="A181" s="13" t="str">
        <f t="shared" si="30"/>
        <v/>
      </c>
      <c r="B181" s="13" t="str">
        <f t="shared" si="31"/>
        <v/>
      </c>
      <c r="C181" s="15" t="str">
        <f t="shared" si="32"/>
        <v/>
      </c>
      <c r="D181" s="15" t="str">
        <f t="shared" si="33"/>
        <v/>
      </c>
      <c r="E181" s="15" t="str">
        <f t="shared" si="34"/>
        <v/>
      </c>
      <c r="F181" s="15" t="str">
        <f t="shared" si="35"/>
        <v/>
      </c>
      <c r="G181" s="15" t="str">
        <f t="shared" si="36"/>
        <v/>
      </c>
      <c r="H181" s="15" t="str">
        <f t="shared" si="37"/>
        <v/>
      </c>
      <c r="I181" s="15" t="str">
        <f t="shared" si="38"/>
        <v/>
      </c>
      <c r="J181" s="15" t="str">
        <f t="shared" si="39"/>
        <v/>
      </c>
      <c r="K181" s="13" t="str">
        <f>IF('Cylinder Detail'!U183=0,"",'Cylinder Detail'!U183)</f>
        <v/>
      </c>
      <c r="L181" s="13" t="str">
        <f>IF('Cylinder Detail'!Z183=0,"",_xlfn.TEXTBEFORE('Cylinder Detail'!Z183, ","))</f>
        <v/>
      </c>
      <c r="M181" s="13" t="str">
        <f t="shared" si="40"/>
        <v/>
      </c>
      <c r="N181" s="17" t="str">
        <f>IF('Cylinder Detail'!V183=0,"",'Cylinder Detail'!V183)</f>
        <v/>
      </c>
      <c r="O181" s="17" t="str">
        <f>IF('Cylinder Detail'!Z183=0,"",_xlfn.TEXTAFTER('Cylinder Detail'!Z183, ", "))</f>
        <v/>
      </c>
      <c r="P181" s="17" t="str">
        <f>IF('Cylinder Detail'!AA183=0,"",'Cylinder Detail'!AA183)</f>
        <v/>
      </c>
      <c r="Q181" s="19" t="str">
        <f>IF('Cylinder Detail'!W183=0,"",'Cylinder Detail'!W183)</f>
        <v/>
      </c>
      <c r="R181" s="19" t="str">
        <f>IF('Cylinder Detail'!Y183=0,"",'Cylinder Detail'!Y183)</f>
        <v/>
      </c>
      <c r="S181" s="21" t="str">
        <f>IF('Cylinder Detail'!X183=0,"",'Cylinder Detail'!X183)</f>
        <v/>
      </c>
      <c r="T181" s="21" t="str">
        <f>IF('Cylinder Detail'!F183=0,"",'Cylinder Detail'!F183)</f>
        <v/>
      </c>
      <c r="U181" s="21" t="str">
        <f>IF('Cylinder Detail'!R183=0,"",'Cylinder Detail'!R183)</f>
        <v/>
      </c>
      <c r="V181" s="21" t="str">
        <f>IF('Cylinder Detail'!Q183=0,"",'Cylinder Detail'!Q183)</f>
        <v/>
      </c>
      <c r="W181" s="21" t="str">
        <f>IF('Cylinder Detail'!E183=0,"","+" &amp; 'Cylinder Detail'!E183)</f>
        <v/>
      </c>
      <c r="X181" s="21" t="str">
        <f t="shared" si="41"/>
        <v/>
      </c>
      <c r="Y181" s="21" t="str">
        <f>IF('Cylinder Detail'!S183=0,"",'Cylinder Detail'!S183)</f>
        <v/>
      </c>
      <c r="Z181" s="21" t="str">
        <f>IF('Cylinder Detail'!T183=0,"",'Cylinder Detail'!T183)</f>
        <v/>
      </c>
      <c r="AA181" s="21" t="str">
        <f>IF('Cylinder Detail'!H183=0,"",'Cylinder Detail'!H183)</f>
        <v/>
      </c>
      <c r="AB181" s="21" t="str">
        <f>IF('Cylinder Detail'!I183=0,"",'Cylinder Detail'!I183)</f>
        <v/>
      </c>
      <c r="AC181" s="22" t="str">
        <f>IF('Cylinder Detail'!AB183=0,"",'Cylinder Detail'!AB183)</f>
        <v/>
      </c>
      <c r="AD181" s="25" t="str">
        <f>IF('Sensor Detail'!F183=0,"","=" &amp; 'Sensor Detail'!F183)</f>
        <v/>
      </c>
      <c r="AE181" s="25" t="str">
        <f>IF('Sensor Detail'!H183=0,"",'Sensor Detail'!H183)</f>
        <v/>
      </c>
      <c r="AF181" s="27" t="str">
        <f>IF('Sensor Detail'!G183=0,"","-" &amp; 'Sensor Detail'!G183)</f>
        <v/>
      </c>
      <c r="AG181" s="27" t="str">
        <f>IF('Sensor Detail'!I183=0,"",'Sensor Detail'!I183)</f>
        <v/>
      </c>
      <c r="AH181" s="27" t="str">
        <f>IF('Sensor Detail'!E183=0,"","+" &amp; 'Sensor Detail'!E183)</f>
        <v/>
      </c>
      <c r="AI181" s="27" t="str">
        <f t="shared" si="42"/>
        <v/>
      </c>
      <c r="AJ181" s="27" t="str">
        <f>IF('Sensor Detail'!J183=0,"",'Sensor Detail'!J183)</f>
        <v/>
      </c>
      <c r="AK181" s="27" t="str">
        <f>IF('Sensor Detail'!K183=0,"",'Sensor Detail'!K183)</f>
        <v/>
      </c>
      <c r="AL181" s="27" t="str">
        <f>IF('Sensor Detail'!L183=0,"",'Sensor Detail'!L183)</f>
        <v/>
      </c>
      <c r="AM181" s="27" t="str">
        <f>IF('Sensor Detail'!M183=0,"",'Sensor Detail'!M183)</f>
        <v/>
      </c>
      <c r="AN181" s="27" t="str">
        <f>IF('Sensor Detail'!N183=0,"",'Sensor Detail'!N183)</f>
        <v/>
      </c>
      <c r="AO181" s="27" t="str">
        <f>IF('Sensor Detail'!O183=0,"",'Sensor Detail'!O183)</f>
        <v/>
      </c>
      <c r="AP181" s="15" t="str">
        <f t="shared" si="43"/>
        <v/>
      </c>
      <c r="AQ181" s="15" t="str">
        <f t="shared" si="44"/>
        <v/>
      </c>
    </row>
    <row r="182" spans="1:43">
      <c r="A182" s="13" t="str">
        <f t="shared" si="30"/>
        <v/>
      </c>
      <c r="B182" s="13" t="str">
        <f t="shared" si="31"/>
        <v/>
      </c>
      <c r="C182" s="15" t="str">
        <f t="shared" si="32"/>
        <v/>
      </c>
      <c r="D182" s="15" t="str">
        <f t="shared" si="33"/>
        <v/>
      </c>
      <c r="E182" s="15" t="str">
        <f t="shared" si="34"/>
        <v/>
      </c>
      <c r="F182" s="15" t="str">
        <f t="shared" si="35"/>
        <v/>
      </c>
      <c r="G182" s="15" t="str">
        <f t="shared" si="36"/>
        <v/>
      </c>
      <c r="H182" s="15" t="str">
        <f t="shared" si="37"/>
        <v/>
      </c>
      <c r="I182" s="15" t="str">
        <f t="shared" si="38"/>
        <v/>
      </c>
      <c r="J182" s="15" t="str">
        <f t="shared" si="39"/>
        <v/>
      </c>
      <c r="K182" s="13" t="str">
        <f>IF('Cylinder Detail'!U184=0,"",'Cylinder Detail'!U184)</f>
        <v/>
      </c>
      <c r="L182" s="13" t="str">
        <f>IF('Cylinder Detail'!Z184=0,"",_xlfn.TEXTBEFORE('Cylinder Detail'!Z184, ","))</f>
        <v/>
      </c>
      <c r="M182" s="13" t="str">
        <f t="shared" si="40"/>
        <v/>
      </c>
      <c r="N182" s="17" t="str">
        <f>IF('Cylinder Detail'!V184=0,"",'Cylinder Detail'!V184)</f>
        <v/>
      </c>
      <c r="O182" s="17" t="str">
        <f>IF('Cylinder Detail'!Z184=0,"",_xlfn.TEXTAFTER('Cylinder Detail'!Z184, ", "))</f>
        <v/>
      </c>
      <c r="P182" s="17" t="str">
        <f>IF('Cylinder Detail'!AA184=0,"",'Cylinder Detail'!AA184)</f>
        <v/>
      </c>
      <c r="Q182" s="19" t="str">
        <f>IF('Cylinder Detail'!W184=0,"",'Cylinder Detail'!W184)</f>
        <v/>
      </c>
      <c r="R182" s="19" t="str">
        <f>IF('Cylinder Detail'!Y184=0,"",'Cylinder Detail'!Y184)</f>
        <v/>
      </c>
      <c r="S182" s="21" t="str">
        <f>IF('Cylinder Detail'!X184=0,"",'Cylinder Detail'!X184)</f>
        <v/>
      </c>
      <c r="T182" s="21" t="str">
        <f>IF('Cylinder Detail'!F184=0,"",'Cylinder Detail'!F184)</f>
        <v/>
      </c>
      <c r="U182" s="21" t="str">
        <f>IF('Cylinder Detail'!R184=0,"",'Cylinder Detail'!R184)</f>
        <v/>
      </c>
      <c r="V182" s="21" t="str">
        <f>IF('Cylinder Detail'!Q184=0,"",'Cylinder Detail'!Q184)</f>
        <v/>
      </c>
      <c r="W182" s="21" t="str">
        <f>IF('Cylinder Detail'!E184=0,"","+" &amp; 'Cylinder Detail'!E184)</f>
        <v/>
      </c>
      <c r="X182" s="21" t="str">
        <f t="shared" si="41"/>
        <v/>
      </c>
      <c r="Y182" s="21" t="str">
        <f>IF('Cylinder Detail'!S184=0,"",'Cylinder Detail'!S184)</f>
        <v/>
      </c>
      <c r="Z182" s="21" t="str">
        <f>IF('Cylinder Detail'!T184=0,"",'Cylinder Detail'!T184)</f>
        <v/>
      </c>
      <c r="AA182" s="21" t="str">
        <f>IF('Cylinder Detail'!H184=0,"",'Cylinder Detail'!H184)</f>
        <v/>
      </c>
      <c r="AB182" s="21" t="str">
        <f>IF('Cylinder Detail'!I184=0,"",'Cylinder Detail'!I184)</f>
        <v/>
      </c>
      <c r="AC182" s="22" t="str">
        <f>IF('Cylinder Detail'!AB184=0,"",'Cylinder Detail'!AB184)</f>
        <v/>
      </c>
      <c r="AD182" s="25" t="str">
        <f>IF('Sensor Detail'!F184=0,"","=" &amp; 'Sensor Detail'!F184)</f>
        <v/>
      </c>
      <c r="AE182" s="25" t="str">
        <f>IF('Sensor Detail'!H184=0,"",'Sensor Detail'!H184)</f>
        <v/>
      </c>
      <c r="AF182" s="27" t="str">
        <f>IF('Sensor Detail'!G184=0,"","-" &amp; 'Sensor Detail'!G184)</f>
        <v/>
      </c>
      <c r="AG182" s="27" t="str">
        <f>IF('Sensor Detail'!I184=0,"",'Sensor Detail'!I184)</f>
        <v/>
      </c>
      <c r="AH182" s="27" t="str">
        <f>IF('Sensor Detail'!E184=0,"","+" &amp; 'Sensor Detail'!E184)</f>
        <v/>
      </c>
      <c r="AI182" s="27" t="str">
        <f t="shared" si="42"/>
        <v/>
      </c>
      <c r="AJ182" s="27" t="str">
        <f>IF('Sensor Detail'!J184=0,"",'Sensor Detail'!J184)</f>
        <v/>
      </c>
      <c r="AK182" s="27" t="str">
        <f>IF('Sensor Detail'!K184=0,"",'Sensor Detail'!K184)</f>
        <v/>
      </c>
      <c r="AL182" s="27" t="str">
        <f>IF('Sensor Detail'!L184=0,"",'Sensor Detail'!L184)</f>
        <v/>
      </c>
      <c r="AM182" s="27" t="str">
        <f>IF('Sensor Detail'!M184=0,"",'Sensor Detail'!M184)</f>
        <v/>
      </c>
      <c r="AN182" s="27" t="str">
        <f>IF('Sensor Detail'!N184=0,"",'Sensor Detail'!N184)</f>
        <v/>
      </c>
      <c r="AO182" s="27" t="str">
        <f>IF('Sensor Detail'!O184=0,"",'Sensor Detail'!O184)</f>
        <v/>
      </c>
      <c r="AP182" s="15" t="str">
        <f t="shared" si="43"/>
        <v/>
      </c>
      <c r="AQ182" s="15" t="str">
        <f t="shared" si="44"/>
        <v/>
      </c>
    </row>
    <row r="183" spans="1:43">
      <c r="A183" s="13" t="str">
        <f t="shared" si="30"/>
        <v/>
      </c>
      <c r="B183" s="13" t="str">
        <f t="shared" si="31"/>
        <v/>
      </c>
      <c r="C183" s="15" t="str">
        <f t="shared" si="32"/>
        <v/>
      </c>
      <c r="D183" s="15" t="str">
        <f t="shared" si="33"/>
        <v/>
      </c>
      <c r="E183" s="15" t="str">
        <f t="shared" si="34"/>
        <v/>
      </c>
      <c r="F183" s="15" t="str">
        <f t="shared" si="35"/>
        <v/>
      </c>
      <c r="G183" s="15" t="str">
        <f t="shared" si="36"/>
        <v/>
      </c>
      <c r="H183" s="15" t="str">
        <f t="shared" si="37"/>
        <v/>
      </c>
      <c r="I183" s="15" t="str">
        <f t="shared" si="38"/>
        <v/>
      </c>
      <c r="J183" s="15" t="str">
        <f t="shared" si="39"/>
        <v/>
      </c>
      <c r="K183" s="13" t="str">
        <f>IF('Cylinder Detail'!U185=0,"",'Cylinder Detail'!U185)</f>
        <v/>
      </c>
      <c r="L183" s="13" t="str">
        <f>IF('Cylinder Detail'!Z185=0,"",_xlfn.TEXTBEFORE('Cylinder Detail'!Z185, ","))</f>
        <v/>
      </c>
      <c r="M183" s="13" t="str">
        <f t="shared" si="40"/>
        <v/>
      </c>
      <c r="N183" s="17" t="str">
        <f>IF('Cylinder Detail'!V185=0,"",'Cylinder Detail'!V185)</f>
        <v/>
      </c>
      <c r="O183" s="17" t="str">
        <f>IF('Cylinder Detail'!Z185=0,"",_xlfn.TEXTAFTER('Cylinder Detail'!Z185, ", "))</f>
        <v/>
      </c>
      <c r="P183" s="17" t="str">
        <f>IF('Cylinder Detail'!AA185=0,"",'Cylinder Detail'!AA185)</f>
        <v/>
      </c>
      <c r="Q183" s="19" t="str">
        <f>IF('Cylinder Detail'!W185=0,"",'Cylinder Detail'!W185)</f>
        <v/>
      </c>
      <c r="R183" s="19" t="str">
        <f>IF('Cylinder Detail'!Y185=0,"",'Cylinder Detail'!Y185)</f>
        <v/>
      </c>
      <c r="S183" s="21" t="str">
        <f>IF('Cylinder Detail'!X185=0,"",'Cylinder Detail'!X185)</f>
        <v/>
      </c>
      <c r="T183" s="21" t="str">
        <f>IF('Cylinder Detail'!F185=0,"",'Cylinder Detail'!F185)</f>
        <v/>
      </c>
      <c r="U183" s="21" t="str">
        <f>IF('Cylinder Detail'!R185=0,"",'Cylinder Detail'!R185)</f>
        <v/>
      </c>
      <c r="V183" s="21" t="str">
        <f>IF('Cylinder Detail'!Q185=0,"",'Cylinder Detail'!Q185)</f>
        <v/>
      </c>
      <c r="W183" s="21" t="str">
        <f>IF('Cylinder Detail'!E185=0,"","+" &amp; 'Cylinder Detail'!E185)</f>
        <v/>
      </c>
      <c r="X183" s="21" t="str">
        <f t="shared" si="41"/>
        <v/>
      </c>
      <c r="Y183" s="21" t="str">
        <f>IF('Cylinder Detail'!S185=0,"",'Cylinder Detail'!S185)</f>
        <v/>
      </c>
      <c r="Z183" s="21" t="str">
        <f>IF('Cylinder Detail'!T185=0,"",'Cylinder Detail'!T185)</f>
        <v/>
      </c>
      <c r="AA183" s="21" t="str">
        <f>IF('Cylinder Detail'!H185=0,"",'Cylinder Detail'!H185)</f>
        <v/>
      </c>
      <c r="AB183" s="21" t="str">
        <f>IF('Cylinder Detail'!I185=0,"",'Cylinder Detail'!I185)</f>
        <v/>
      </c>
      <c r="AC183" s="22" t="str">
        <f>IF('Cylinder Detail'!AB185=0,"",'Cylinder Detail'!AB185)</f>
        <v/>
      </c>
      <c r="AD183" s="25" t="str">
        <f>IF('Sensor Detail'!F185=0,"","=" &amp; 'Sensor Detail'!F185)</f>
        <v/>
      </c>
      <c r="AE183" s="25" t="str">
        <f>IF('Sensor Detail'!H185=0,"",'Sensor Detail'!H185)</f>
        <v/>
      </c>
      <c r="AF183" s="27" t="str">
        <f>IF('Sensor Detail'!G185=0,"","-" &amp; 'Sensor Detail'!G185)</f>
        <v/>
      </c>
      <c r="AG183" s="27" t="str">
        <f>IF('Sensor Detail'!I185=0,"",'Sensor Detail'!I185)</f>
        <v/>
      </c>
      <c r="AH183" s="27" t="str">
        <f>IF('Sensor Detail'!E185=0,"","+" &amp; 'Sensor Detail'!E185)</f>
        <v/>
      </c>
      <c r="AI183" s="27" t="str">
        <f t="shared" si="42"/>
        <v/>
      </c>
      <c r="AJ183" s="27" t="str">
        <f>IF('Sensor Detail'!J185=0,"",'Sensor Detail'!J185)</f>
        <v/>
      </c>
      <c r="AK183" s="27" t="str">
        <f>IF('Sensor Detail'!K185=0,"",'Sensor Detail'!K185)</f>
        <v/>
      </c>
      <c r="AL183" s="27" t="str">
        <f>IF('Sensor Detail'!L185=0,"",'Sensor Detail'!L185)</f>
        <v/>
      </c>
      <c r="AM183" s="27" t="str">
        <f>IF('Sensor Detail'!M185=0,"",'Sensor Detail'!M185)</f>
        <v/>
      </c>
      <c r="AN183" s="27" t="str">
        <f>IF('Sensor Detail'!N185=0,"",'Sensor Detail'!N185)</f>
        <v/>
      </c>
      <c r="AO183" s="27" t="str">
        <f>IF('Sensor Detail'!O185=0,"",'Sensor Detail'!O185)</f>
        <v/>
      </c>
      <c r="AP183" s="15" t="str">
        <f t="shared" si="43"/>
        <v/>
      </c>
      <c r="AQ183" s="15" t="str">
        <f t="shared" si="44"/>
        <v/>
      </c>
    </row>
    <row r="184" spans="1:43">
      <c r="A184" s="13" t="str">
        <f t="shared" si="30"/>
        <v/>
      </c>
      <c r="B184" s="13" t="str">
        <f t="shared" si="31"/>
        <v/>
      </c>
      <c r="C184" s="15" t="str">
        <f t="shared" si="32"/>
        <v/>
      </c>
      <c r="D184" s="15" t="str">
        <f t="shared" si="33"/>
        <v/>
      </c>
      <c r="E184" s="15" t="str">
        <f t="shared" si="34"/>
        <v/>
      </c>
      <c r="F184" s="15" t="str">
        <f t="shared" si="35"/>
        <v/>
      </c>
      <c r="G184" s="15" t="str">
        <f t="shared" si="36"/>
        <v/>
      </c>
      <c r="H184" s="15" t="str">
        <f t="shared" si="37"/>
        <v/>
      </c>
      <c r="I184" s="15" t="str">
        <f t="shared" si="38"/>
        <v/>
      </c>
      <c r="J184" s="15" t="str">
        <f t="shared" si="39"/>
        <v/>
      </c>
      <c r="K184" s="13" t="str">
        <f>IF('Cylinder Detail'!U186=0,"",'Cylinder Detail'!U186)</f>
        <v/>
      </c>
      <c r="L184" s="13" t="str">
        <f>IF('Cylinder Detail'!Z186=0,"",_xlfn.TEXTBEFORE('Cylinder Detail'!Z186, ","))</f>
        <v/>
      </c>
      <c r="M184" s="13" t="str">
        <f t="shared" si="40"/>
        <v/>
      </c>
      <c r="N184" s="17" t="str">
        <f>IF('Cylinder Detail'!V186=0,"",'Cylinder Detail'!V186)</f>
        <v/>
      </c>
      <c r="O184" s="17" t="str">
        <f>IF('Cylinder Detail'!Z186=0,"",_xlfn.TEXTAFTER('Cylinder Detail'!Z186, ", "))</f>
        <v/>
      </c>
      <c r="P184" s="17" t="str">
        <f>IF('Cylinder Detail'!AA186=0,"",'Cylinder Detail'!AA186)</f>
        <v/>
      </c>
      <c r="Q184" s="19" t="str">
        <f>IF('Cylinder Detail'!W186=0,"",'Cylinder Detail'!W186)</f>
        <v/>
      </c>
      <c r="R184" s="19" t="str">
        <f>IF('Cylinder Detail'!Y186=0,"",'Cylinder Detail'!Y186)</f>
        <v/>
      </c>
      <c r="S184" s="21" t="str">
        <f>IF('Cylinder Detail'!X186=0,"",'Cylinder Detail'!X186)</f>
        <v/>
      </c>
      <c r="T184" s="21" t="str">
        <f>IF('Cylinder Detail'!F186=0,"",'Cylinder Detail'!F186)</f>
        <v/>
      </c>
      <c r="U184" s="21" t="str">
        <f>IF('Cylinder Detail'!R186=0,"",'Cylinder Detail'!R186)</f>
        <v/>
      </c>
      <c r="V184" s="21" t="str">
        <f>IF('Cylinder Detail'!Q186=0,"",'Cylinder Detail'!Q186)</f>
        <v/>
      </c>
      <c r="W184" s="21" t="str">
        <f>IF('Cylinder Detail'!E186=0,"","+" &amp; 'Cylinder Detail'!E186)</f>
        <v/>
      </c>
      <c r="X184" s="21" t="str">
        <f t="shared" si="41"/>
        <v/>
      </c>
      <c r="Y184" s="21" t="str">
        <f>IF('Cylinder Detail'!S186=0,"",'Cylinder Detail'!S186)</f>
        <v/>
      </c>
      <c r="Z184" s="21" t="str">
        <f>IF('Cylinder Detail'!T186=0,"",'Cylinder Detail'!T186)</f>
        <v/>
      </c>
      <c r="AA184" s="21" t="str">
        <f>IF('Cylinder Detail'!H186=0,"",'Cylinder Detail'!H186)</f>
        <v/>
      </c>
      <c r="AB184" s="21" t="str">
        <f>IF('Cylinder Detail'!I186=0,"",'Cylinder Detail'!I186)</f>
        <v/>
      </c>
      <c r="AC184" s="22" t="str">
        <f>IF('Cylinder Detail'!AB186=0,"",'Cylinder Detail'!AB186)</f>
        <v/>
      </c>
      <c r="AD184" s="25" t="str">
        <f>IF('Sensor Detail'!F186=0,"","=" &amp; 'Sensor Detail'!F186)</f>
        <v/>
      </c>
      <c r="AE184" s="25" t="str">
        <f>IF('Sensor Detail'!H186=0,"",'Sensor Detail'!H186)</f>
        <v/>
      </c>
      <c r="AF184" s="27" t="str">
        <f>IF('Sensor Detail'!G186=0,"","-" &amp; 'Sensor Detail'!G186)</f>
        <v/>
      </c>
      <c r="AG184" s="27" t="str">
        <f>IF('Sensor Detail'!I186=0,"",'Sensor Detail'!I186)</f>
        <v/>
      </c>
      <c r="AH184" s="27" t="str">
        <f>IF('Sensor Detail'!E186=0,"","+" &amp; 'Sensor Detail'!E186)</f>
        <v/>
      </c>
      <c r="AI184" s="27" t="str">
        <f t="shared" si="42"/>
        <v/>
      </c>
      <c r="AJ184" s="27" t="str">
        <f>IF('Sensor Detail'!J186=0,"",'Sensor Detail'!J186)</f>
        <v/>
      </c>
      <c r="AK184" s="27" t="str">
        <f>IF('Sensor Detail'!K186=0,"",'Sensor Detail'!K186)</f>
        <v/>
      </c>
      <c r="AL184" s="27" t="str">
        <f>IF('Sensor Detail'!L186=0,"",'Sensor Detail'!L186)</f>
        <v/>
      </c>
      <c r="AM184" s="27" t="str">
        <f>IF('Sensor Detail'!M186=0,"",'Sensor Detail'!M186)</f>
        <v/>
      </c>
      <c r="AN184" s="27" t="str">
        <f>IF('Sensor Detail'!N186=0,"",'Sensor Detail'!N186)</f>
        <v/>
      </c>
      <c r="AO184" s="27" t="str">
        <f>IF('Sensor Detail'!O186=0,"",'Sensor Detail'!O186)</f>
        <v/>
      </c>
      <c r="AP184" s="15" t="str">
        <f t="shared" si="43"/>
        <v/>
      </c>
      <c r="AQ184" s="15" t="str">
        <f t="shared" si="44"/>
        <v/>
      </c>
    </row>
    <row r="185" spans="1:43">
      <c r="A185" s="13" t="str">
        <f t="shared" si="30"/>
        <v/>
      </c>
      <c r="B185" s="13" t="str">
        <f t="shared" si="31"/>
        <v/>
      </c>
      <c r="C185" s="15" t="str">
        <f t="shared" si="32"/>
        <v/>
      </c>
      <c r="D185" s="15" t="str">
        <f t="shared" si="33"/>
        <v/>
      </c>
      <c r="E185" s="15" t="str">
        <f t="shared" si="34"/>
        <v/>
      </c>
      <c r="F185" s="15" t="str">
        <f t="shared" si="35"/>
        <v/>
      </c>
      <c r="G185" s="15" t="str">
        <f t="shared" si="36"/>
        <v/>
      </c>
      <c r="H185" s="15" t="str">
        <f t="shared" si="37"/>
        <v/>
      </c>
      <c r="I185" s="15" t="str">
        <f t="shared" si="38"/>
        <v/>
      </c>
      <c r="J185" s="15" t="str">
        <f t="shared" si="39"/>
        <v/>
      </c>
      <c r="K185" s="13" t="str">
        <f>IF('Cylinder Detail'!U187=0,"",'Cylinder Detail'!U187)</f>
        <v/>
      </c>
      <c r="L185" s="13" t="str">
        <f>IF('Cylinder Detail'!Z187=0,"",_xlfn.TEXTBEFORE('Cylinder Detail'!Z187, ","))</f>
        <v/>
      </c>
      <c r="M185" s="13" t="str">
        <f t="shared" si="40"/>
        <v/>
      </c>
      <c r="N185" s="17" t="str">
        <f>IF('Cylinder Detail'!V187=0,"",'Cylinder Detail'!V187)</f>
        <v/>
      </c>
      <c r="O185" s="17" t="str">
        <f>IF('Cylinder Detail'!Z187=0,"",_xlfn.TEXTAFTER('Cylinder Detail'!Z187, ", "))</f>
        <v/>
      </c>
      <c r="P185" s="17" t="str">
        <f>IF('Cylinder Detail'!AA187=0,"",'Cylinder Detail'!AA187)</f>
        <v/>
      </c>
      <c r="Q185" s="19" t="str">
        <f>IF('Cylinder Detail'!W187=0,"",'Cylinder Detail'!W187)</f>
        <v/>
      </c>
      <c r="R185" s="19" t="str">
        <f>IF('Cylinder Detail'!Y187=0,"",'Cylinder Detail'!Y187)</f>
        <v/>
      </c>
      <c r="S185" s="21" t="str">
        <f>IF('Cylinder Detail'!X187=0,"",'Cylinder Detail'!X187)</f>
        <v/>
      </c>
      <c r="T185" s="21" t="str">
        <f>IF('Cylinder Detail'!F187=0,"",'Cylinder Detail'!F187)</f>
        <v/>
      </c>
      <c r="U185" s="21" t="str">
        <f>IF('Cylinder Detail'!R187=0,"",'Cylinder Detail'!R187)</f>
        <v/>
      </c>
      <c r="V185" s="21" t="str">
        <f>IF('Cylinder Detail'!Q187=0,"",'Cylinder Detail'!Q187)</f>
        <v/>
      </c>
      <c r="W185" s="21" t="str">
        <f>IF('Cylinder Detail'!E187=0,"","+" &amp; 'Cylinder Detail'!E187)</f>
        <v/>
      </c>
      <c r="X185" s="21" t="str">
        <f t="shared" si="41"/>
        <v/>
      </c>
      <c r="Y185" s="21" t="str">
        <f>IF('Cylinder Detail'!S187=0,"",'Cylinder Detail'!S187)</f>
        <v/>
      </c>
      <c r="Z185" s="21" t="str">
        <f>IF('Cylinder Detail'!T187=0,"",'Cylinder Detail'!T187)</f>
        <v/>
      </c>
      <c r="AA185" s="21" t="str">
        <f>IF('Cylinder Detail'!H187=0,"",'Cylinder Detail'!H187)</f>
        <v/>
      </c>
      <c r="AB185" s="21" t="str">
        <f>IF('Cylinder Detail'!I187=0,"",'Cylinder Detail'!I187)</f>
        <v/>
      </c>
      <c r="AC185" s="22" t="str">
        <f>IF('Cylinder Detail'!AB187=0,"",'Cylinder Detail'!AB187)</f>
        <v/>
      </c>
      <c r="AD185" s="25" t="str">
        <f>IF('Sensor Detail'!F187=0,"","=" &amp; 'Sensor Detail'!F187)</f>
        <v/>
      </c>
      <c r="AE185" s="25" t="str">
        <f>IF('Sensor Detail'!H187=0,"",'Sensor Detail'!H187)</f>
        <v/>
      </c>
      <c r="AF185" s="27" t="str">
        <f>IF('Sensor Detail'!G187=0,"","-" &amp; 'Sensor Detail'!G187)</f>
        <v/>
      </c>
      <c r="AG185" s="27" t="str">
        <f>IF('Sensor Detail'!I187=0,"",'Sensor Detail'!I187)</f>
        <v/>
      </c>
      <c r="AH185" s="27" t="str">
        <f>IF('Sensor Detail'!E187=0,"","+" &amp; 'Sensor Detail'!E187)</f>
        <v/>
      </c>
      <c r="AI185" s="27" t="str">
        <f t="shared" si="42"/>
        <v/>
      </c>
      <c r="AJ185" s="27" t="str">
        <f>IF('Sensor Detail'!J187=0,"",'Sensor Detail'!J187)</f>
        <v/>
      </c>
      <c r="AK185" s="27" t="str">
        <f>IF('Sensor Detail'!K187=0,"",'Sensor Detail'!K187)</f>
        <v/>
      </c>
      <c r="AL185" s="27" t="str">
        <f>IF('Sensor Detail'!L187=0,"",'Sensor Detail'!L187)</f>
        <v/>
      </c>
      <c r="AM185" s="27" t="str">
        <f>IF('Sensor Detail'!M187=0,"",'Sensor Detail'!M187)</f>
        <v/>
      </c>
      <c r="AN185" s="27" t="str">
        <f>IF('Sensor Detail'!N187=0,"",'Sensor Detail'!N187)</f>
        <v/>
      </c>
      <c r="AO185" s="27" t="str">
        <f>IF('Sensor Detail'!O187=0,"",'Sensor Detail'!O187)</f>
        <v/>
      </c>
      <c r="AP185" s="15" t="str">
        <f t="shared" si="43"/>
        <v/>
      </c>
      <c r="AQ185" s="15" t="str">
        <f t="shared" si="44"/>
        <v/>
      </c>
    </row>
    <row r="186" spans="1:43">
      <c r="A186" s="13" t="str">
        <f t="shared" si="30"/>
        <v/>
      </c>
      <c r="B186" s="13" t="str">
        <f t="shared" si="31"/>
        <v/>
      </c>
      <c r="C186" s="15" t="str">
        <f t="shared" si="32"/>
        <v/>
      </c>
      <c r="D186" s="15" t="str">
        <f t="shared" si="33"/>
        <v/>
      </c>
      <c r="E186" s="15" t="str">
        <f t="shared" si="34"/>
        <v/>
      </c>
      <c r="F186" s="15" t="str">
        <f t="shared" si="35"/>
        <v/>
      </c>
      <c r="G186" s="15" t="str">
        <f t="shared" si="36"/>
        <v/>
      </c>
      <c r="H186" s="15" t="str">
        <f t="shared" si="37"/>
        <v/>
      </c>
      <c r="I186" s="15" t="str">
        <f t="shared" si="38"/>
        <v/>
      </c>
      <c r="J186" s="15" t="str">
        <f t="shared" si="39"/>
        <v/>
      </c>
      <c r="K186" s="13" t="str">
        <f>IF('Cylinder Detail'!U188=0,"",'Cylinder Detail'!U188)</f>
        <v/>
      </c>
      <c r="L186" s="13" t="str">
        <f>IF('Cylinder Detail'!Z188=0,"",_xlfn.TEXTBEFORE('Cylinder Detail'!Z188, ","))</f>
        <v/>
      </c>
      <c r="M186" s="13" t="str">
        <f t="shared" si="40"/>
        <v/>
      </c>
      <c r="N186" s="17" t="str">
        <f>IF('Cylinder Detail'!V188=0,"",'Cylinder Detail'!V188)</f>
        <v/>
      </c>
      <c r="O186" s="17" t="str">
        <f>IF('Cylinder Detail'!Z188=0,"",_xlfn.TEXTAFTER('Cylinder Detail'!Z188, ", "))</f>
        <v/>
      </c>
      <c r="P186" s="17" t="str">
        <f>IF('Cylinder Detail'!AA188=0,"",'Cylinder Detail'!AA188)</f>
        <v/>
      </c>
      <c r="Q186" s="19" t="str">
        <f>IF('Cylinder Detail'!W188=0,"",'Cylinder Detail'!W188)</f>
        <v/>
      </c>
      <c r="R186" s="19" t="str">
        <f>IF('Cylinder Detail'!Y188=0,"",'Cylinder Detail'!Y188)</f>
        <v/>
      </c>
      <c r="S186" s="21" t="str">
        <f>IF('Cylinder Detail'!X188=0,"",'Cylinder Detail'!X188)</f>
        <v/>
      </c>
      <c r="T186" s="21" t="str">
        <f>IF('Cylinder Detail'!F188=0,"",'Cylinder Detail'!F188)</f>
        <v/>
      </c>
      <c r="U186" s="21" t="str">
        <f>IF('Cylinder Detail'!R188=0,"",'Cylinder Detail'!R188)</f>
        <v/>
      </c>
      <c r="V186" s="21" t="str">
        <f>IF('Cylinder Detail'!Q188=0,"",'Cylinder Detail'!Q188)</f>
        <v/>
      </c>
      <c r="W186" s="21" t="str">
        <f>IF('Cylinder Detail'!E188=0,"","+" &amp; 'Cylinder Detail'!E188)</f>
        <v/>
      </c>
      <c r="X186" s="21" t="str">
        <f t="shared" si="41"/>
        <v/>
      </c>
      <c r="Y186" s="21" t="str">
        <f>IF('Cylinder Detail'!S188=0,"",'Cylinder Detail'!S188)</f>
        <v/>
      </c>
      <c r="Z186" s="21" t="str">
        <f>IF('Cylinder Detail'!T188=0,"",'Cylinder Detail'!T188)</f>
        <v/>
      </c>
      <c r="AA186" s="21" t="str">
        <f>IF('Cylinder Detail'!H188=0,"",'Cylinder Detail'!H188)</f>
        <v/>
      </c>
      <c r="AB186" s="21" t="str">
        <f>IF('Cylinder Detail'!I188=0,"",'Cylinder Detail'!I188)</f>
        <v/>
      </c>
      <c r="AC186" s="22" t="str">
        <f>IF('Cylinder Detail'!AB188=0,"",'Cylinder Detail'!AB188)</f>
        <v/>
      </c>
      <c r="AD186" s="25" t="str">
        <f>IF('Sensor Detail'!F188=0,"","=" &amp; 'Sensor Detail'!F188)</f>
        <v/>
      </c>
      <c r="AE186" s="25" t="str">
        <f>IF('Sensor Detail'!H188=0,"",'Sensor Detail'!H188)</f>
        <v/>
      </c>
      <c r="AF186" s="27" t="str">
        <f>IF('Sensor Detail'!G188=0,"","-" &amp; 'Sensor Detail'!G188)</f>
        <v/>
      </c>
      <c r="AG186" s="27" t="str">
        <f>IF('Sensor Detail'!I188=0,"",'Sensor Detail'!I188)</f>
        <v/>
      </c>
      <c r="AH186" s="27" t="str">
        <f>IF('Sensor Detail'!E188=0,"","+" &amp; 'Sensor Detail'!E188)</f>
        <v/>
      </c>
      <c r="AI186" s="27" t="str">
        <f t="shared" si="42"/>
        <v/>
      </c>
      <c r="AJ186" s="27" t="str">
        <f>IF('Sensor Detail'!J188=0,"",'Sensor Detail'!J188)</f>
        <v/>
      </c>
      <c r="AK186" s="27" t="str">
        <f>IF('Sensor Detail'!K188=0,"",'Sensor Detail'!K188)</f>
        <v/>
      </c>
      <c r="AL186" s="27" t="str">
        <f>IF('Sensor Detail'!L188=0,"",'Sensor Detail'!L188)</f>
        <v/>
      </c>
      <c r="AM186" s="27" t="str">
        <f>IF('Sensor Detail'!M188=0,"",'Sensor Detail'!M188)</f>
        <v/>
      </c>
      <c r="AN186" s="27" t="str">
        <f>IF('Sensor Detail'!N188=0,"",'Sensor Detail'!N188)</f>
        <v/>
      </c>
      <c r="AO186" s="27" t="str">
        <f>IF('Sensor Detail'!O188=0,"",'Sensor Detail'!O188)</f>
        <v/>
      </c>
      <c r="AP186" s="15" t="str">
        <f t="shared" si="43"/>
        <v/>
      </c>
      <c r="AQ186" s="15" t="str">
        <f t="shared" si="44"/>
        <v/>
      </c>
    </row>
    <row r="187" spans="1:43">
      <c r="A187" s="13" t="str">
        <f t="shared" si="30"/>
        <v/>
      </c>
      <c r="B187" s="13" t="str">
        <f t="shared" si="31"/>
        <v/>
      </c>
      <c r="C187" s="15" t="str">
        <f t="shared" si="32"/>
        <v/>
      </c>
      <c r="D187" s="15" t="str">
        <f t="shared" si="33"/>
        <v/>
      </c>
      <c r="E187" s="15" t="str">
        <f t="shared" si="34"/>
        <v/>
      </c>
      <c r="F187" s="15" t="str">
        <f t="shared" si="35"/>
        <v/>
      </c>
      <c r="G187" s="15" t="str">
        <f t="shared" si="36"/>
        <v/>
      </c>
      <c r="H187" s="15" t="str">
        <f t="shared" si="37"/>
        <v/>
      </c>
      <c r="I187" s="15" t="str">
        <f t="shared" si="38"/>
        <v/>
      </c>
      <c r="J187" s="15" t="str">
        <f t="shared" si="39"/>
        <v/>
      </c>
      <c r="K187" s="13" t="str">
        <f>IF('Cylinder Detail'!U189=0,"",'Cylinder Detail'!U189)</f>
        <v/>
      </c>
      <c r="L187" s="13" t="str">
        <f>IF('Cylinder Detail'!Z189=0,"",_xlfn.TEXTBEFORE('Cylinder Detail'!Z189, ","))</f>
        <v/>
      </c>
      <c r="M187" s="13" t="str">
        <f t="shared" si="40"/>
        <v/>
      </c>
      <c r="N187" s="17" t="str">
        <f>IF('Cylinder Detail'!V189=0,"",'Cylinder Detail'!V189)</f>
        <v/>
      </c>
      <c r="O187" s="17" t="str">
        <f>IF('Cylinder Detail'!Z189=0,"",_xlfn.TEXTAFTER('Cylinder Detail'!Z189, ", "))</f>
        <v/>
      </c>
      <c r="P187" s="17" t="str">
        <f>IF('Cylinder Detail'!AA189=0,"",'Cylinder Detail'!AA189)</f>
        <v/>
      </c>
      <c r="Q187" s="19" t="str">
        <f>IF('Cylinder Detail'!W189=0,"",'Cylinder Detail'!W189)</f>
        <v/>
      </c>
      <c r="R187" s="19" t="str">
        <f>IF('Cylinder Detail'!Y189=0,"",'Cylinder Detail'!Y189)</f>
        <v/>
      </c>
      <c r="S187" s="21" t="str">
        <f>IF('Cylinder Detail'!X189=0,"",'Cylinder Detail'!X189)</f>
        <v/>
      </c>
      <c r="T187" s="21" t="str">
        <f>IF('Cylinder Detail'!F189=0,"",'Cylinder Detail'!F189)</f>
        <v/>
      </c>
      <c r="U187" s="21" t="str">
        <f>IF('Cylinder Detail'!R189=0,"",'Cylinder Detail'!R189)</f>
        <v/>
      </c>
      <c r="V187" s="21" t="str">
        <f>IF('Cylinder Detail'!Q189=0,"",'Cylinder Detail'!Q189)</f>
        <v/>
      </c>
      <c r="W187" s="21" t="str">
        <f>IF('Cylinder Detail'!E189=0,"","+" &amp; 'Cylinder Detail'!E189)</f>
        <v/>
      </c>
      <c r="X187" s="21" t="str">
        <f t="shared" si="41"/>
        <v/>
      </c>
      <c r="Y187" s="21" t="str">
        <f>IF('Cylinder Detail'!S189=0,"",'Cylinder Detail'!S189)</f>
        <v/>
      </c>
      <c r="Z187" s="21" t="str">
        <f>IF('Cylinder Detail'!T189=0,"",'Cylinder Detail'!T189)</f>
        <v/>
      </c>
      <c r="AA187" s="21" t="str">
        <f>IF('Cylinder Detail'!H189=0,"",'Cylinder Detail'!H189)</f>
        <v/>
      </c>
      <c r="AB187" s="21" t="str">
        <f>IF('Cylinder Detail'!I189=0,"",'Cylinder Detail'!I189)</f>
        <v/>
      </c>
      <c r="AC187" s="22" t="str">
        <f>IF('Cylinder Detail'!AB189=0,"",'Cylinder Detail'!AB189)</f>
        <v/>
      </c>
      <c r="AD187" s="25" t="str">
        <f>IF('Sensor Detail'!F189=0,"","=" &amp; 'Sensor Detail'!F189)</f>
        <v/>
      </c>
      <c r="AE187" s="25" t="str">
        <f>IF('Sensor Detail'!H189=0,"",'Sensor Detail'!H189)</f>
        <v/>
      </c>
      <c r="AF187" s="27" t="str">
        <f>IF('Sensor Detail'!G189=0,"","-" &amp; 'Sensor Detail'!G189)</f>
        <v/>
      </c>
      <c r="AG187" s="27" t="str">
        <f>IF('Sensor Detail'!I189=0,"",'Sensor Detail'!I189)</f>
        <v/>
      </c>
      <c r="AH187" s="27" t="str">
        <f>IF('Sensor Detail'!E189=0,"","+" &amp; 'Sensor Detail'!E189)</f>
        <v/>
      </c>
      <c r="AI187" s="27" t="str">
        <f t="shared" si="42"/>
        <v/>
      </c>
      <c r="AJ187" s="27" t="str">
        <f>IF('Sensor Detail'!J189=0,"",'Sensor Detail'!J189)</f>
        <v/>
      </c>
      <c r="AK187" s="27" t="str">
        <f>IF('Sensor Detail'!K189=0,"",'Sensor Detail'!K189)</f>
        <v/>
      </c>
      <c r="AL187" s="27" t="str">
        <f>IF('Sensor Detail'!L189=0,"",'Sensor Detail'!L189)</f>
        <v/>
      </c>
      <c r="AM187" s="27" t="str">
        <f>IF('Sensor Detail'!M189=0,"",'Sensor Detail'!M189)</f>
        <v/>
      </c>
      <c r="AN187" s="27" t="str">
        <f>IF('Sensor Detail'!N189=0,"",'Sensor Detail'!N189)</f>
        <v/>
      </c>
      <c r="AO187" s="27" t="str">
        <f>IF('Sensor Detail'!O189=0,"",'Sensor Detail'!O189)</f>
        <v/>
      </c>
      <c r="AP187" s="15" t="str">
        <f t="shared" si="43"/>
        <v/>
      </c>
      <c r="AQ187" s="15" t="str">
        <f t="shared" si="44"/>
        <v/>
      </c>
    </row>
    <row r="188" spans="1:43">
      <c r="A188" s="13" t="str">
        <f t="shared" si="30"/>
        <v/>
      </c>
      <c r="B188" s="13" t="str">
        <f t="shared" si="31"/>
        <v/>
      </c>
      <c r="C188" s="15" t="str">
        <f t="shared" si="32"/>
        <v/>
      </c>
      <c r="D188" s="15" t="str">
        <f t="shared" si="33"/>
        <v/>
      </c>
      <c r="E188" s="15" t="str">
        <f t="shared" si="34"/>
        <v/>
      </c>
      <c r="F188" s="15" t="str">
        <f t="shared" si="35"/>
        <v/>
      </c>
      <c r="G188" s="15" t="str">
        <f t="shared" si="36"/>
        <v/>
      </c>
      <c r="H188" s="15" t="str">
        <f t="shared" si="37"/>
        <v/>
      </c>
      <c r="I188" s="15" t="str">
        <f t="shared" si="38"/>
        <v/>
      </c>
      <c r="J188" s="15" t="str">
        <f t="shared" si="39"/>
        <v/>
      </c>
      <c r="K188" s="13" t="str">
        <f>IF('Cylinder Detail'!U190=0,"",'Cylinder Detail'!U190)</f>
        <v/>
      </c>
      <c r="L188" s="13" t="str">
        <f>IF('Cylinder Detail'!Z190=0,"",_xlfn.TEXTBEFORE('Cylinder Detail'!Z190, ","))</f>
        <v/>
      </c>
      <c r="M188" s="13" t="str">
        <f t="shared" si="40"/>
        <v/>
      </c>
      <c r="N188" s="17" t="str">
        <f>IF('Cylinder Detail'!V190=0,"",'Cylinder Detail'!V190)</f>
        <v/>
      </c>
      <c r="O188" s="17" t="str">
        <f>IF('Cylinder Detail'!Z190=0,"",_xlfn.TEXTAFTER('Cylinder Detail'!Z190, ", "))</f>
        <v/>
      </c>
      <c r="P188" s="17" t="str">
        <f>IF('Cylinder Detail'!AA190=0,"",'Cylinder Detail'!AA190)</f>
        <v/>
      </c>
      <c r="Q188" s="19" t="str">
        <f>IF('Cylinder Detail'!W190=0,"",'Cylinder Detail'!W190)</f>
        <v/>
      </c>
      <c r="R188" s="19" t="str">
        <f>IF('Cylinder Detail'!Y190=0,"",'Cylinder Detail'!Y190)</f>
        <v/>
      </c>
      <c r="S188" s="21" t="str">
        <f>IF('Cylinder Detail'!X190=0,"",'Cylinder Detail'!X190)</f>
        <v/>
      </c>
      <c r="T188" s="21" t="str">
        <f>IF('Cylinder Detail'!F190=0,"",'Cylinder Detail'!F190)</f>
        <v/>
      </c>
      <c r="U188" s="21" t="str">
        <f>IF('Cylinder Detail'!R190=0,"",'Cylinder Detail'!R190)</f>
        <v/>
      </c>
      <c r="V188" s="21" t="str">
        <f>IF('Cylinder Detail'!Q190=0,"",'Cylinder Detail'!Q190)</f>
        <v/>
      </c>
      <c r="W188" s="21" t="str">
        <f>IF('Cylinder Detail'!E190=0,"","+" &amp; 'Cylinder Detail'!E190)</f>
        <v/>
      </c>
      <c r="X188" s="21" t="str">
        <f t="shared" si="41"/>
        <v/>
      </c>
      <c r="Y188" s="21" t="str">
        <f>IF('Cylinder Detail'!S190=0,"",'Cylinder Detail'!S190)</f>
        <v/>
      </c>
      <c r="Z188" s="21" t="str">
        <f>IF('Cylinder Detail'!T190=0,"",'Cylinder Detail'!T190)</f>
        <v/>
      </c>
      <c r="AA188" s="21" t="str">
        <f>IF('Cylinder Detail'!H190=0,"",'Cylinder Detail'!H190)</f>
        <v/>
      </c>
      <c r="AB188" s="21" t="str">
        <f>IF('Cylinder Detail'!I190=0,"",'Cylinder Detail'!I190)</f>
        <v/>
      </c>
      <c r="AC188" s="22" t="str">
        <f>IF('Cylinder Detail'!AB190=0,"",'Cylinder Detail'!AB190)</f>
        <v/>
      </c>
      <c r="AD188" s="25" t="str">
        <f>IF('Sensor Detail'!F190=0,"","=" &amp; 'Sensor Detail'!F190)</f>
        <v/>
      </c>
      <c r="AE188" s="25" t="str">
        <f>IF('Sensor Detail'!H190=0,"",'Sensor Detail'!H190)</f>
        <v/>
      </c>
      <c r="AF188" s="27" t="str">
        <f>IF('Sensor Detail'!G190=0,"","-" &amp; 'Sensor Detail'!G190)</f>
        <v/>
      </c>
      <c r="AG188" s="27" t="str">
        <f>IF('Sensor Detail'!I190=0,"",'Sensor Detail'!I190)</f>
        <v/>
      </c>
      <c r="AH188" s="27" t="str">
        <f>IF('Sensor Detail'!E190=0,"","+" &amp; 'Sensor Detail'!E190)</f>
        <v/>
      </c>
      <c r="AI188" s="27" t="str">
        <f t="shared" si="42"/>
        <v/>
      </c>
      <c r="AJ188" s="27" t="str">
        <f>IF('Sensor Detail'!J190=0,"",'Sensor Detail'!J190)</f>
        <v/>
      </c>
      <c r="AK188" s="27" t="str">
        <f>IF('Sensor Detail'!K190=0,"",'Sensor Detail'!K190)</f>
        <v/>
      </c>
      <c r="AL188" s="27" t="str">
        <f>IF('Sensor Detail'!L190=0,"",'Sensor Detail'!L190)</f>
        <v/>
      </c>
      <c r="AM188" s="27" t="str">
        <f>IF('Sensor Detail'!M190=0,"",'Sensor Detail'!M190)</f>
        <v/>
      </c>
      <c r="AN188" s="27" t="str">
        <f>IF('Sensor Detail'!N190=0,"",'Sensor Detail'!N190)</f>
        <v/>
      </c>
      <c r="AO188" s="27" t="str">
        <f>IF('Sensor Detail'!O190=0,"",'Sensor Detail'!O190)</f>
        <v/>
      </c>
      <c r="AP188" s="15" t="str">
        <f t="shared" si="43"/>
        <v/>
      </c>
      <c r="AQ188" s="15" t="str">
        <f t="shared" si="44"/>
        <v/>
      </c>
    </row>
    <row r="189" spans="1:43">
      <c r="A189" s="13" t="str">
        <f t="shared" si="30"/>
        <v/>
      </c>
      <c r="B189" s="13" t="str">
        <f t="shared" si="31"/>
        <v/>
      </c>
      <c r="C189" s="15" t="str">
        <f t="shared" si="32"/>
        <v/>
      </c>
      <c r="D189" s="15" t="str">
        <f t="shared" si="33"/>
        <v/>
      </c>
      <c r="E189" s="15" t="str">
        <f t="shared" si="34"/>
        <v/>
      </c>
      <c r="F189" s="15" t="str">
        <f t="shared" si="35"/>
        <v/>
      </c>
      <c r="G189" s="15" t="str">
        <f t="shared" si="36"/>
        <v/>
      </c>
      <c r="H189" s="15" t="str">
        <f t="shared" si="37"/>
        <v/>
      </c>
      <c r="I189" s="15" t="str">
        <f t="shared" si="38"/>
        <v/>
      </c>
      <c r="J189" s="15" t="str">
        <f t="shared" si="39"/>
        <v/>
      </c>
      <c r="K189" s="13" t="str">
        <f>IF('Cylinder Detail'!U191=0,"",'Cylinder Detail'!U191)</f>
        <v/>
      </c>
      <c r="L189" s="13" t="str">
        <f>IF('Cylinder Detail'!Z191=0,"",_xlfn.TEXTBEFORE('Cylinder Detail'!Z191, ","))</f>
        <v/>
      </c>
      <c r="M189" s="13" t="str">
        <f t="shared" si="40"/>
        <v/>
      </c>
      <c r="N189" s="17" t="str">
        <f>IF('Cylinder Detail'!V191=0,"",'Cylinder Detail'!V191)</f>
        <v/>
      </c>
      <c r="O189" s="17" t="str">
        <f>IF('Cylinder Detail'!Z191=0,"",_xlfn.TEXTAFTER('Cylinder Detail'!Z191, ", "))</f>
        <v/>
      </c>
      <c r="P189" s="17" t="str">
        <f>IF('Cylinder Detail'!AA191=0,"",'Cylinder Detail'!AA191)</f>
        <v/>
      </c>
      <c r="Q189" s="19" t="str">
        <f>IF('Cylinder Detail'!W191=0,"",'Cylinder Detail'!W191)</f>
        <v/>
      </c>
      <c r="R189" s="19" t="str">
        <f>IF('Cylinder Detail'!Y191=0,"",'Cylinder Detail'!Y191)</f>
        <v/>
      </c>
      <c r="S189" s="21" t="str">
        <f>IF('Cylinder Detail'!X191=0,"",'Cylinder Detail'!X191)</f>
        <v/>
      </c>
      <c r="T189" s="21" t="str">
        <f>IF('Cylinder Detail'!F191=0,"",'Cylinder Detail'!F191)</f>
        <v/>
      </c>
      <c r="U189" s="21" t="str">
        <f>IF('Cylinder Detail'!R191=0,"",'Cylinder Detail'!R191)</f>
        <v/>
      </c>
      <c r="V189" s="21" t="str">
        <f>IF('Cylinder Detail'!Q191=0,"",'Cylinder Detail'!Q191)</f>
        <v/>
      </c>
      <c r="W189" s="21" t="str">
        <f>IF('Cylinder Detail'!E191=0,"","+" &amp; 'Cylinder Detail'!E191)</f>
        <v/>
      </c>
      <c r="X189" s="21" t="str">
        <f t="shared" si="41"/>
        <v/>
      </c>
      <c r="Y189" s="21" t="str">
        <f>IF('Cylinder Detail'!S191=0,"",'Cylinder Detail'!S191)</f>
        <v/>
      </c>
      <c r="Z189" s="21" t="str">
        <f>IF('Cylinder Detail'!T191=0,"",'Cylinder Detail'!T191)</f>
        <v/>
      </c>
      <c r="AA189" s="21" t="str">
        <f>IF('Cylinder Detail'!H191=0,"",'Cylinder Detail'!H191)</f>
        <v/>
      </c>
      <c r="AB189" s="21" t="str">
        <f>IF('Cylinder Detail'!I191=0,"",'Cylinder Detail'!I191)</f>
        <v/>
      </c>
      <c r="AC189" s="22" t="str">
        <f>IF('Cylinder Detail'!AB191=0,"",'Cylinder Detail'!AB191)</f>
        <v/>
      </c>
      <c r="AD189" s="25" t="str">
        <f>IF('Sensor Detail'!F191=0,"","=" &amp; 'Sensor Detail'!F191)</f>
        <v/>
      </c>
      <c r="AE189" s="25" t="str">
        <f>IF('Sensor Detail'!H191=0,"",'Sensor Detail'!H191)</f>
        <v/>
      </c>
      <c r="AF189" s="27" t="str">
        <f>IF('Sensor Detail'!G191=0,"","-" &amp; 'Sensor Detail'!G191)</f>
        <v/>
      </c>
      <c r="AG189" s="27" t="str">
        <f>IF('Sensor Detail'!I191=0,"",'Sensor Detail'!I191)</f>
        <v/>
      </c>
      <c r="AH189" s="27" t="str">
        <f>IF('Sensor Detail'!E191=0,"","+" &amp; 'Sensor Detail'!E191)</f>
        <v/>
      </c>
      <c r="AI189" s="27" t="str">
        <f t="shared" si="42"/>
        <v/>
      </c>
      <c r="AJ189" s="27" t="str">
        <f>IF('Sensor Detail'!J191=0,"",'Sensor Detail'!J191)</f>
        <v/>
      </c>
      <c r="AK189" s="27" t="str">
        <f>IF('Sensor Detail'!K191=0,"",'Sensor Detail'!K191)</f>
        <v/>
      </c>
      <c r="AL189" s="27" t="str">
        <f>IF('Sensor Detail'!L191=0,"",'Sensor Detail'!L191)</f>
        <v/>
      </c>
      <c r="AM189" s="27" t="str">
        <f>IF('Sensor Detail'!M191=0,"",'Sensor Detail'!M191)</f>
        <v/>
      </c>
      <c r="AN189" s="27" t="str">
        <f>IF('Sensor Detail'!N191=0,"",'Sensor Detail'!N191)</f>
        <v/>
      </c>
      <c r="AO189" s="27" t="str">
        <f>IF('Sensor Detail'!O191=0,"",'Sensor Detail'!O191)</f>
        <v/>
      </c>
      <c r="AP189" s="15" t="str">
        <f t="shared" si="43"/>
        <v/>
      </c>
      <c r="AQ189" s="15" t="str">
        <f t="shared" si="44"/>
        <v/>
      </c>
    </row>
    <row r="190" spans="1:43">
      <c r="A190" s="13" t="str">
        <f t="shared" si="30"/>
        <v/>
      </c>
      <c r="B190" s="13" t="str">
        <f t="shared" si="31"/>
        <v/>
      </c>
      <c r="C190" s="15" t="str">
        <f t="shared" si="32"/>
        <v/>
      </c>
      <c r="D190" s="15" t="str">
        <f t="shared" si="33"/>
        <v/>
      </c>
      <c r="E190" s="15" t="str">
        <f t="shared" si="34"/>
        <v/>
      </c>
      <c r="F190" s="15" t="str">
        <f t="shared" si="35"/>
        <v/>
      </c>
      <c r="G190" s="15" t="str">
        <f t="shared" si="36"/>
        <v/>
      </c>
      <c r="H190" s="15" t="str">
        <f t="shared" si="37"/>
        <v/>
      </c>
      <c r="I190" s="15" t="str">
        <f t="shared" si="38"/>
        <v/>
      </c>
      <c r="J190" s="15" t="str">
        <f t="shared" si="39"/>
        <v/>
      </c>
      <c r="K190" s="13" t="str">
        <f>IF('Cylinder Detail'!U192=0,"",'Cylinder Detail'!U192)</f>
        <v/>
      </c>
      <c r="L190" s="13" t="str">
        <f>IF('Cylinder Detail'!Z192=0,"",_xlfn.TEXTBEFORE('Cylinder Detail'!Z192, ","))</f>
        <v/>
      </c>
      <c r="M190" s="13" t="str">
        <f t="shared" si="40"/>
        <v/>
      </c>
      <c r="N190" s="17" t="str">
        <f>IF('Cylinder Detail'!V192=0,"",'Cylinder Detail'!V192)</f>
        <v/>
      </c>
      <c r="O190" s="17" t="str">
        <f>IF('Cylinder Detail'!Z192=0,"",_xlfn.TEXTAFTER('Cylinder Detail'!Z192, ", "))</f>
        <v/>
      </c>
      <c r="P190" s="17" t="str">
        <f>IF('Cylinder Detail'!AA192=0,"",'Cylinder Detail'!AA192)</f>
        <v/>
      </c>
      <c r="Q190" s="19" t="str">
        <f>IF('Cylinder Detail'!W192=0,"",'Cylinder Detail'!W192)</f>
        <v/>
      </c>
      <c r="R190" s="19" t="str">
        <f>IF('Cylinder Detail'!Y192=0,"",'Cylinder Detail'!Y192)</f>
        <v/>
      </c>
      <c r="S190" s="21" t="str">
        <f>IF('Cylinder Detail'!X192=0,"",'Cylinder Detail'!X192)</f>
        <v/>
      </c>
      <c r="T190" s="21" t="str">
        <f>IF('Cylinder Detail'!F192=0,"",'Cylinder Detail'!F192)</f>
        <v/>
      </c>
      <c r="U190" s="21" t="str">
        <f>IF('Cylinder Detail'!R192=0,"",'Cylinder Detail'!R192)</f>
        <v/>
      </c>
      <c r="V190" s="21" t="str">
        <f>IF('Cylinder Detail'!Q192=0,"",'Cylinder Detail'!Q192)</f>
        <v/>
      </c>
      <c r="W190" s="21" t="str">
        <f>IF('Cylinder Detail'!E192=0,"","+" &amp; 'Cylinder Detail'!E192)</f>
        <v/>
      </c>
      <c r="X190" s="21" t="str">
        <f t="shared" si="41"/>
        <v/>
      </c>
      <c r="Y190" s="21" t="str">
        <f>IF('Cylinder Detail'!S192=0,"",'Cylinder Detail'!S192)</f>
        <v/>
      </c>
      <c r="Z190" s="21" t="str">
        <f>IF('Cylinder Detail'!T192=0,"",'Cylinder Detail'!T192)</f>
        <v/>
      </c>
      <c r="AA190" s="21" t="str">
        <f>IF('Cylinder Detail'!H192=0,"",'Cylinder Detail'!H192)</f>
        <v/>
      </c>
      <c r="AB190" s="21" t="str">
        <f>IF('Cylinder Detail'!I192=0,"",'Cylinder Detail'!I192)</f>
        <v/>
      </c>
      <c r="AC190" s="22" t="str">
        <f>IF('Cylinder Detail'!AB192=0,"",'Cylinder Detail'!AB192)</f>
        <v/>
      </c>
      <c r="AD190" s="25" t="str">
        <f>IF('Sensor Detail'!F192=0,"","=" &amp; 'Sensor Detail'!F192)</f>
        <v/>
      </c>
      <c r="AE190" s="25" t="str">
        <f>IF('Sensor Detail'!H192=0,"",'Sensor Detail'!H192)</f>
        <v/>
      </c>
      <c r="AF190" s="27" t="str">
        <f>IF('Sensor Detail'!G192=0,"","-" &amp; 'Sensor Detail'!G192)</f>
        <v/>
      </c>
      <c r="AG190" s="27" t="str">
        <f>IF('Sensor Detail'!I192=0,"",'Sensor Detail'!I192)</f>
        <v/>
      </c>
      <c r="AH190" s="27" t="str">
        <f>IF('Sensor Detail'!E192=0,"","+" &amp; 'Sensor Detail'!E192)</f>
        <v/>
      </c>
      <c r="AI190" s="27" t="str">
        <f t="shared" si="42"/>
        <v/>
      </c>
      <c r="AJ190" s="27" t="str">
        <f>IF('Sensor Detail'!J192=0,"",'Sensor Detail'!J192)</f>
        <v/>
      </c>
      <c r="AK190" s="27" t="str">
        <f>IF('Sensor Detail'!K192=0,"",'Sensor Detail'!K192)</f>
        <v/>
      </c>
      <c r="AL190" s="27" t="str">
        <f>IF('Sensor Detail'!L192=0,"",'Sensor Detail'!L192)</f>
        <v/>
      </c>
      <c r="AM190" s="27" t="str">
        <f>IF('Sensor Detail'!M192=0,"",'Sensor Detail'!M192)</f>
        <v/>
      </c>
      <c r="AN190" s="27" t="str">
        <f>IF('Sensor Detail'!N192=0,"",'Sensor Detail'!N192)</f>
        <v/>
      </c>
      <c r="AO190" s="27" t="str">
        <f>IF('Sensor Detail'!O192=0,"",'Sensor Detail'!O192)</f>
        <v/>
      </c>
      <c r="AP190" s="15" t="str">
        <f t="shared" si="43"/>
        <v/>
      </c>
      <c r="AQ190" s="15" t="str">
        <f t="shared" si="44"/>
        <v/>
      </c>
    </row>
    <row r="191" spans="1:43">
      <c r="A191" s="13" t="str">
        <f t="shared" si="30"/>
        <v/>
      </c>
      <c r="B191" s="13" t="str">
        <f t="shared" si="31"/>
        <v/>
      </c>
      <c r="C191" s="15" t="str">
        <f t="shared" si="32"/>
        <v/>
      </c>
      <c r="D191" s="15" t="str">
        <f t="shared" si="33"/>
        <v/>
      </c>
      <c r="E191" s="15" t="str">
        <f t="shared" si="34"/>
        <v/>
      </c>
      <c r="F191" s="15" t="str">
        <f t="shared" si="35"/>
        <v/>
      </c>
      <c r="G191" s="15" t="str">
        <f t="shared" si="36"/>
        <v/>
      </c>
      <c r="H191" s="15" t="str">
        <f t="shared" si="37"/>
        <v/>
      </c>
      <c r="I191" s="15" t="str">
        <f t="shared" si="38"/>
        <v/>
      </c>
      <c r="J191" s="15" t="str">
        <f t="shared" si="39"/>
        <v/>
      </c>
      <c r="K191" s="13" t="str">
        <f>IF('Cylinder Detail'!U193=0,"",'Cylinder Detail'!U193)</f>
        <v/>
      </c>
      <c r="L191" s="13" t="str">
        <f>IF('Cylinder Detail'!Z193=0,"",_xlfn.TEXTBEFORE('Cylinder Detail'!Z193, ","))</f>
        <v/>
      </c>
      <c r="M191" s="13" t="str">
        <f t="shared" si="40"/>
        <v/>
      </c>
      <c r="N191" s="17" t="str">
        <f>IF('Cylinder Detail'!V193=0,"",'Cylinder Detail'!V193)</f>
        <v/>
      </c>
      <c r="O191" s="17" t="str">
        <f>IF('Cylinder Detail'!Z193=0,"",_xlfn.TEXTAFTER('Cylinder Detail'!Z193, ", "))</f>
        <v/>
      </c>
      <c r="P191" s="17" t="str">
        <f>IF('Cylinder Detail'!AA193=0,"",'Cylinder Detail'!AA193)</f>
        <v/>
      </c>
      <c r="Q191" s="19" t="str">
        <f>IF('Cylinder Detail'!W193=0,"",'Cylinder Detail'!W193)</f>
        <v/>
      </c>
      <c r="R191" s="19" t="str">
        <f>IF('Cylinder Detail'!Y193=0,"",'Cylinder Detail'!Y193)</f>
        <v/>
      </c>
      <c r="S191" s="21" t="str">
        <f>IF('Cylinder Detail'!X193=0,"",'Cylinder Detail'!X193)</f>
        <v/>
      </c>
      <c r="T191" s="21" t="str">
        <f>IF('Cylinder Detail'!F193=0,"",'Cylinder Detail'!F193)</f>
        <v/>
      </c>
      <c r="U191" s="21" t="str">
        <f>IF('Cylinder Detail'!R193=0,"",'Cylinder Detail'!R193)</f>
        <v/>
      </c>
      <c r="V191" s="21" t="str">
        <f>IF('Cylinder Detail'!Q193=0,"",'Cylinder Detail'!Q193)</f>
        <v/>
      </c>
      <c r="W191" s="21" t="str">
        <f>IF('Cylinder Detail'!E193=0,"","+" &amp; 'Cylinder Detail'!E193)</f>
        <v/>
      </c>
      <c r="X191" s="21" t="str">
        <f t="shared" si="41"/>
        <v/>
      </c>
      <c r="Y191" s="21" t="str">
        <f>IF('Cylinder Detail'!S193=0,"",'Cylinder Detail'!S193)</f>
        <v/>
      </c>
      <c r="Z191" s="21" t="str">
        <f>IF('Cylinder Detail'!T193=0,"",'Cylinder Detail'!T193)</f>
        <v/>
      </c>
      <c r="AA191" s="21" t="str">
        <f>IF('Cylinder Detail'!H193=0,"",'Cylinder Detail'!H193)</f>
        <v/>
      </c>
      <c r="AB191" s="21" t="str">
        <f>IF('Cylinder Detail'!I193=0,"",'Cylinder Detail'!I193)</f>
        <v/>
      </c>
      <c r="AC191" s="22" t="str">
        <f>IF('Cylinder Detail'!AB193=0,"",'Cylinder Detail'!AB193)</f>
        <v/>
      </c>
      <c r="AD191" s="25" t="str">
        <f>IF('Sensor Detail'!F193=0,"","=" &amp; 'Sensor Detail'!F193)</f>
        <v/>
      </c>
      <c r="AE191" s="25" t="str">
        <f>IF('Sensor Detail'!H193=0,"",'Sensor Detail'!H193)</f>
        <v/>
      </c>
      <c r="AF191" s="27" t="str">
        <f>IF('Sensor Detail'!G193=0,"","-" &amp; 'Sensor Detail'!G193)</f>
        <v/>
      </c>
      <c r="AG191" s="27" t="str">
        <f>IF('Sensor Detail'!I193=0,"",'Sensor Detail'!I193)</f>
        <v/>
      </c>
      <c r="AH191" s="27" t="str">
        <f>IF('Sensor Detail'!E193=0,"","+" &amp; 'Sensor Detail'!E193)</f>
        <v/>
      </c>
      <c r="AI191" s="27" t="str">
        <f t="shared" si="42"/>
        <v/>
      </c>
      <c r="AJ191" s="27" t="str">
        <f>IF('Sensor Detail'!J193=0,"",'Sensor Detail'!J193)</f>
        <v/>
      </c>
      <c r="AK191" s="27" t="str">
        <f>IF('Sensor Detail'!K193=0,"",'Sensor Detail'!K193)</f>
        <v/>
      </c>
      <c r="AL191" s="27" t="str">
        <f>IF('Sensor Detail'!L193=0,"",'Sensor Detail'!L193)</f>
        <v/>
      </c>
      <c r="AM191" s="27" t="str">
        <f>IF('Sensor Detail'!M193=0,"",'Sensor Detail'!M193)</f>
        <v/>
      </c>
      <c r="AN191" s="27" t="str">
        <f>IF('Sensor Detail'!N193=0,"",'Sensor Detail'!N193)</f>
        <v/>
      </c>
      <c r="AO191" s="27" t="str">
        <f>IF('Sensor Detail'!O193=0,"",'Sensor Detail'!O193)</f>
        <v/>
      </c>
      <c r="AP191" s="15" t="str">
        <f t="shared" si="43"/>
        <v/>
      </c>
      <c r="AQ191" s="15" t="str">
        <f t="shared" si="44"/>
        <v/>
      </c>
    </row>
    <row r="192" spans="1:43">
      <c r="A192" s="13" t="str">
        <f t="shared" si="30"/>
        <v/>
      </c>
      <c r="B192" s="13" t="str">
        <f t="shared" si="31"/>
        <v/>
      </c>
      <c r="C192" s="15" t="str">
        <f t="shared" si="32"/>
        <v/>
      </c>
      <c r="D192" s="15" t="str">
        <f t="shared" si="33"/>
        <v/>
      </c>
      <c r="E192" s="15" t="str">
        <f t="shared" si="34"/>
        <v/>
      </c>
      <c r="F192" s="15" t="str">
        <f t="shared" si="35"/>
        <v/>
      </c>
      <c r="G192" s="15" t="str">
        <f t="shared" si="36"/>
        <v/>
      </c>
      <c r="H192" s="15" t="str">
        <f t="shared" si="37"/>
        <v/>
      </c>
      <c r="I192" s="15" t="str">
        <f t="shared" si="38"/>
        <v/>
      </c>
      <c r="J192" s="15" t="str">
        <f t="shared" si="39"/>
        <v/>
      </c>
      <c r="K192" s="13" t="str">
        <f>IF('Cylinder Detail'!U194=0,"",'Cylinder Detail'!U194)</f>
        <v/>
      </c>
      <c r="L192" s="13" t="str">
        <f>IF('Cylinder Detail'!Z194=0,"",_xlfn.TEXTBEFORE('Cylinder Detail'!Z194, ","))</f>
        <v/>
      </c>
      <c r="M192" s="13" t="str">
        <f t="shared" si="40"/>
        <v/>
      </c>
      <c r="N192" s="17" t="str">
        <f>IF('Cylinder Detail'!V194=0,"",'Cylinder Detail'!V194)</f>
        <v/>
      </c>
      <c r="O192" s="17" t="str">
        <f>IF('Cylinder Detail'!Z194=0,"",_xlfn.TEXTAFTER('Cylinder Detail'!Z194, ", "))</f>
        <v/>
      </c>
      <c r="P192" s="17" t="str">
        <f>IF('Cylinder Detail'!AA194=0,"",'Cylinder Detail'!AA194)</f>
        <v/>
      </c>
      <c r="Q192" s="19" t="str">
        <f>IF('Cylinder Detail'!W194=0,"",'Cylinder Detail'!W194)</f>
        <v/>
      </c>
      <c r="R192" s="19" t="str">
        <f>IF('Cylinder Detail'!Y194=0,"",'Cylinder Detail'!Y194)</f>
        <v/>
      </c>
      <c r="S192" s="21" t="str">
        <f>IF('Cylinder Detail'!X194=0,"",'Cylinder Detail'!X194)</f>
        <v/>
      </c>
      <c r="T192" s="21" t="str">
        <f>IF('Cylinder Detail'!F194=0,"",'Cylinder Detail'!F194)</f>
        <v/>
      </c>
      <c r="U192" s="21" t="str">
        <f>IF('Cylinder Detail'!R194=0,"",'Cylinder Detail'!R194)</f>
        <v/>
      </c>
      <c r="V192" s="21" t="str">
        <f>IF('Cylinder Detail'!Q194=0,"",'Cylinder Detail'!Q194)</f>
        <v/>
      </c>
      <c r="W192" s="21" t="str">
        <f>IF('Cylinder Detail'!E194=0,"","+" &amp; 'Cylinder Detail'!E194)</f>
        <v/>
      </c>
      <c r="X192" s="21" t="str">
        <f t="shared" si="41"/>
        <v/>
      </c>
      <c r="Y192" s="21" t="str">
        <f>IF('Cylinder Detail'!S194=0,"",'Cylinder Detail'!S194)</f>
        <v/>
      </c>
      <c r="Z192" s="21" t="str">
        <f>IF('Cylinder Detail'!T194=0,"",'Cylinder Detail'!T194)</f>
        <v/>
      </c>
      <c r="AA192" s="21" t="str">
        <f>IF('Cylinder Detail'!H194=0,"",'Cylinder Detail'!H194)</f>
        <v/>
      </c>
      <c r="AB192" s="21" t="str">
        <f>IF('Cylinder Detail'!I194=0,"",'Cylinder Detail'!I194)</f>
        <v/>
      </c>
      <c r="AC192" s="22" t="str">
        <f>IF('Cylinder Detail'!AB194=0,"",'Cylinder Detail'!AB194)</f>
        <v/>
      </c>
      <c r="AD192" s="25" t="str">
        <f>IF('Sensor Detail'!F194=0,"","=" &amp; 'Sensor Detail'!F194)</f>
        <v/>
      </c>
      <c r="AE192" s="25" t="str">
        <f>IF('Sensor Detail'!H194=0,"",'Sensor Detail'!H194)</f>
        <v/>
      </c>
      <c r="AF192" s="27" t="str">
        <f>IF('Sensor Detail'!G194=0,"","-" &amp; 'Sensor Detail'!G194)</f>
        <v/>
      </c>
      <c r="AG192" s="27" t="str">
        <f>IF('Sensor Detail'!I194=0,"",'Sensor Detail'!I194)</f>
        <v/>
      </c>
      <c r="AH192" s="27" t="str">
        <f>IF('Sensor Detail'!E194=0,"","+" &amp; 'Sensor Detail'!E194)</f>
        <v/>
      </c>
      <c r="AI192" s="27" t="str">
        <f t="shared" si="42"/>
        <v/>
      </c>
      <c r="AJ192" s="27" t="str">
        <f>IF('Sensor Detail'!J194=0,"",'Sensor Detail'!J194)</f>
        <v/>
      </c>
      <c r="AK192" s="27" t="str">
        <f>IF('Sensor Detail'!K194=0,"",'Sensor Detail'!K194)</f>
        <v/>
      </c>
      <c r="AL192" s="27" t="str">
        <f>IF('Sensor Detail'!L194=0,"",'Sensor Detail'!L194)</f>
        <v/>
      </c>
      <c r="AM192" s="27" t="str">
        <f>IF('Sensor Detail'!M194=0,"",'Sensor Detail'!M194)</f>
        <v/>
      </c>
      <c r="AN192" s="27" t="str">
        <f>IF('Sensor Detail'!N194=0,"",'Sensor Detail'!N194)</f>
        <v/>
      </c>
      <c r="AO192" s="27" t="str">
        <f>IF('Sensor Detail'!O194=0,"",'Sensor Detail'!O194)</f>
        <v/>
      </c>
      <c r="AP192" s="15" t="str">
        <f t="shared" si="43"/>
        <v/>
      </c>
      <c r="AQ192" s="15" t="str">
        <f t="shared" si="44"/>
        <v/>
      </c>
    </row>
    <row r="193" spans="1:43">
      <c r="A193" s="13" t="str">
        <f t="shared" si="30"/>
        <v/>
      </c>
      <c r="B193" s="13" t="str">
        <f t="shared" si="31"/>
        <v/>
      </c>
      <c r="C193" s="15" t="str">
        <f t="shared" si="32"/>
        <v/>
      </c>
      <c r="D193" s="15" t="str">
        <f t="shared" si="33"/>
        <v/>
      </c>
      <c r="E193" s="15" t="str">
        <f t="shared" si="34"/>
        <v/>
      </c>
      <c r="F193" s="15" t="str">
        <f t="shared" si="35"/>
        <v/>
      </c>
      <c r="G193" s="15" t="str">
        <f t="shared" si="36"/>
        <v/>
      </c>
      <c r="H193" s="15" t="str">
        <f t="shared" si="37"/>
        <v/>
      </c>
      <c r="I193" s="15" t="str">
        <f t="shared" si="38"/>
        <v/>
      </c>
      <c r="J193" s="15" t="str">
        <f t="shared" si="39"/>
        <v/>
      </c>
      <c r="K193" s="13" t="str">
        <f>IF('Cylinder Detail'!U195=0,"",'Cylinder Detail'!U195)</f>
        <v/>
      </c>
      <c r="L193" s="13" t="str">
        <f>IF('Cylinder Detail'!Z195=0,"",_xlfn.TEXTBEFORE('Cylinder Detail'!Z195, ","))</f>
        <v/>
      </c>
      <c r="M193" s="13" t="str">
        <f t="shared" si="40"/>
        <v/>
      </c>
      <c r="N193" s="17" t="str">
        <f>IF('Cylinder Detail'!V195=0,"",'Cylinder Detail'!V195)</f>
        <v/>
      </c>
      <c r="O193" s="17" t="str">
        <f>IF('Cylinder Detail'!Z195=0,"",_xlfn.TEXTAFTER('Cylinder Detail'!Z195, ", "))</f>
        <v/>
      </c>
      <c r="P193" s="17" t="str">
        <f>IF('Cylinder Detail'!AA195=0,"",'Cylinder Detail'!AA195)</f>
        <v/>
      </c>
      <c r="Q193" s="19" t="str">
        <f>IF('Cylinder Detail'!W195=0,"",'Cylinder Detail'!W195)</f>
        <v/>
      </c>
      <c r="R193" s="19" t="str">
        <f>IF('Cylinder Detail'!Y195=0,"",'Cylinder Detail'!Y195)</f>
        <v/>
      </c>
      <c r="S193" s="21" t="str">
        <f>IF('Cylinder Detail'!X195=0,"",'Cylinder Detail'!X195)</f>
        <v/>
      </c>
      <c r="T193" s="21" t="str">
        <f>IF('Cylinder Detail'!F195=0,"",'Cylinder Detail'!F195)</f>
        <v/>
      </c>
      <c r="U193" s="21" t="str">
        <f>IF('Cylinder Detail'!R195=0,"",'Cylinder Detail'!R195)</f>
        <v/>
      </c>
      <c r="V193" s="21" t="str">
        <f>IF('Cylinder Detail'!Q195=0,"",'Cylinder Detail'!Q195)</f>
        <v/>
      </c>
      <c r="W193" s="21" t="str">
        <f>IF('Cylinder Detail'!E195=0,"","+" &amp; 'Cylinder Detail'!E195)</f>
        <v/>
      </c>
      <c r="X193" s="21" t="str">
        <f t="shared" si="41"/>
        <v/>
      </c>
      <c r="Y193" s="21" t="str">
        <f>IF('Cylinder Detail'!S195=0,"",'Cylinder Detail'!S195)</f>
        <v/>
      </c>
      <c r="Z193" s="21" t="str">
        <f>IF('Cylinder Detail'!T195=0,"",'Cylinder Detail'!T195)</f>
        <v/>
      </c>
      <c r="AA193" s="21" t="str">
        <f>IF('Cylinder Detail'!H195=0,"",'Cylinder Detail'!H195)</f>
        <v/>
      </c>
      <c r="AB193" s="21" t="str">
        <f>IF('Cylinder Detail'!I195=0,"",'Cylinder Detail'!I195)</f>
        <v/>
      </c>
      <c r="AC193" s="22" t="str">
        <f>IF('Cylinder Detail'!AB195=0,"",'Cylinder Detail'!AB195)</f>
        <v/>
      </c>
      <c r="AD193" s="25" t="str">
        <f>IF('Sensor Detail'!F195=0,"","=" &amp; 'Sensor Detail'!F195)</f>
        <v/>
      </c>
      <c r="AE193" s="25" t="str">
        <f>IF('Sensor Detail'!H195=0,"",'Sensor Detail'!H195)</f>
        <v/>
      </c>
      <c r="AF193" s="27" t="str">
        <f>IF('Sensor Detail'!G195=0,"","-" &amp; 'Sensor Detail'!G195)</f>
        <v/>
      </c>
      <c r="AG193" s="27" t="str">
        <f>IF('Sensor Detail'!I195=0,"",'Sensor Detail'!I195)</f>
        <v/>
      </c>
      <c r="AH193" s="27" t="str">
        <f>IF('Sensor Detail'!E195=0,"","+" &amp; 'Sensor Detail'!E195)</f>
        <v/>
      </c>
      <c r="AI193" s="27" t="str">
        <f t="shared" si="42"/>
        <v/>
      </c>
      <c r="AJ193" s="27" t="str">
        <f>IF('Sensor Detail'!J195=0,"",'Sensor Detail'!J195)</f>
        <v/>
      </c>
      <c r="AK193" s="27" t="str">
        <f>IF('Sensor Detail'!K195=0,"",'Sensor Detail'!K195)</f>
        <v/>
      </c>
      <c r="AL193" s="27" t="str">
        <f>IF('Sensor Detail'!L195=0,"",'Sensor Detail'!L195)</f>
        <v/>
      </c>
      <c r="AM193" s="27" t="str">
        <f>IF('Sensor Detail'!M195=0,"",'Sensor Detail'!M195)</f>
        <v/>
      </c>
      <c r="AN193" s="27" t="str">
        <f>IF('Sensor Detail'!N195=0,"",'Sensor Detail'!N195)</f>
        <v/>
      </c>
      <c r="AO193" s="27" t="str">
        <f>IF('Sensor Detail'!O195=0,"",'Sensor Detail'!O195)</f>
        <v/>
      </c>
      <c r="AP193" s="15" t="str">
        <f t="shared" si="43"/>
        <v/>
      </c>
      <c r="AQ193" s="15" t="str">
        <f t="shared" si="44"/>
        <v/>
      </c>
    </row>
    <row r="194" spans="1:43">
      <c r="A194" s="13" t="str">
        <f t="shared" si="30"/>
        <v/>
      </c>
      <c r="B194" s="13" t="str">
        <f t="shared" si="31"/>
        <v/>
      </c>
      <c r="C194" s="15" t="str">
        <f t="shared" si="32"/>
        <v/>
      </c>
      <c r="D194" s="15" t="str">
        <f t="shared" si="33"/>
        <v/>
      </c>
      <c r="E194" s="15" t="str">
        <f t="shared" si="34"/>
        <v/>
      </c>
      <c r="F194" s="15" t="str">
        <f t="shared" si="35"/>
        <v/>
      </c>
      <c r="G194" s="15" t="str">
        <f t="shared" si="36"/>
        <v/>
      </c>
      <c r="H194" s="15" t="str">
        <f t="shared" si="37"/>
        <v/>
      </c>
      <c r="I194" s="15" t="str">
        <f t="shared" si="38"/>
        <v/>
      </c>
      <c r="J194" s="15" t="str">
        <f t="shared" si="39"/>
        <v/>
      </c>
      <c r="K194" s="13" t="str">
        <f>IF('Cylinder Detail'!U196=0,"",'Cylinder Detail'!U196)</f>
        <v/>
      </c>
      <c r="L194" s="13" t="str">
        <f>IF('Cylinder Detail'!Z196=0,"",_xlfn.TEXTBEFORE('Cylinder Detail'!Z196, ","))</f>
        <v/>
      </c>
      <c r="M194" s="13" t="str">
        <f t="shared" si="40"/>
        <v/>
      </c>
      <c r="N194" s="17" t="str">
        <f>IF('Cylinder Detail'!V196=0,"",'Cylinder Detail'!V196)</f>
        <v/>
      </c>
      <c r="O194" s="17" t="str">
        <f>IF('Cylinder Detail'!Z196=0,"",_xlfn.TEXTAFTER('Cylinder Detail'!Z196, ", "))</f>
        <v/>
      </c>
      <c r="P194" s="17" t="str">
        <f>IF('Cylinder Detail'!AA196=0,"",'Cylinder Detail'!AA196)</f>
        <v/>
      </c>
      <c r="Q194" s="19" t="str">
        <f>IF('Cylinder Detail'!W196=0,"",'Cylinder Detail'!W196)</f>
        <v/>
      </c>
      <c r="R194" s="19" t="str">
        <f>IF('Cylinder Detail'!Y196=0,"",'Cylinder Detail'!Y196)</f>
        <v/>
      </c>
      <c r="S194" s="21" t="str">
        <f>IF('Cylinder Detail'!X196=0,"",'Cylinder Detail'!X196)</f>
        <v/>
      </c>
      <c r="T194" s="21" t="str">
        <f>IF('Cylinder Detail'!F196=0,"",'Cylinder Detail'!F196)</f>
        <v/>
      </c>
      <c r="U194" s="21" t="str">
        <f>IF('Cylinder Detail'!R196=0,"",'Cylinder Detail'!R196)</f>
        <v/>
      </c>
      <c r="V194" s="21" t="str">
        <f>IF('Cylinder Detail'!Q196=0,"",'Cylinder Detail'!Q196)</f>
        <v/>
      </c>
      <c r="W194" s="21" t="str">
        <f>IF('Cylinder Detail'!E196=0,"","+" &amp; 'Cylinder Detail'!E196)</f>
        <v/>
      </c>
      <c r="X194" s="21" t="str">
        <f t="shared" si="41"/>
        <v/>
      </c>
      <c r="Y194" s="21" t="str">
        <f>IF('Cylinder Detail'!S196=0,"",'Cylinder Detail'!S196)</f>
        <v/>
      </c>
      <c r="Z194" s="21" t="str">
        <f>IF('Cylinder Detail'!T196=0,"",'Cylinder Detail'!T196)</f>
        <v/>
      </c>
      <c r="AA194" s="21" t="str">
        <f>IF('Cylinder Detail'!H196=0,"",'Cylinder Detail'!H196)</f>
        <v/>
      </c>
      <c r="AB194" s="21" t="str">
        <f>IF('Cylinder Detail'!I196=0,"",'Cylinder Detail'!I196)</f>
        <v/>
      </c>
      <c r="AC194" s="22" t="str">
        <f>IF('Cylinder Detail'!AB196=0,"",'Cylinder Detail'!AB196)</f>
        <v/>
      </c>
      <c r="AD194" s="25" t="str">
        <f>IF('Sensor Detail'!F196=0,"","=" &amp; 'Sensor Detail'!F196)</f>
        <v/>
      </c>
      <c r="AE194" s="25" t="str">
        <f>IF('Sensor Detail'!H196=0,"",'Sensor Detail'!H196)</f>
        <v/>
      </c>
      <c r="AF194" s="27" t="str">
        <f>IF('Sensor Detail'!G196=0,"","-" &amp; 'Sensor Detail'!G196)</f>
        <v/>
      </c>
      <c r="AG194" s="27" t="str">
        <f>IF('Sensor Detail'!I196=0,"",'Sensor Detail'!I196)</f>
        <v/>
      </c>
      <c r="AH194" s="27" t="str">
        <f>IF('Sensor Detail'!E196=0,"","+" &amp; 'Sensor Detail'!E196)</f>
        <v/>
      </c>
      <c r="AI194" s="27" t="str">
        <f t="shared" si="42"/>
        <v/>
      </c>
      <c r="AJ194" s="27" t="str">
        <f>IF('Sensor Detail'!J196=0,"",'Sensor Detail'!J196)</f>
        <v/>
      </c>
      <c r="AK194" s="27" t="str">
        <f>IF('Sensor Detail'!K196=0,"",'Sensor Detail'!K196)</f>
        <v/>
      </c>
      <c r="AL194" s="27" t="str">
        <f>IF('Sensor Detail'!L196=0,"",'Sensor Detail'!L196)</f>
        <v/>
      </c>
      <c r="AM194" s="27" t="str">
        <f>IF('Sensor Detail'!M196=0,"",'Sensor Detail'!M196)</f>
        <v/>
      </c>
      <c r="AN194" s="27" t="str">
        <f>IF('Sensor Detail'!N196=0,"",'Sensor Detail'!N196)</f>
        <v/>
      </c>
      <c r="AO194" s="27" t="str">
        <f>IF('Sensor Detail'!O196=0,"",'Sensor Detail'!O196)</f>
        <v/>
      </c>
      <c r="AP194" s="15" t="str">
        <f t="shared" si="43"/>
        <v/>
      </c>
      <c r="AQ194" s="15" t="str">
        <f t="shared" si="44"/>
        <v/>
      </c>
    </row>
    <row r="195" spans="1:43">
      <c r="A195" s="13" t="str">
        <f t="shared" ref="A195:A258" si="45">IF(K195 = "","",Integrator)</f>
        <v/>
      </c>
      <c r="B195" s="13" t="str">
        <f t="shared" ref="B195:B258" si="46">IF(K195 = "","",IntegratorResponsibleEngineer)</f>
        <v/>
      </c>
      <c r="C195" s="15" t="str">
        <f t="shared" ref="C195:C258" si="47">IF(K195 = "","","++" &amp; Shop)</f>
        <v/>
      </c>
      <c r="D195" s="15" t="str">
        <f t="shared" ref="D195:D258" si="48">IF(K195 = "","","++" &amp; Line)</f>
        <v/>
      </c>
      <c r="E195" s="15" t="str">
        <f t="shared" ref="E195:E258" si="49">IF(K195 = "","",LineDescription)</f>
        <v/>
      </c>
      <c r="F195" s="15" t="str">
        <f t="shared" ref="F195:F258" si="50">IF(K195 = "","","+" &amp; Station)</f>
        <v/>
      </c>
      <c r="G195" s="15" t="str">
        <f t="shared" ref="G195:G258" si="51">IF(K195 = "","",StationDescription)</f>
        <v/>
      </c>
      <c r="H195" s="15" t="str">
        <f t="shared" ref="H195:H258" si="52">IF(K195 = "","",IF(System = "", "", "+" &amp; System) &amp; IF(Tool = "", "", "+" &amp; Tool))</f>
        <v/>
      </c>
      <c r="I195" s="15" t="str">
        <f t="shared" ref="I195:I258" si="53">IF(K195 = "","",ToolDescription)</f>
        <v/>
      </c>
      <c r="J195" s="15" t="str">
        <f t="shared" ref="J195:J258" si="54">IF(K195 = "","",ToolType)</f>
        <v/>
      </c>
      <c r="K195" s="13" t="str">
        <f>IF('Cylinder Detail'!U197=0,"",'Cylinder Detail'!U197)</f>
        <v/>
      </c>
      <c r="L195" s="13" t="str">
        <f>IF('Cylinder Detail'!Z197=0,"",_xlfn.TEXTBEFORE('Cylinder Detail'!Z197, ","))</f>
        <v/>
      </c>
      <c r="M195" s="13" t="str">
        <f t="shared" ref="M195:M258" si="55">IF(K195 = "","",ManifoldConnection)</f>
        <v/>
      </c>
      <c r="N195" s="17" t="str">
        <f>IF('Cylinder Detail'!V197=0,"",'Cylinder Detail'!V197)</f>
        <v/>
      </c>
      <c r="O195" s="17" t="str">
        <f>IF('Cylinder Detail'!Z197=0,"",_xlfn.TEXTAFTER('Cylinder Detail'!Z197, ", "))</f>
        <v/>
      </c>
      <c r="P195" s="17" t="str">
        <f>IF('Cylinder Detail'!AA197=0,"",'Cylinder Detail'!AA197)</f>
        <v/>
      </c>
      <c r="Q195" s="19" t="str">
        <f>IF('Cylinder Detail'!W197=0,"",'Cylinder Detail'!W197)</f>
        <v/>
      </c>
      <c r="R195" s="19" t="str">
        <f>IF('Cylinder Detail'!Y197=0,"",'Cylinder Detail'!Y197)</f>
        <v/>
      </c>
      <c r="S195" s="21" t="str">
        <f>IF('Cylinder Detail'!X197=0,"",'Cylinder Detail'!X197)</f>
        <v/>
      </c>
      <c r="T195" s="21" t="str">
        <f>IF('Cylinder Detail'!F197=0,"",'Cylinder Detail'!F197)</f>
        <v/>
      </c>
      <c r="U195" s="21" t="str">
        <f>IF('Cylinder Detail'!R197=0,"",'Cylinder Detail'!R197)</f>
        <v/>
      </c>
      <c r="V195" s="21" t="str">
        <f>IF('Cylinder Detail'!Q197=0,"",'Cylinder Detail'!Q197)</f>
        <v/>
      </c>
      <c r="W195" s="21" t="str">
        <f>IF('Cylinder Detail'!E197=0,"","+" &amp; 'Cylinder Detail'!E197)</f>
        <v/>
      </c>
      <c r="X195" s="21" t="str">
        <f t="shared" ref="X195:X258" si="56">IF(W195 = "", "","Unit ") &amp;W195</f>
        <v/>
      </c>
      <c r="Y195" s="21" t="str">
        <f>IF('Cylinder Detail'!S197=0,"",'Cylinder Detail'!S197)</f>
        <v/>
      </c>
      <c r="Z195" s="21" t="str">
        <f>IF('Cylinder Detail'!T197=0,"",'Cylinder Detail'!T197)</f>
        <v/>
      </c>
      <c r="AA195" s="21" t="str">
        <f>IF('Cylinder Detail'!H197=0,"",'Cylinder Detail'!H197)</f>
        <v/>
      </c>
      <c r="AB195" s="21" t="str">
        <f>IF('Cylinder Detail'!I197=0,"",'Cylinder Detail'!I197)</f>
        <v/>
      </c>
      <c r="AC195" s="22" t="str">
        <f>IF('Cylinder Detail'!AB197=0,"",'Cylinder Detail'!AB197)</f>
        <v/>
      </c>
      <c r="AD195" s="25" t="str">
        <f>IF('Sensor Detail'!F197=0,"","=" &amp; 'Sensor Detail'!F197)</f>
        <v/>
      </c>
      <c r="AE195" s="25" t="str">
        <f>IF('Sensor Detail'!H197=0,"",'Sensor Detail'!H197)</f>
        <v/>
      </c>
      <c r="AF195" s="27" t="str">
        <f>IF('Sensor Detail'!G197=0,"","-" &amp; 'Sensor Detail'!G197)</f>
        <v/>
      </c>
      <c r="AG195" s="27" t="str">
        <f>IF('Sensor Detail'!I197=0,"",'Sensor Detail'!I197)</f>
        <v/>
      </c>
      <c r="AH195" s="27" t="str">
        <f>IF('Sensor Detail'!E197=0,"","+" &amp; 'Sensor Detail'!E197)</f>
        <v/>
      </c>
      <c r="AI195" s="27" t="str">
        <f t="shared" ref="AI195:AI258" si="57">IF(AH195 = "", "","Unit ") &amp;AH195</f>
        <v/>
      </c>
      <c r="AJ195" s="27" t="str">
        <f>IF('Sensor Detail'!J197=0,"",'Sensor Detail'!J197)</f>
        <v/>
      </c>
      <c r="AK195" s="27" t="str">
        <f>IF('Sensor Detail'!K197=0,"",'Sensor Detail'!K197)</f>
        <v/>
      </c>
      <c r="AL195" s="27" t="str">
        <f>IF('Sensor Detail'!L197=0,"",'Sensor Detail'!L197)</f>
        <v/>
      </c>
      <c r="AM195" s="27" t="str">
        <f>IF('Sensor Detail'!M197=0,"",'Sensor Detail'!M197)</f>
        <v/>
      </c>
      <c r="AN195" s="27" t="str">
        <f>IF('Sensor Detail'!N197=0,"",'Sensor Detail'!N197)</f>
        <v/>
      </c>
      <c r="AO195" s="27" t="str">
        <f>IF('Sensor Detail'!O197=0,"",'Sensor Detail'!O197)</f>
        <v/>
      </c>
      <c r="AP195" s="15" t="str">
        <f t="shared" ref="AP195:AP258" si="58">IF(K195 = "","",System)</f>
        <v/>
      </c>
      <c r="AQ195" s="15" t="str">
        <f t="shared" ref="AQ195:AQ258" si="59">IF(K195 = "","",SystemDescription)</f>
        <v/>
      </c>
    </row>
    <row r="196" spans="1:43">
      <c r="A196" s="13" t="str">
        <f t="shared" si="45"/>
        <v/>
      </c>
      <c r="B196" s="13" t="str">
        <f t="shared" si="46"/>
        <v/>
      </c>
      <c r="C196" s="15" t="str">
        <f t="shared" si="47"/>
        <v/>
      </c>
      <c r="D196" s="15" t="str">
        <f t="shared" si="48"/>
        <v/>
      </c>
      <c r="E196" s="15" t="str">
        <f t="shared" si="49"/>
        <v/>
      </c>
      <c r="F196" s="15" t="str">
        <f t="shared" si="50"/>
        <v/>
      </c>
      <c r="G196" s="15" t="str">
        <f t="shared" si="51"/>
        <v/>
      </c>
      <c r="H196" s="15" t="str">
        <f t="shared" si="52"/>
        <v/>
      </c>
      <c r="I196" s="15" t="str">
        <f t="shared" si="53"/>
        <v/>
      </c>
      <c r="J196" s="15" t="str">
        <f t="shared" si="54"/>
        <v/>
      </c>
      <c r="K196" s="13" t="str">
        <f>IF('Cylinder Detail'!U198=0,"",'Cylinder Detail'!U198)</f>
        <v/>
      </c>
      <c r="L196" s="13" t="str">
        <f>IF('Cylinder Detail'!Z198=0,"",_xlfn.TEXTBEFORE('Cylinder Detail'!Z198, ","))</f>
        <v/>
      </c>
      <c r="M196" s="13" t="str">
        <f t="shared" si="55"/>
        <v/>
      </c>
      <c r="N196" s="17" t="str">
        <f>IF('Cylinder Detail'!V198=0,"",'Cylinder Detail'!V198)</f>
        <v/>
      </c>
      <c r="O196" s="17" t="str">
        <f>IF('Cylinder Detail'!Z198=0,"",_xlfn.TEXTAFTER('Cylinder Detail'!Z198, ", "))</f>
        <v/>
      </c>
      <c r="P196" s="17" t="str">
        <f>IF('Cylinder Detail'!AA198=0,"",'Cylinder Detail'!AA198)</f>
        <v/>
      </c>
      <c r="Q196" s="19" t="str">
        <f>IF('Cylinder Detail'!W198=0,"",'Cylinder Detail'!W198)</f>
        <v/>
      </c>
      <c r="R196" s="19" t="str">
        <f>IF('Cylinder Detail'!Y198=0,"",'Cylinder Detail'!Y198)</f>
        <v/>
      </c>
      <c r="S196" s="21" t="str">
        <f>IF('Cylinder Detail'!X198=0,"",'Cylinder Detail'!X198)</f>
        <v/>
      </c>
      <c r="T196" s="21" t="str">
        <f>IF('Cylinder Detail'!F198=0,"",'Cylinder Detail'!F198)</f>
        <v/>
      </c>
      <c r="U196" s="21" t="str">
        <f>IF('Cylinder Detail'!R198=0,"",'Cylinder Detail'!R198)</f>
        <v/>
      </c>
      <c r="V196" s="21" t="str">
        <f>IF('Cylinder Detail'!Q198=0,"",'Cylinder Detail'!Q198)</f>
        <v/>
      </c>
      <c r="W196" s="21" t="str">
        <f>IF('Cylinder Detail'!E198=0,"","+" &amp; 'Cylinder Detail'!E198)</f>
        <v/>
      </c>
      <c r="X196" s="21" t="str">
        <f t="shared" si="56"/>
        <v/>
      </c>
      <c r="Y196" s="21" t="str">
        <f>IF('Cylinder Detail'!S198=0,"",'Cylinder Detail'!S198)</f>
        <v/>
      </c>
      <c r="Z196" s="21" t="str">
        <f>IF('Cylinder Detail'!T198=0,"",'Cylinder Detail'!T198)</f>
        <v/>
      </c>
      <c r="AA196" s="21" t="str">
        <f>IF('Cylinder Detail'!H198=0,"",'Cylinder Detail'!H198)</f>
        <v/>
      </c>
      <c r="AB196" s="21" t="str">
        <f>IF('Cylinder Detail'!I198=0,"",'Cylinder Detail'!I198)</f>
        <v/>
      </c>
      <c r="AC196" s="22" t="str">
        <f>IF('Cylinder Detail'!AB198=0,"",'Cylinder Detail'!AB198)</f>
        <v/>
      </c>
      <c r="AD196" s="25" t="str">
        <f>IF('Sensor Detail'!F198=0,"","=" &amp; 'Sensor Detail'!F198)</f>
        <v/>
      </c>
      <c r="AE196" s="25" t="str">
        <f>IF('Sensor Detail'!H198=0,"",'Sensor Detail'!H198)</f>
        <v/>
      </c>
      <c r="AF196" s="27" t="str">
        <f>IF('Sensor Detail'!G198=0,"","-" &amp; 'Sensor Detail'!G198)</f>
        <v/>
      </c>
      <c r="AG196" s="27" t="str">
        <f>IF('Sensor Detail'!I198=0,"",'Sensor Detail'!I198)</f>
        <v/>
      </c>
      <c r="AH196" s="27" t="str">
        <f>IF('Sensor Detail'!E198=0,"","+" &amp; 'Sensor Detail'!E198)</f>
        <v/>
      </c>
      <c r="AI196" s="27" t="str">
        <f t="shared" si="57"/>
        <v/>
      </c>
      <c r="AJ196" s="27" t="str">
        <f>IF('Sensor Detail'!J198=0,"",'Sensor Detail'!J198)</f>
        <v/>
      </c>
      <c r="AK196" s="27" t="str">
        <f>IF('Sensor Detail'!K198=0,"",'Sensor Detail'!K198)</f>
        <v/>
      </c>
      <c r="AL196" s="27" t="str">
        <f>IF('Sensor Detail'!L198=0,"",'Sensor Detail'!L198)</f>
        <v/>
      </c>
      <c r="AM196" s="27" t="str">
        <f>IF('Sensor Detail'!M198=0,"",'Sensor Detail'!M198)</f>
        <v/>
      </c>
      <c r="AN196" s="27" t="str">
        <f>IF('Sensor Detail'!N198=0,"",'Sensor Detail'!N198)</f>
        <v/>
      </c>
      <c r="AO196" s="27" t="str">
        <f>IF('Sensor Detail'!O198=0,"",'Sensor Detail'!O198)</f>
        <v/>
      </c>
      <c r="AP196" s="15" t="str">
        <f t="shared" si="58"/>
        <v/>
      </c>
      <c r="AQ196" s="15" t="str">
        <f t="shared" si="59"/>
        <v/>
      </c>
    </row>
    <row r="197" spans="1:43">
      <c r="A197" s="13" t="str">
        <f t="shared" si="45"/>
        <v/>
      </c>
      <c r="B197" s="13" t="str">
        <f t="shared" si="46"/>
        <v/>
      </c>
      <c r="C197" s="15" t="str">
        <f t="shared" si="47"/>
        <v/>
      </c>
      <c r="D197" s="15" t="str">
        <f t="shared" si="48"/>
        <v/>
      </c>
      <c r="E197" s="15" t="str">
        <f t="shared" si="49"/>
        <v/>
      </c>
      <c r="F197" s="15" t="str">
        <f t="shared" si="50"/>
        <v/>
      </c>
      <c r="G197" s="15" t="str">
        <f t="shared" si="51"/>
        <v/>
      </c>
      <c r="H197" s="15" t="str">
        <f t="shared" si="52"/>
        <v/>
      </c>
      <c r="I197" s="15" t="str">
        <f t="shared" si="53"/>
        <v/>
      </c>
      <c r="J197" s="15" t="str">
        <f t="shared" si="54"/>
        <v/>
      </c>
      <c r="K197" s="13" t="str">
        <f>IF('Cylinder Detail'!U199=0,"",'Cylinder Detail'!U199)</f>
        <v/>
      </c>
      <c r="L197" s="13" t="str">
        <f>IF('Cylinder Detail'!Z199=0,"",_xlfn.TEXTBEFORE('Cylinder Detail'!Z199, ","))</f>
        <v/>
      </c>
      <c r="M197" s="13" t="str">
        <f t="shared" si="55"/>
        <v/>
      </c>
      <c r="N197" s="17" t="str">
        <f>IF('Cylinder Detail'!V199=0,"",'Cylinder Detail'!V199)</f>
        <v/>
      </c>
      <c r="O197" s="17" t="str">
        <f>IF('Cylinder Detail'!Z199=0,"",_xlfn.TEXTAFTER('Cylinder Detail'!Z199, ", "))</f>
        <v/>
      </c>
      <c r="P197" s="17" t="str">
        <f>IF('Cylinder Detail'!AA199=0,"",'Cylinder Detail'!AA199)</f>
        <v/>
      </c>
      <c r="Q197" s="19" t="str">
        <f>IF('Cylinder Detail'!W199=0,"",'Cylinder Detail'!W199)</f>
        <v/>
      </c>
      <c r="R197" s="19" t="str">
        <f>IF('Cylinder Detail'!Y199=0,"",'Cylinder Detail'!Y199)</f>
        <v/>
      </c>
      <c r="S197" s="21" t="str">
        <f>IF('Cylinder Detail'!X199=0,"",'Cylinder Detail'!X199)</f>
        <v/>
      </c>
      <c r="T197" s="21" t="str">
        <f>IF('Cylinder Detail'!F199=0,"",'Cylinder Detail'!F199)</f>
        <v/>
      </c>
      <c r="U197" s="21" t="str">
        <f>IF('Cylinder Detail'!R199=0,"",'Cylinder Detail'!R199)</f>
        <v/>
      </c>
      <c r="V197" s="21" t="str">
        <f>IF('Cylinder Detail'!Q199=0,"",'Cylinder Detail'!Q199)</f>
        <v/>
      </c>
      <c r="W197" s="21" t="str">
        <f>IF('Cylinder Detail'!E199=0,"","+" &amp; 'Cylinder Detail'!E199)</f>
        <v/>
      </c>
      <c r="X197" s="21" t="str">
        <f t="shared" si="56"/>
        <v/>
      </c>
      <c r="Y197" s="21" t="str">
        <f>IF('Cylinder Detail'!S199=0,"",'Cylinder Detail'!S199)</f>
        <v/>
      </c>
      <c r="Z197" s="21" t="str">
        <f>IF('Cylinder Detail'!T199=0,"",'Cylinder Detail'!T199)</f>
        <v/>
      </c>
      <c r="AA197" s="21" t="str">
        <f>IF('Cylinder Detail'!H199=0,"",'Cylinder Detail'!H199)</f>
        <v/>
      </c>
      <c r="AB197" s="21" t="str">
        <f>IF('Cylinder Detail'!I199=0,"",'Cylinder Detail'!I199)</f>
        <v/>
      </c>
      <c r="AC197" s="22" t="str">
        <f>IF('Cylinder Detail'!AB199=0,"",'Cylinder Detail'!AB199)</f>
        <v/>
      </c>
      <c r="AD197" s="25" t="str">
        <f>IF('Sensor Detail'!F199=0,"","=" &amp; 'Sensor Detail'!F199)</f>
        <v/>
      </c>
      <c r="AE197" s="25" t="str">
        <f>IF('Sensor Detail'!H199=0,"",'Sensor Detail'!H199)</f>
        <v/>
      </c>
      <c r="AF197" s="27" t="str">
        <f>IF('Sensor Detail'!G199=0,"","-" &amp; 'Sensor Detail'!G199)</f>
        <v/>
      </c>
      <c r="AG197" s="27" t="str">
        <f>IF('Sensor Detail'!I199=0,"",'Sensor Detail'!I199)</f>
        <v/>
      </c>
      <c r="AH197" s="27" t="str">
        <f>IF('Sensor Detail'!E199=0,"","+" &amp; 'Sensor Detail'!E199)</f>
        <v/>
      </c>
      <c r="AI197" s="27" t="str">
        <f t="shared" si="57"/>
        <v/>
      </c>
      <c r="AJ197" s="27" t="str">
        <f>IF('Sensor Detail'!J199=0,"",'Sensor Detail'!J199)</f>
        <v/>
      </c>
      <c r="AK197" s="27" t="str">
        <f>IF('Sensor Detail'!K199=0,"",'Sensor Detail'!K199)</f>
        <v/>
      </c>
      <c r="AL197" s="27" t="str">
        <f>IF('Sensor Detail'!L199=0,"",'Sensor Detail'!L199)</f>
        <v/>
      </c>
      <c r="AM197" s="27" t="str">
        <f>IF('Sensor Detail'!M199=0,"",'Sensor Detail'!M199)</f>
        <v/>
      </c>
      <c r="AN197" s="27" t="str">
        <f>IF('Sensor Detail'!N199=0,"",'Sensor Detail'!N199)</f>
        <v/>
      </c>
      <c r="AO197" s="27" t="str">
        <f>IF('Sensor Detail'!O199=0,"",'Sensor Detail'!O199)</f>
        <v/>
      </c>
      <c r="AP197" s="15" t="str">
        <f t="shared" si="58"/>
        <v/>
      </c>
      <c r="AQ197" s="15" t="str">
        <f t="shared" si="59"/>
        <v/>
      </c>
    </row>
    <row r="198" spans="1:43">
      <c r="A198" s="13" t="str">
        <f t="shared" si="45"/>
        <v/>
      </c>
      <c r="B198" s="13" t="str">
        <f t="shared" si="46"/>
        <v/>
      </c>
      <c r="C198" s="15" t="str">
        <f t="shared" si="47"/>
        <v/>
      </c>
      <c r="D198" s="15" t="str">
        <f t="shared" si="48"/>
        <v/>
      </c>
      <c r="E198" s="15" t="str">
        <f t="shared" si="49"/>
        <v/>
      </c>
      <c r="F198" s="15" t="str">
        <f t="shared" si="50"/>
        <v/>
      </c>
      <c r="G198" s="15" t="str">
        <f t="shared" si="51"/>
        <v/>
      </c>
      <c r="H198" s="15" t="str">
        <f t="shared" si="52"/>
        <v/>
      </c>
      <c r="I198" s="15" t="str">
        <f t="shared" si="53"/>
        <v/>
      </c>
      <c r="J198" s="15" t="str">
        <f t="shared" si="54"/>
        <v/>
      </c>
      <c r="K198" s="13" t="str">
        <f>IF('Cylinder Detail'!U200=0,"",'Cylinder Detail'!U200)</f>
        <v/>
      </c>
      <c r="L198" s="13" t="str">
        <f>IF('Cylinder Detail'!Z200=0,"",_xlfn.TEXTBEFORE('Cylinder Detail'!Z200, ","))</f>
        <v/>
      </c>
      <c r="M198" s="13" t="str">
        <f t="shared" si="55"/>
        <v/>
      </c>
      <c r="N198" s="17" t="str">
        <f>IF('Cylinder Detail'!V200=0,"",'Cylinder Detail'!V200)</f>
        <v/>
      </c>
      <c r="O198" s="17" t="str">
        <f>IF('Cylinder Detail'!Z200=0,"",_xlfn.TEXTAFTER('Cylinder Detail'!Z200, ", "))</f>
        <v/>
      </c>
      <c r="P198" s="17" t="str">
        <f>IF('Cylinder Detail'!AA200=0,"",'Cylinder Detail'!AA200)</f>
        <v/>
      </c>
      <c r="Q198" s="19" t="str">
        <f>IF('Cylinder Detail'!W200=0,"",'Cylinder Detail'!W200)</f>
        <v/>
      </c>
      <c r="R198" s="19" t="str">
        <f>IF('Cylinder Detail'!Y200=0,"",'Cylinder Detail'!Y200)</f>
        <v/>
      </c>
      <c r="S198" s="21" t="str">
        <f>IF('Cylinder Detail'!X200=0,"",'Cylinder Detail'!X200)</f>
        <v/>
      </c>
      <c r="T198" s="21" t="str">
        <f>IF('Cylinder Detail'!F200=0,"",'Cylinder Detail'!F200)</f>
        <v/>
      </c>
      <c r="U198" s="21" t="str">
        <f>IF('Cylinder Detail'!R200=0,"",'Cylinder Detail'!R200)</f>
        <v/>
      </c>
      <c r="V198" s="21" t="str">
        <f>IF('Cylinder Detail'!Q200=0,"",'Cylinder Detail'!Q200)</f>
        <v/>
      </c>
      <c r="W198" s="21" t="str">
        <f>IF('Cylinder Detail'!E200=0,"","+" &amp; 'Cylinder Detail'!E200)</f>
        <v/>
      </c>
      <c r="X198" s="21" t="str">
        <f t="shared" si="56"/>
        <v/>
      </c>
      <c r="Y198" s="21" t="str">
        <f>IF('Cylinder Detail'!S200=0,"",'Cylinder Detail'!S200)</f>
        <v/>
      </c>
      <c r="Z198" s="21" t="str">
        <f>IF('Cylinder Detail'!T200=0,"",'Cylinder Detail'!T200)</f>
        <v/>
      </c>
      <c r="AA198" s="21" t="str">
        <f>IF('Cylinder Detail'!H200=0,"",'Cylinder Detail'!H200)</f>
        <v/>
      </c>
      <c r="AB198" s="21" t="str">
        <f>IF('Cylinder Detail'!I200=0,"",'Cylinder Detail'!I200)</f>
        <v/>
      </c>
      <c r="AC198" s="22" t="str">
        <f>IF('Cylinder Detail'!AB200=0,"",'Cylinder Detail'!AB200)</f>
        <v/>
      </c>
      <c r="AD198" s="25" t="str">
        <f>IF('Sensor Detail'!F200=0,"","=" &amp; 'Sensor Detail'!F200)</f>
        <v/>
      </c>
      <c r="AE198" s="25" t="str">
        <f>IF('Sensor Detail'!H200=0,"",'Sensor Detail'!H200)</f>
        <v/>
      </c>
      <c r="AF198" s="27" t="str">
        <f>IF('Sensor Detail'!G200=0,"","-" &amp; 'Sensor Detail'!G200)</f>
        <v/>
      </c>
      <c r="AG198" s="27" t="str">
        <f>IF('Sensor Detail'!I200=0,"",'Sensor Detail'!I200)</f>
        <v/>
      </c>
      <c r="AH198" s="27" t="str">
        <f>IF('Sensor Detail'!E200=0,"","+" &amp; 'Sensor Detail'!E200)</f>
        <v/>
      </c>
      <c r="AI198" s="27" t="str">
        <f t="shared" si="57"/>
        <v/>
      </c>
      <c r="AJ198" s="27" t="str">
        <f>IF('Sensor Detail'!J200=0,"",'Sensor Detail'!J200)</f>
        <v/>
      </c>
      <c r="AK198" s="27" t="str">
        <f>IF('Sensor Detail'!K200=0,"",'Sensor Detail'!K200)</f>
        <v/>
      </c>
      <c r="AL198" s="27" t="str">
        <f>IF('Sensor Detail'!L200=0,"",'Sensor Detail'!L200)</f>
        <v/>
      </c>
      <c r="AM198" s="27" t="str">
        <f>IF('Sensor Detail'!M200=0,"",'Sensor Detail'!M200)</f>
        <v/>
      </c>
      <c r="AN198" s="27" t="str">
        <f>IF('Sensor Detail'!N200=0,"",'Sensor Detail'!N200)</f>
        <v/>
      </c>
      <c r="AO198" s="27" t="str">
        <f>IF('Sensor Detail'!O200=0,"",'Sensor Detail'!O200)</f>
        <v/>
      </c>
      <c r="AP198" s="15" t="str">
        <f t="shared" si="58"/>
        <v/>
      </c>
      <c r="AQ198" s="15" t="str">
        <f t="shared" si="59"/>
        <v/>
      </c>
    </row>
    <row r="199" spans="1:43">
      <c r="A199" s="13" t="str">
        <f t="shared" si="45"/>
        <v/>
      </c>
      <c r="B199" s="13" t="str">
        <f t="shared" si="46"/>
        <v/>
      </c>
      <c r="C199" s="15" t="str">
        <f t="shared" si="47"/>
        <v/>
      </c>
      <c r="D199" s="15" t="str">
        <f t="shared" si="48"/>
        <v/>
      </c>
      <c r="E199" s="15" t="str">
        <f t="shared" si="49"/>
        <v/>
      </c>
      <c r="F199" s="15" t="str">
        <f t="shared" si="50"/>
        <v/>
      </c>
      <c r="G199" s="15" t="str">
        <f t="shared" si="51"/>
        <v/>
      </c>
      <c r="H199" s="15" t="str">
        <f t="shared" si="52"/>
        <v/>
      </c>
      <c r="I199" s="15" t="str">
        <f t="shared" si="53"/>
        <v/>
      </c>
      <c r="J199" s="15" t="str">
        <f t="shared" si="54"/>
        <v/>
      </c>
      <c r="K199" s="13" t="str">
        <f>IF('Cylinder Detail'!U201=0,"",'Cylinder Detail'!U201)</f>
        <v/>
      </c>
      <c r="L199" s="13" t="str">
        <f>IF('Cylinder Detail'!Z201=0,"",_xlfn.TEXTBEFORE('Cylinder Detail'!Z201, ","))</f>
        <v/>
      </c>
      <c r="M199" s="13" t="str">
        <f t="shared" si="55"/>
        <v/>
      </c>
      <c r="N199" s="17" t="str">
        <f>IF('Cylinder Detail'!V201=0,"",'Cylinder Detail'!V201)</f>
        <v/>
      </c>
      <c r="O199" s="17" t="str">
        <f>IF('Cylinder Detail'!Z201=0,"",_xlfn.TEXTAFTER('Cylinder Detail'!Z201, ", "))</f>
        <v/>
      </c>
      <c r="P199" s="17" t="str">
        <f>IF('Cylinder Detail'!AA201=0,"",'Cylinder Detail'!AA201)</f>
        <v/>
      </c>
      <c r="Q199" s="19" t="str">
        <f>IF('Cylinder Detail'!W201=0,"",'Cylinder Detail'!W201)</f>
        <v/>
      </c>
      <c r="R199" s="19" t="str">
        <f>IF('Cylinder Detail'!Y201=0,"",'Cylinder Detail'!Y201)</f>
        <v/>
      </c>
      <c r="S199" s="21" t="str">
        <f>IF('Cylinder Detail'!X201=0,"",'Cylinder Detail'!X201)</f>
        <v/>
      </c>
      <c r="T199" s="21" t="str">
        <f>IF('Cylinder Detail'!F201=0,"",'Cylinder Detail'!F201)</f>
        <v/>
      </c>
      <c r="U199" s="21" t="str">
        <f>IF('Cylinder Detail'!R201=0,"",'Cylinder Detail'!R201)</f>
        <v/>
      </c>
      <c r="V199" s="21" t="str">
        <f>IF('Cylinder Detail'!Q201=0,"",'Cylinder Detail'!Q201)</f>
        <v/>
      </c>
      <c r="W199" s="21" t="str">
        <f>IF('Cylinder Detail'!E201=0,"","+" &amp; 'Cylinder Detail'!E201)</f>
        <v/>
      </c>
      <c r="X199" s="21" t="str">
        <f t="shared" si="56"/>
        <v/>
      </c>
      <c r="Y199" s="21" t="str">
        <f>IF('Cylinder Detail'!S201=0,"",'Cylinder Detail'!S201)</f>
        <v/>
      </c>
      <c r="Z199" s="21" t="str">
        <f>IF('Cylinder Detail'!T201=0,"",'Cylinder Detail'!T201)</f>
        <v/>
      </c>
      <c r="AA199" s="21" t="str">
        <f>IF('Cylinder Detail'!H201=0,"",'Cylinder Detail'!H201)</f>
        <v/>
      </c>
      <c r="AB199" s="21" t="str">
        <f>IF('Cylinder Detail'!I201=0,"",'Cylinder Detail'!I201)</f>
        <v/>
      </c>
      <c r="AC199" s="22" t="str">
        <f>IF('Cylinder Detail'!AB201=0,"",'Cylinder Detail'!AB201)</f>
        <v/>
      </c>
      <c r="AD199" s="25" t="str">
        <f>IF('Sensor Detail'!F201=0,"","=" &amp; 'Sensor Detail'!F201)</f>
        <v/>
      </c>
      <c r="AE199" s="25" t="str">
        <f>IF('Sensor Detail'!H201=0,"",'Sensor Detail'!H201)</f>
        <v/>
      </c>
      <c r="AF199" s="27" t="str">
        <f>IF('Sensor Detail'!G201=0,"","-" &amp; 'Sensor Detail'!G201)</f>
        <v/>
      </c>
      <c r="AG199" s="27" t="str">
        <f>IF('Sensor Detail'!I201=0,"",'Sensor Detail'!I201)</f>
        <v/>
      </c>
      <c r="AH199" s="27" t="str">
        <f>IF('Sensor Detail'!E201=0,"","+" &amp; 'Sensor Detail'!E201)</f>
        <v/>
      </c>
      <c r="AI199" s="27" t="str">
        <f t="shared" si="57"/>
        <v/>
      </c>
      <c r="AJ199" s="27" t="str">
        <f>IF('Sensor Detail'!J201=0,"",'Sensor Detail'!J201)</f>
        <v/>
      </c>
      <c r="AK199" s="27" t="str">
        <f>IF('Sensor Detail'!K201=0,"",'Sensor Detail'!K201)</f>
        <v/>
      </c>
      <c r="AL199" s="27" t="str">
        <f>IF('Sensor Detail'!L201=0,"",'Sensor Detail'!L201)</f>
        <v/>
      </c>
      <c r="AM199" s="27" t="str">
        <f>IF('Sensor Detail'!M201=0,"",'Sensor Detail'!M201)</f>
        <v/>
      </c>
      <c r="AN199" s="27" t="str">
        <f>IF('Sensor Detail'!N201=0,"",'Sensor Detail'!N201)</f>
        <v/>
      </c>
      <c r="AO199" s="27" t="str">
        <f>IF('Sensor Detail'!O201=0,"",'Sensor Detail'!O201)</f>
        <v/>
      </c>
      <c r="AP199" s="15" t="str">
        <f t="shared" si="58"/>
        <v/>
      </c>
      <c r="AQ199" s="15" t="str">
        <f t="shared" si="59"/>
        <v/>
      </c>
    </row>
    <row r="200" spans="1:43">
      <c r="A200" s="13" t="str">
        <f t="shared" si="45"/>
        <v/>
      </c>
      <c r="B200" s="13" t="str">
        <f t="shared" si="46"/>
        <v/>
      </c>
      <c r="C200" s="15" t="str">
        <f t="shared" si="47"/>
        <v/>
      </c>
      <c r="D200" s="15" t="str">
        <f t="shared" si="48"/>
        <v/>
      </c>
      <c r="E200" s="15" t="str">
        <f t="shared" si="49"/>
        <v/>
      </c>
      <c r="F200" s="15" t="str">
        <f t="shared" si="50"/>
        <v/>
      </c>
      <c r="G200" s="15" t="str">
        <f t="shared" si="51"/>
        <v/>
      </c>
      <c r="H200" s="15" t="str">
        <f t="shared" si="52"/>
        <v/>
      </c>
      <c r="I200" s="15" t="str">
        <f t="shared" si="53"/>
        <v/>
      </c>
      <c r="J200" s="15" t="str">
        <f t="shared" si="54"/>
        <v/>
      </c>
      <c r="K200" s="13" t="str">
        <f>IF('Cylinder Detail'!U202=0,"",'Cylinder Detail'!U202)</f>
        <v/>
      </c>
      <c r="L200" s="13" t="str">
        <f>IF('Cylinder Detail'!Z202=0,"",_xlfn.TEXTBEFORE('Cylinder Detail'!Z202, ","))</f>
        <v/>
      </c>
      <c r="M200" s="13" t="str">
        <f t="shared" si="55"/>
        <v/>
      </c>
      <c r="N200" s="17" t="str">
        <f>IF('Cylinder Detail'!V202=0,"",'Cylinder Detail'!V202)</f>
        <v/>
      </c>
      <c r="O200" s="17" t="str">
        <f>IF('Cylinder Detail'!Z202=0,"",_xlfn.TEXTAFTER('Cylinder Detail'!Z202, ", "))</f>
        <v/>
      </c>
      <c r="P200" s="17" t="str">
        <f>IF('Cylinder Detail'!AA202=0,"",'Cylinder Detail'!AA202)</f>
        <v/>
      </c>
      <c r="Q200" s="19" t="str">
        <f>IF('Cylinder Detail'!W202=0,"",'Cylinder Detail'!W202)</f>
        <v/>
      </c>
      <c r="R200" s="19" t="str">
        <f>IF('Cylinder Detail'!Y202=0,"",'Cylinder Detail'!Y202)</f>
        <v/>
      </c>
      <c r="S200" s="21" t="str">
        <f>IF('Cylinder Detail'!X202=0,"",'Cylinder Detail'!X202)</f>
        <v/>
      </c>
      <c r="T200" s="21" t="str">
        <f>IF('Cylinder Detail'!F202=0,"",'Cylinder Detail'!F202)</f>
        <v/>
      </c>
      <c r="U200" s="21" t="str">
        <f>IF('Cylinder Detail'!R202=0,"",'Cylinder Detail'!R202)</f>
        <v/>
      </c>
      <c r="V200" s="21" t="str">
        <f>IF('Cylinder Detail'!Q202=0,"",'Cylinder Detail'!Q202)</f>
        <v/>
      </c>
      <c r="W200" s="21" t="str">
        <f>IF('Cylinder Detail'!E202=0,"","+" &amp; 'Cylinder Detail'!E202)</f>
        <v/>
      </c>
      <c r="X200" s="21" t="str">
        <f t="shared" si="56"/>
        <v/>
      </c>
      <c r="Y200" s="21" t="str">
        <f>IF('Cylinder Detail'!S202=0,"",'Cylinder Detail'!S202)</f>
        <v/>
      </c>
      <c r="Z200" s="21" t="str">
        <f>IF('Cylinder Detail'!T202=0,"",'Cylinder Detail'!T202)</f>
        <v/>
      </c>
      <c r="AA200" s="21" t="str">
        <f>IF('Cylinder Detail'!H202=0,"",'Cylinder Detail'!H202)</f>
        <v/>
      </c>
      <c r="AB200" s="21" t="str">
        <f>IF('Cylinder Detail'!I202=0,"",'Cylinder Detail'!I202)</f>
        <v/>
      </c>
      <c r="AC200" s="22" t="str">
        <f>IF('Cylinder Detail'!AB202=0,"",'Cylinder Detail'!AB202)</f>
        <v/>
      </c>
      <c r="AD200" s="25" t="str">
        <f>IF('Sensor Detail'!F202=0,"","=" &amp; 'Sensor Detail'!F202)</f>
        <v/>
      </c>
      <c r="AE200" s="25" t="str">
        <f>IF('Sensor Detail'!H202=0,"",'Sensor Detail'!H202)</f>
        <v/>
      </c>
      <c r="AF200" s="27" t="str">
        <f>IF('Sensor Detail'!G202=0,"","-" &amp; 'Sensor Detail'!G202)</f>
        <v/>
      </c>
      <c r="AG200" s="27" t="str">
        <f>IF('Sensor Detail'!I202=0,"",'Sensor Detail'!I202)</f>
        <v/>
      </c>
      <c r="AH200" s="27" t="str">
        <f>IF('Sensor Detail'!E202=0,"","+" &amp; 'Sensor Detail'!E202)</f>
        <v/>
      </c>
      <c r="AI200" s="27" t="str">
        <f t="shared" si="57"/>
        <v/>
      </c>
      <c r="AJ200" s="27" t="str">
        <f>IF('Sensor Detail'!J202=0,"",'Sensor Detail'!J202)</f>
        <v/>
      </c>
      <c r="AK200" s="27" t="str">
        <f>IF('Sensor Detail'!K202=0,"",'Sensor Detail'!K202)</f>
        <v/>
      </c>
      <c r="AL200" s="27" t="str">
        <f>IF('Sensor Detail'!L202=0,"",'Sensor Detail'!L202)</f>
        <v/>
      </c>
      <c r="AM200" s="27" t="str">
        <f>IF('Sensor Detail'!M202=0,"",'Sensor Detail'!M202)</f>
        <v/>
      </c>
      <c r="AN200" s="27" t="str">
        <f>IF('Sensor Detail'!N202=0,"",'Sensor Detail'!N202)</f>
        <v/>
      </c>
      <c r="AO200" s="27" t="str">
        <f>IF('Sensor Detail'!O202=0,"",'Sensor Detail'!O202)</f>
        <v/>
      </c>
      <c r="AP200" s="15" t="str">
        <f t="shared" si="58"/>
        <v/>
      </c>
      <c r="AQ200" s="15" t="str">
        <f t="shared" si="59"/>
        <v/>
      </c>
    </row>
    <row r="201" spans="1:43">
      <c r="A201" s="13" t="str">
        <f t="shared" si="45"/>
        <v/>
      </c>
      <c r="B201" s="13" t="str">
        <f t="shared" si="46"/>
        <v/>
      </c>
      <c r="C201" s="15" t="str">
        <f t="shared" si="47"/>
        <v/>
      </c>
      <c r="D201" s="15" t="str">
        <f t="shared" si="48"/>
        <v/>
      </c>
      <c r="E201" s="15" t="str">
        <f t="shared" si="49"/>
        <v/>
      </c>
      <c r="F201" s="15" t="str">
        <f t="shared" si="50"/>
        <v/>
      </c>
      <c r="G201" s="15" t="str">
        <f t="shared" si="51"/>
        <v/>
      </c>
      <c r="H201" s="15" t="str">
        <f t="shared" si="52"/>
        <v/>
      </c>
      <c r="I201" s="15" t="str">
        <f t="shared" si="53"/>
        <v/>
      </c>
      <c r="J201" s="15" t="str">
        <f t="shared" si="54"/>
        <v/>
      </c>
      <c r="K201" s="13" t="str">
        <f>IF('Cylinder Detail'!U203=0,"",'Cylinder Detail'!U203)</f>
        <v/>
      </c>
      <c r="L201" s="13" t="str">
        <f>IF('Cylinder Detail'!Z203=0,"",_xlfn.TEXTBEFORE('Cylinder Detail'!Z203, ","))</f>
        <v/>
      </c>
      <c r="M201" s="13" t="str">
        <f t="shared" si="55"/>
        <v/>
      </c>
      <c r="N201" s="17" t="str">
        <f>IF('Cylinder Detail'!V203=0,"",'Cylinder Detail'!V203)</f>
        <v/>
      </c>
      <c r="O201" s="17" t="str">
        <f>IF('Cylinder Detail'!Z203=0,"",_xlfn.TEXTAFTER('Cylinder Detail'!Z203, ", "))</f>
        <v/>
      </c>
      <c r="P201" s="17" t="str">
        <f>IF('Cylinder Detail'!AA203=0,"",'Cylinder Detail'!AA203)</f>
        <v/>
      </c>
      <c r="Q201" s="19" t="str">
        <f>IF('Cylinder Detail'!W203=0,"",'Cylinder Detail'!W203)</f>
        <v/>
      </c>
      <c r="R201" s="19" t="str">
        <f>IF('Cylinder Detail'!Y203=0,"",'Cylinder Detail'!Y203)</f>
        <v/>
      </c>
      <c r="S201" s="21" t="str">
        <f>IF('Cylinder Detail'!X203=0,"",'Cylinder Detail'!X203)</f>
        <v/>
      </c>
      <c r="T201" s="21" t="str">
        <f>IF('Cylinder Detail'!F203=0,"",'Cylinder Detail'!F203)</f>
        <v/>
      </c>
      <c r="U201" s="21" t="str">
        <f>IF('Cylinder Detail'!R203=0,"",'Cylinder Detail'!R203)</f>
        <v/>
      </c>
      <c r="V201" s="21" t="str">
        <f>IF('Cylinder Detail'!Q203=0,"",'Cylinder Detail'!Q203)</f>
        <v/>
      </c>
      <c r="W201" s="21" t="str">
        <f>IF('Cylinder Detail'!E203=0,"","+" &amp; 'Cylinder Detail'!E203)</f>
        <v/>
      </c>
      <c r="X201" s="21" t="str">
        <f t="shared" si="56"/>
        <v/>
      </c>
      <c r="Y201" s="21" t="str">
        <f>IF('Cylinder Detail'!S203=0,"",'Cylinder Detail'!S203)</f>
        <v/>
      </c>
      <c r="Z201" s="21" t="str">
        <f>IF('Cylinder Detail'!T203=0,"",'Cylinder Detail'!T203)</f>
        <v/>
      </c>
      <c r="AA201" s="21" t="str">
        <f>IF('Cylinder Detail'!H203=0,"",'Cylinder Detail'!H203)</f>
        <v/>
      </c>
      <c r="AB201" s="21" t="str">
        <f>IF('Cylinder Detail'!I203=0,"",'Cylinder Detail'!I203)</f>
        <v/>
      </c>
      <c r="AC201" s="22" t="str">
        <f>IF('Cylinder Detail'!AB203=0,"",'Cylinder Detail'!AB203)</f>
        <v/>
      </c>
      <c r="AD201" s="25" t="str">
        <f>IF('Sensor Detail'!F203=0,"","=" &amp; 'Sensor Detail'!F203)</f>
        <v/>
      </c>
      <c r="AE201" s="25" t="str">
        <f>IF('Sensor Detail'!H203=0,"",'Sensor Detail'!H203)</f>
        <v/>
      </c>
      <c r="AF201" s="27" t="str">
        <f>IF('Sensor Detail'!G203=0,"","-" &amp; 'Sensor Detail'!G203)</f>
        <v/>
      </c>
      <c r="AG201" s="27" t="str">
        <f>IF('Sensor Detail'!I203=0,"",'Sensor Detail'!I203)</f>
        <v/>
      </c>
      <c r="AH201" s="27" t="str">
        <f>IF('Sensor Detail'!E203=0,"","+" &amp; 'Sensor Detail'!E203)</f>
        <v/>
      </c>
      <c r="AI201" s="27" t="str">
        <f t="shared" si="57"/>
        <v/>
      </c>
      <c r="AJ201" s="27" t="str">
        <f>IF('Sensor Detail'!J203=0,"",'Sensor Detail'!J203)</f>
        <v/>
      </c>
      <c r="AK201" s="27" t="str">
        <f>IF('Sensor Detail'!K203=0,"",'Sensor Detail'!K203)</f>
        <v/>
      </c>
      <c r="AL201" s="27" t="str">
        <f>IF('Sensor Detail'!L203=0,"",'Sensor Detail'!L203)</f>
        <v/>
      </c>
      <c r="AM201" s="27" t="str">
        <f>IF('Sensor Detail'!M203=0,"",'Sensor Detail'!M203)</f>
        <v/>
      </c>
      <c r="AN201" s="27" t="str">
        <f>IF('Sensor Detail'!N203=0,"",'Sensor Detail'!N203)</f>
        <v/>
      </c>
      <c r="AO201" s="27" t="str">
        <f>IF('Sensor Detail'!O203=0,"",'Sensor Detail'!O203)</f>
        <v/>
      </c>
      <c r="AP201" s="15" t="str">
        <f t="shared" si="58"/>
        <v/>
      </c>
      <c r="AQ201" s="15" t="str">
        <f t="shared" si="59"/>
        <v/>
      </c>
    </row>
    <row r="202" spans="1:43">
      <c r="A202" s="13" t="str">
        <f t="shared" si="45"/>
        <v/>
      </c>
      <c r="B202" s="13" t="str">
        <f t="shared" si="46"/>
        <v/>
      </c>
      <c r="C202" s="15" t="str">
        <f t="shared" si="47"/>
        <v/>
      </c>
      <c r="D202" s="15" t="str">
        <f t="shared" si="48"/>
        <v/>
      </c>
      <c r="E202" s="15" t="str">
        <f t="shared" si="49"/>
        <v/>
      </c>
      <c r="F202" s="15" t="str">
        <f t="shared" si="50"/>
        <v/>
      </c>
      <c r="G202" s="15" t="str">
        <f t="shared" si="51"/>
        <v/>
      </c>
      <c r="H202" s="15" t="str">
        <f t="shared" si="52"/>
        <v/>
      </c>
      <c r="I202" s="15" t="str">
        <f t="shared" si="53"/>
        <v/>
      </c>
      <c r="J202" s="15" t="str">
        <f t="shared" si="54"/>
        <v/>
      </c>
      <c r="K202" s="13" t="str">
        <f>IF('Cylinder Detail'!U204=0,"",'Cylinder Detail'!U204)</f>
        <v/>
      </c>
      <c r="L202" s="13" t="str">
        <f>IF('Cylinder Detail'!Z204=0,"",_xlfn.TEXTBEFORE('Cylinder Detail'!Z204, ","))</f>
        <v/>
      </c>
      <c r="M202" s="13" t="str">
        <f t="shared" si="55"/>
        <v/>
      </c>
      <c r="N202" s="17" t="str">
        <f>IF('Cylinder Detail'!V204=0,"",'Cylinder Detail'!V204)</f>
        <v/>
      </c>
      <c r="O202" s="17" t="str">
        <f>IF('Cylinder Detail'!Z204=0,"",_xlfn.TEXTAFTER('Cylinder Detail'!Z204, ", "))</f>
        <v/>
      </c>
      <c r="P202" s="17" t="str">
        <f>IF('Cylinder Detail'!AA204=0,"",'Cylinder Detail'!AA204)</f>
        <v/>
      </c>
      <c r="Q202" s="19" t="str">
        <f>IF('Cylinder Detail'!W204=0,"",'Cylinder Detail'!W204)</f>
        <v/>
      </c>
      <c r="R202" s="19" t="str">
        <f>IF('Cylinder Detail'!Y204=0,"",'Cylinder Detail'!Y204)</f>
        <v/>
      </c>
      <c r="S202" s="21" t="str">
        <f>IF('Cylinder Detail'!X204=0,"",'Cylinder Detail'!X204)</f>
        <v/>
      </c>
      <c r="T202" s="21" t="str">
        <f>IF('Cylinder Detail'!F204=0,"",'Cylinder Detail'!F204)</f>
        <v/>
      </c>
      <c r="U202" s="21" t="str">
        <f>IF('Cylinder Detail'!R204=0,"",'Cylinder Detail'!R204)</f>
        <v/>
      </c>
      <c r="V202" s="21" t="str">
        <f>IF('Cylinder Detail'!Q204=0,"",'Cylinder Detail'!Q204)</f>
        <v/>
      </c>
      <c r="W202" s="21" t="str">
        <f>IF('Cylinder Detail'!E204=0,"","+" &amp; 'Cylinder Detail'!E204)</f>
        <v/>
      </c>
      <c r="X202" s="21" t="str">
        <f t="shared" si="56"/>
        <v/>
      </c>
      <c r="Y202" s="21" t="str">
        <f>IF('Cylinder Detail'!S204=0,"",'Cylinder Detail'!S204)</f>
        <v/>
      </c>
      <c r="Z202" s="21" t="str">
        <f>IF('Cylinder Detail'!T204=0,"",'Cylinder Detail'!T204)</f>
        <v/>
      </c>
      <c r="AA202" s="21" t="str">
        <f>IF('Cylinder Detail'!H204=0,"",'Cylinder Detail'!H204)</f>
        <v/>
      </c>
      <c r="AB202" s="21" t="str">
        <f>IF('Cylinder Detail'!I204=0,"",'Cylinder Detail'!I204)</f>
        <v/>
      </c>
      <c r="AC202" s="22" t="str">
        <f>IF('Cylinder Detail'!AB204=0,"",'Cylinder Detail'!AB204)</f>
        <v/>
      </c>
      <c r="AD202" s="25" t="str">
        <f>IF('Sensor Detail'!F204=0,"","=" &amp; 'Sensor Detail'!F204)</f>
        <v/>
      </c>
      <c r="AE202" s="25" t="str">
        <f>IF('Sensor Detail'!H204=0,"",'Sensor Detail'!H204)</f>
        <v/>
      </c>
      <c r="AF202" s="27" t="str">
        <f>IF('Sensor Detail'!G204=0,"","-" &amp; 'Sensor Detail'!G204)</f>
        <v/>
      </c>
      <c r="AG202" s="27" t="str">
        <f>IF('Sensor Detail'!I204=0,"",'Sensor Detail'!I204)</f>
        <v/>
      </c>
      <c r="AH202" s="27" t="str">
        <f>IF('Sensor Detail'!E204=0,"","+" &amp; 'Sensor Detail'!E204)</f>
        <v/>
      </c>
      <c r="AI202" s="27" t="str">
        <f t="shared" si="57"/>
        <v/>
      </c>
      <c r="AJ202" s="27" t="str">
        <f>IF('Sensor Detail'!J204=0,"",'Sensor Detail'!J204)</f>
        <v/>
      </c>
      <c r="AK202" s="27" t="str">
        <f>IF('Sensor Detail'!K204=0,"",'Sensor Detail'!K204)</f>
        <v/>
      </c>
      <c r="AL202" s="27" t="str">
        <f>IF('Sensor Detail'!L204=0,"",'Sensor Detail'!L204)</f>
        <v/>
      </c>
      <c r="AM202" s="27" t="str">
        <f>IF('Sensor Detail'!M204=0,"",'Sensor Detail'!M204)</f>
        <v/>
      </c>
      <c r="AN202" s="27" t="str">
        <f>IF('Sensor Detail'!N204=0,"",'Sensor Detail'!N204)</f>
        <v/>
      </c>
      <c r="AO202" s="27" t="str">
        <f>IF('Sensor Detail'!O204=0,"",'Sensor Detail'!O204)</f>
        <v/>
      </c>
      <c r="AP202" s="15" t="str">
        <f t="shared" si="58"/>
        <v/>
      </c>
      <c r="AQ202" s="15" t="str">
        <f t="shared" si="59"/>
        <v/>
      </c>
    </row>
    <row r="203" spans="1:43">
      <c r="A203" s="13" t="str">
        <f t="shared" si="45"/>
        <v/>
      </c>
      <c r="B203" s="13" t="str">
        <f t="shared" si="46"/>
        <v/>
      </c>
      <c r="C203" s="15" t="str">
        <f t="shared" si="47"/>
        <v/>
      </c>
      <c r="D203" s="15" t="str">
        <f t="shared" si="48"/>
        <v/>
      </c>
      <c r="E203" s="15" t="str">
        <f t="shared" si="49"/>
        <v/>
      </c>
      <c r="F203" s="15" t="str">
        <f t="shared" si="50"/>
        <v/>
      </c>
      <c r="G203" s="15" t="str">
        <f t="shared" si="51"/>
        <v/>
      </c>
      <c r="H203" s="15" t="str">
        <f t="shared" si="52"/>
        <v/>
      </c>
      <c r="I203" s="15" t="str">
        <f t="shared" si="53"/>
        <v/>
      </c>
      <c r="J203" s="15" t="str">
        <f t="shared" si="54"/>
        <v/>
      </c>
      <c r="K203" s="13" t="str">
        <f>IF('Cylinder Detail'!U205=0,"",'Cylinder Detail'!U205)</f>
        <v/>
      </c>
      <c r="L203" s="13" t="str">
        <f>IF('Cylinder Detail'!Z205=0,"",_xlfn.TEXTBEFORE('Cylinder Detail'!Z205, ","))</f>
        <v/>
      </c>
      <c r="M203" s="13" t="str">
        <f t="shared" si="55"/>
        <v/>
      </c>
      <c r="N203" s="17" t="str">
        <f>IF('Cylinder Detail'!V205=0,"",'Cylinder Detail'!V205)</f>
        <v/>
      </c>
      <c r="O203" s="17" t="str">
        <f>IF('Cylinder Detail'!Z205=0,"",_xlfn.TEXTAFTER('Cylinder Detail'!Z205, ", "))</f>
        <v/>
      </c>
      <c r="P203" s="17" t="str">
        <f>IF('Cylinder Detail'!AA205=0,"",'Cylinder Detail'!AA205)</f>
        <v/>
      </c>
      <c r="Q203" s="19" t="str">
        <f>IF('Cylinder Detail'!W205=0,"",'Cylinder Detail'!W205)</f>
        <v/>
      </c>
      <c r="R203" s="19" t="str">
        <f>IF('Cylinder Detail'!Y205=0,"",'Cylinder Detail'!Y205)</f>
        <v/>
      </c>
      <c r="S203" s="21" t="str">
        <f>IF('Cylinder Detail'!X205=0,"",'Cylinder Detail'!X205)</f>
        <v/>
      </c>
      <c r="T203" s="21" t="str">
        <f>IF('Cylinder Detail'!F205=0,"",'Cylinder Detail'!F205)</f>
        <v/>
      </c>
      <c r="U203" s="21" t="str">
        <f>IF('Cylinder Detail'!R205=0,"",'Cylinder Detail'!R205)</f>
        <v/>
      </c>
      <c r="V203" s="21" t="str">
        <f>IF('Cylinder Detail'!Q205=0,"",'Cylinder Detail'!Q205)</f>
        <v/>
      </c>
      <c r="W203" s="21" t="str">
        <f>IF('Cylinder Detail'!E205=0,"","+" &amp; 'Cylinder Detail'!E205)</f>
        <v/>
      </c>
      <c r="X203" s="21" t="str">
        <f t="shared" si="56"/>
        <v/>
      </c>
      <c r="Y203" s="21" t="str">
        <f>IF('Cylinder Detail'!S205=0,"",'Cylinder Detail'!S205)</f>
        <v/>
      </c>
      <c r="Z203" s="21" t="str">
        <f>IF('Cylinder Detail'!T205=0,"",'Cylinder Detail'!T205)</f>
        <v/>
      </c>
      <c r="AA203" s="21" t="str">
        <f>IF('Cylinder Detail'!H205=0,"",'Cylinder Detail'!H205)</f>
        <v/>
      </c>
      <c r="AB203" s="21" t="str">
        <f>IF('Cylinder Detail'!I205=0,"",'Cylinder Detail'!I205)</f>
        <v/>
      </c>
      <c r="AC203" s="22" t="str">
        <f>IF('Cylinder Detail'!AB205=0,"",'Cylinder Detail'!AB205)</f>
        <v/>
      </c>
      <c r="AD203" s="25" t="str">
        <f>IF('Sensor Detail'!F205=0,"","=" &amp; 'Sensor Detail'!F205)</f>
        <v/>
      </c>
      <c r="AE203" s="25" t="str">
        <f>IF('Sensor Detail'!H205=0,"",'Sensor Detail'!H205)</f>
        <v/>
      </c>
      <c r="AF203" s="27" t="str">
        <f>IF('Sensor Detail'!G205=0,"","-" &amp; 'Sensor Detail'!G205)</f>
        <v/>
      </c>
      <c r="AG203" s="27" t="str">
        <f>IF('Sensor Detail'!I205=0,"",'Sensor Detail'!I205)</f>
        <v/>
      </c>
      <c r="AH203" s="27" t="str">
        <f>IF('Sensor Detail'!E205=0,"","+" &amp; 'Sensor Detail'!E205)</f>
        <v/>
      </c>
      <c r="AI203" s="27" t="str">
        <f t="shared" si="57"/>
        <v/>
      </c>
      <c r="AJ203" s="27" t="str">
        <f>IF('Sensor Detail'!J205=0,"",'Sensor Detail'!J205)</f>
        <v/>
      </c>
      <c r="AK203" s="27" t="str">
        <f>IF('Sensor Detail'!K205=0,"",'Sensor Detail'!K205)</f>
        <v/>
      </c>
      <c r="AL203" s="27" t="str">
        <f>IF('Sensor Detail'!L205=0,"",'Sensor Detail'!L205)</f>
        <v/>
      </c>
      <c r="AM203" s="27" t="str">
        <f>IF('Sensor Detail'!M205=0,"",'Sensor Detail'!M205)</f>
        <v/>
      </c>
      <c r="AN203" s="27" t="str">
        <f>IF('Sensor Detail'!N205=0,"",'Sensor Detail'!N205)</f>
        <v/>
      </c>
      <c r="AO203" s="27" t="str">
        <f>IF('Sensor Detail'!O205=0,"",'Sensor Detail'!O205)</f>
        <v/>
      </c>
      <c r="AP203" s="15" t="str">
        <f t="shared" si="58"/>
        <v/>
      </c>
      <c r="AQ203" s="15" t="str">
        <f t="shared" si="59"/>
        <v/>
      </c>
    </row>
    <row r="204" spans="1:43">
      <c r="A204" s="13" t="str">
        <f t="shared" si="45"/>
        <v/>
      </c>
      <c r="B204" s="13" t="str">
        <f t="shared" si="46"/>
        <v/>
      </c>
      <c r="C204" s="15" t="str">
        <f t="shared" si="47"/>
        <v/>
      </c>
      <c r="D204" s="15" t="str">
        <f t="shared" si="48"/>
        <v/>
      </c>
      <c r="E204" s="15" t="str">
        <f t="shared" si="49"/>
        <v/>
      </c>
      <c r="F204" s="15" t="str">
        <f t="shared" si="50"/>
        <v/>
      </c>
      <c r="G204" s="15" t="str">
        <f t="shared" si="51"/>
        <v/>
      </c>
      <c r="H204" s="15" t="str">
        <f t="shared" si="52"/>
        <v/>
      </c>
      <c r="I204" s="15" t="str">
        <f t="shared" si="53"/>
        <v/>
      </c>
      <c r="J204" s="15" t="str">
        <f t="shared" si="54"/>
        <v/>
      </c>
      <c r="K204" s="13" t="str">
        <f>IF('Cylinder Detail'!U206=0,"",'Cylinder Detail'!U206)</f>
        <v/>
      </c>
      <c r="L204" s="13" t="str">
        <f>IF('Cylinder Detail'!Z206=0,"",_xlfn.TEXTBEFORE('Cylinder Detail'!Z206, ","))</f>
        <v/>
      </c>
      <c r="M204" s="13" t="str">
        <f t="shared" si="55"/>
        <v/>
      </c>
      <c r="N204" s="17" t="str">
        <f>IF('Cylinder Detail'!V206=0,"",'Cylinder Detail'!V206)</f>
        <v/>
      </c>
      <c r="O204" s="17" t="str">
        <f>IF('Cylinder Detail'!Z206=0,"",_xlfn.TEXTAFTER('Cylinder Detail'!Z206, ", "))</f>
        <v/>
      </c>
      <c r="P204" s="17" t="str">
        <f>IF('Cylinder Detail'!AA206=0,"",'Cylinder Detail'!AA206)</f>
        <v/>
      </c>
      <c r="Q204" s="19" t="str">
        <f>IF('Cylinder Detail'!W206=0,"",'Cylinder Detail'!W206)</f>
        <v/>
      </c>
      <c r="R204" s="19" t="str">
        <f>IF('Cylinder Detail'!Y206=0,"",'Cylinder Detail'!Y206)</f>
        <v/>
      </c>
      <c r="S204" s="21" t="str">
        <f>IF('Cylinder Detail'!X206=0,"",'Cylinder Detail'!X206)</f>
        <v/>
      </c>
      <c r="T204" s="21" t="str">
        <f>IF('Cylinder Detail'!F206=0,"",'Cylinder Detail'!F206)</f>
        <v/>
      </c>
      <c r="U204" s="21" t="str">
        <f>IF('Cylinder Detail'!R206=0,"",'Cylinder Detail'!R206)</f>
        <v/>
      </c>
      <c r="V204" s="21" t="str">
        <f>IF('Cylinder Detail'!Q206=0,"",'Cylinder Detail'!Q206)</f>
        <v/>
      </c>
      <c r="W204" s="21" t="str">
        <f>IF('Cylinder Detail'!E206=0,"","+" &amp; 'Cylinder Detail'!E206)</f>
        <v/>
      </c>
      <c r="X204" s="21" t="str">
        <f t="shared" si="56"/>
        <v/>
      </c>
      <c r="Y204" s="21" t="str">
        <f>IF('Cylinder Detail'!S206=0,"",'Cylinder Detail'!S206)</f>
        <v/>
      </c>
      <c r="Z204" s="21" t="str">
        <f>IF('Cylinder Detail'!T206=0,"",'Cylinder Detail'!T206)</f>
        <v/>
      </c>
      <c r="AA204" s="21" t="str">
        <f>IF('Cylinder Detail'!H206=0,"",'Cylinder Detail'!H206)</f>
        <v/>
      </c>
      <c r="AB204" s="21" t="str">
        <f>IF('Cylinder Detail'!I206=0,"",'Cylinder Detail'!I206)</f>
        <v/>
      </c>
      <c r="AC204" s="22" t="str">
        <f>IF('Cylinder Detail'!AB206=0,"",'Cylinder Detail'!AB206)</f>
        <v/>
      </c>
      <c r="AD204" s="25" t="str">
        <f>IF('Sensor Detail'!F206=0,"","=" &amp; 'Sensor Detail'!F206)</f>
        <v/>
      </c>
      <c r="AE204" s="25" t="str">
        <f>IF('Sensor Detail'!H206=0,"",'Sensor Detail'!H206)</f>
        <v/>
      </c>
      <c r="AF204" s="27" t="str">
        <f>IF('Sensor Detail'!G206=0,"","-" &amp; 'Sensor Detail'!G206)</f>
        <v/>
      </c>
      <c r="AG204" s="27" t="str">
        <f>IF('Sensor Detail'!I206=0,"",'Sensor Detail'!I206)</f>
        <v/>
      </c>
      <c r="AH204" s="27" t="str">
        <f>IF('Sensor Detail'!E206=0,"","+" &amp; 'Sensor Detail'!E206)</f>
        <v/>
      </c>
      <c r="AI204" s="27" t="str">
        <f t="shared" si="57"/>
        <v/>
      </c>
      <c r="AJ204" s="27" t="str">
        <f>IF('Sensor Detail'!J206=0,"",'Sensor Detail'!J206)</f>
        <v/>
      </c>
      <c r="AK204" s="27" t="str">
        <f>IF('Sensor Detail'!K206=0,"",'Sensor Detail'!K206)</f>
        <v/>
      </c>
      <c r="AL204" s="27" t="str">
        <f>IF('Sensor Detail'!L206=0,"",'Sensor Detail'!L206)</f>
        <v/>
      </c>
      <c r="AM204" s="27" t="str">
        <f>IF('Sensor Detail'!M206=0,"",'Sensor Detail'!M206)</f>
        <v/>
      </c>
      <c r="AN204" s="27" t="str">
        <f>IF('Sensor Detail'!N206=0,"",'Sensor Detail'!N206)</f>
        <v/>
      </c>
      <c r="AO204" s="27" t="str">
        <f>IF('Sensor Detail'!O206=0,"",'Sensor Detail'!O206)</f>
        <v/>
      </c>
      <c r="AP204" s="15" t="str">
        <f t="shared" si="58"/>
        <v/>
      </c>
      <c r="AQ204" s="15" t="str">
        <f t="shared" si="59"/>
        <v/>
      </c>
    </row>
    <row r="205" spans="1:43">
      <c r="A205" s="13" t="str">
        <f t="shared" si="45"/>
        <v/>
      </c>
      <c r="B205" s="13" t="str">
        <f t="shared" si="46"/>
        <v/>
      </c>
      <c r="C205" s="15" t="str">
        <f t="shared" si="47"/>
        <v/>
      </c>
      <c r="D205" s="15" t="str">
        <f t="shared" si="48"/>
        <v/>
      </c>
      <c r="E205" s="15" t="str">
        <f t="shared" si="49"/>
        <v/>
      </c>
      <c r="F205" s="15" t="str">
        <f t="shared" si="50"/>
        <v/>
      </c>
      <c r="G205" s="15" t="str">
        <f t="shared" si="51"/>
        <v/>
      </c>
      <c r="H205" s="15" t="str">
        <f t="shared" si="52"/>
        <v/>
      </c>
      <c r="I205" s="15" t="str">
        <f t="shared" si="53"/>
        <v/>
      </c>
      <c r="J205" s="15" t="str">
        <f t="shared" si="54"/>
        <v/>
      </c>
      <c r="K205" s="13" t="str">
        <f>IF('Cylinder Detail'!U207=0,"",'Cylinder Detail'!U207)</f>
        <v/>
      </c>
      <c r="L205" s="13" t="str">
        <f>IF('Cylinder Detail'!Z207=0,"",_xlfn.TEXTBEFORE('Cylinder Detail'!Z207, ","))</f>
        <v/>
      </c>
      <c r="M205" s="13" t="str">
        <f t="shared" si="55"/>
        <v/>
      </c>
      <c r="N205" s="17" t="str">
        <f>IF('Cylinder Detail'!V207=0,"",'Cylinder Detail'!V207)</f>
        <v/>
      </c>
      <c r="O205" s="17" t="str">
        <f>IF('Cylinder Detail'!Z207=0,"",_xlfn.TEXTAFTER('Cylinder Detail'!Z207, ", "))</f>
        <v/>
      </c>
      <c r="P205" s="17" t="str">
        <f>IF('Cylinder Detail'!AA207=0,"",'Cylinder Detail'!AA207)</f>
        <v/>
      </c>
      <c r="Q205" s="19" t="str">
        <f>IF('Cylinder Detail'!W207=0,"",'Cylinder Detail'!W207)</f>
        <v/>
      </c>
      <c r="R205" s="19" t="str">
        <f>IF('Cylinder Detail'!Y207=0,"",'Cylinder Detail'!Y207)</f>
        <v/>
      </c>
      <c r="S205" s="21" t="str">
        <f>IF('Cylinder Detail'!X207=0,"",'Cylinder Detail'!X207)</f>
        <v/>
      </c>
      <c r="T205" s="21" t="str">
        <f>IF('Cylinder Detail'!F207=0,"",'Cylinder Detail'!F207)</f>
        <v/>
      </c>
      <c r="U205" s="21" t="str">
        <f>IF('Cylinder Detail'!R207=0,"",'Cylinder Detail'!R207)</f>
        <v/>
      </c>
      <c r="V205" s="21" t="str">
        <f>IF('Cylinder Detail'!Q207=0,"",'Cylinder Detail'!Q207)</f>
        <v/>
      </c>
      <c r="W205" s="21" t="str">
        <f>IF('Cylinder Detail'!E207=0,"","+" &amp; 'Cylinder Detail'!E207)</f>
        <v/>
      </c>
      <c r="X205" s="21" t="str">
        <f t="shared" si="56"/>
        <v/>
      </c>
      <c r="Y205" s="21" t="str">
        <f>IF('Cylinder Detail'!S207=0,"",'Cylinder Detail'!S207)</f>
        <v/>
      </c>
      <c r="Z205" s="21" t="str">
        <f>IF('Cylinder Detail'!T207=0,"",'Cylinder Detail'!T207)</f>
        <v/>
      </c>
      <c r="AA205" s="21" t="str">
        <f>IF('Cylinder Detail'!H207=0,"",'Cylinder Detail'!H207)</f>
        <v/>
      </c>
      <c r="AB205" s="21" t="str">
        <f>IF('Cylinder Detail'!I207=0,"",'Cylinder Detail'!I207)</f>
        <v/>
      </c>
      <c r="AC205" s="22" t="str">
        <f>IF('Cylinder Detail'!AB207=0,"",'Cylinder Detail'!AB207)</f>
        <v/>
      </c>
      <c r="AD205" s="25" t="str">
        <f>IF('Sensor Detail'!F207=0,"","=" &amp; 'Sensor Detail'!F207)</f>
        <v/>
      </c>
      <c r="AE205" s="25" t="str">
        <f>IF('Sensor Detail'!H207=0,"",'Sensor Detail'!H207)</f>
        <v/>
      </c>
      <c r="AF205" s="27" t="str">
        <f>IF('Sensor Detail'!G207=0,"","-" &amp; 'Sensor Detail'!G207)</f>
        <v/>
      </c>
      <c r="AG205" s="27" t="str">
        <f>IF('Sensor Detail'!I207=0,"",'Sensor Detail'!I207)</f>
        <v/>
      </c>
      <c r="AH205" s="27" t="str">
        <f>IF('Sensor Detail'!E207=0,"","+" &amp; 'Sensor Detail'!E207)</f>
        <v/>
      </c>
      <c r="AI205" s="27" t="str">
        <f t="shared" si="57"/>
        <v/>
      </c>
      <c r="AJ205" s="27" t="str">
        <f>IF('Sensor Detail'!J207=0,"",'Sensor Detail'!J207)</f>
        <v/>
      </c>
      <c r="AK205" s="27" t="str">
        <f>IF('Sensor Detail'!K207=0,"",'Sensor Detail'!K207)</f>
        <v/>
      </c>
      <c r="AL205" s="27" t="str">
        <f>IF('Sensor Detail'!L207=0,"",'Sensor Detail'!L207)</f>
        <v/>
      </c>
      <c r="AM205" s="27" t="str">
        <f>IF('Sensor Detail'!M207=0,"",'Sensor Detail'!M207)</f>
        <v/>
      </c>
      <c r="AN205" s="27" t="str">
        <f>IF('Sensor Detail'!N207=0,"",'Sensor Detail'!N207)</f>
        <v/>
      </c>
      <c r="AO205" s="27" t="str">
        <f>IF('Sensor Detail'!O207=0,"",'Sensor Detail'!O207)</f>
        <v/>
      </c>
      <c r="AP205" s="15" t="str">
        <f t="shared" si="58"/>
        <v/>
      </c>
      <c r="AQ205" s="15" t="str">
        <f t="shared" si="59"/>
        <v/>
      </c>
    </row>
    <row r="206" spans="1:43">
      <c r="A206" s="13" t="str">
        <f t="shared" si="45"/>
        <v/>
      </c>
      <c r="B206" s="13" t="str">
        <f t="shared" si="46"/>
        <v/>
      </c>
      <c r="C206" s="15" t="str">
        <f t="shared" si="47"/>
        <v/>
      </c>
      <c r="D206" s="15" t="str">
        <f t="shared" si="48"/>
        <v/>
      </c>
      <c r="E206" s="15" t="str">
        <f t="shared" si="49"/>
        <v/>
      </c>
      <c r="F206" s="15" t="str">
        <f t="shared" si="50"/>
        <v/>
      </c>
      <c r="G206" s="15" t="str">
        <f t="shared" si="51"/>
        <v/>
      </c>
      <c r="H206" s="15" t="str">
        <f t="shared" si="52"/>
        <v/>
      </c>
      <c r="I206" s="15" t="str">
        <f t="shared" si="53"/>
        <v/>
      </c>
      <c r="J206" s="15" t="str">
        <f t="shared" si="54"/>
        <v/>
      </c>
      <c r="K206" s="13" t="str">
        <f>IF('Cylinder Detail'!U208=0,"",'Cylinder Detail'!U208)</f>
        <v/>
      </c>
      <c r="L206" s="13" t="str">
        <f>IF('Cylinder Detail'!Z208=0,"",_xlfn.TEXTBEFORE('Cylinder Detail'!Z208, ","))</f>
        <v/>
      </c>
      <c r="M206" s="13" t="str">
        <f t="shared" si="55"/>
        <v/>
      </c>
      <c r="N206" s="17" t="str">
        <f>IF('Cylinder Detail'!V208=0,"",'Cylinder Detail'!V208)</f>
        <v/>
      </c>
      <c r="O206" s="17" t="str">
        <f>IF('Cylinder Detail'!Z208=0,"",_xlfn.TEXTAFTER('Cylinder Detail'!Z208, ", "))</f>
        <v/>
      </c>
      <c r="P206" s="17" t="str">
        <f>IF('Cylinder Detail'!AA208=0,"",'Cylinder Detail'!AA208)</f>
        <v/>
      </c>
      <c r="Q206" s="19" t="str">
        <f>IF('Cylinder Detail'!W208=0,"",'Cylinder Detail'!W208)</f>
        <v/>
      </c>
      <c r="R206" s="19" t="str">
        <f>IF('Cylinder Detail'!Y208=0,"",'Cylinder Detail'!Y208)</f>
        <v/>
      </c>
      <c r="S206" s="21" t="str">
        <f>IF('Cylinder Detail'!X208=0,"",'Cylinder Detail'!X208)</f>
        <v/>
      </c>
      <c r="T206" s="21" t="str">
        <f>IF('Cylinder Detail'!F208=0,"",'Cylinder Detail'!F208)</f>
        <v/>
      </c>
      <c r="U206" s="21" t="str">
        <f>IF('Cylinder Detail'!R208=0,"",'Cylinder Detail'!R208)</f>
        <v/>
      </c>
      <c r="V206" s="21" t="str">
        <f>IF('Cylinder Detail'!Q208=0,"",'Cylinder Detail'!Q208)</f>
        <v/>
      </c>
      <c r="W206" s="21" t="str">
        <f>IF('Cylinder Detail'!E208=0,"","+" &amp; 'Cylinder Detail'!E208)</f>
        <v/>
      </c>
      <c r="X206" s="21" t="str">
        <f t="shared" si="56"/>
        <v/>
      </c>
      <c r="Y206" s="21" t="str">
        <f>IF('Cylinder Detail'!S208=0,"",'Cylinder Detail'!S208)</f>
        <v/>
      </c>
      <c r="Z206" s="21" t="str">
        <f>IF('Cylinder Detail'!T208=0,"",'Cylinder Detail'!T208)</f>
        <v/>
      </c>
      <c r="AA206" s="21" t="str">
        <f>IF('Cylinder Detail'!H208=0,"",'Cylinder Detail'!H208)</f>
        <v/>
      </c>
      <c r="AB206" s="21" t="str">
        <f>IF('Cylinder Detail'!I208=0,"",'Cylinder Detail'!I208)</f>
        <v/>
      </c>
      <c r="AC206" s="22" t="str">
        <f>IF('Cylinder Detail'!AB208=0,"",'Cylinder Detail'!AB208)</f>
        <v/>
      </c>
      <c r="AD206" s="25" t="str">
        <f>IF('Sensor Detail'!F208=0,"","=" &amp; 'Sensor Detail'!F208)</f>
        <v/>
      </c>
      <c r="AE206" s="25" t="str">
        <f>IF('Sensor Detail'!H208=0,"",'Sensor Detail'!H208)</f>
        <v/>
      </c>
      <c r="AF206" s="27" t="str">
        <f>IF('Sensor Detail'!G208=0,"","-" &amp; 'Sensor Detail'!G208)</f>
        <v/>
      </c>
      <c r="AG206" s="27" t="str">
        <f>IF('Sensor Detail'!I208=0,"",'Sensor Detail'!I208)</f>
        <v/>
      </c>
      <c r="AH206" s="27" t="str">
        <f>IF('Sensor Detail'!E208=0,"","+" &amp; 'Sensor Detail'!E208)</f>
        <v/>
      </c>
      <c r="AI206" s="27" t="str">
        <f t="shared" si="57"/>
        <v/>
      </c>
      <c r="AJ206" s="27" t="str">
        <f>IF('Sensor Detail'!J208=0,"",'Sensor Detail'!J208)</f>
        <v/>
      </c>
      <c r="AK206" s="27" t="str">
        <f>IF('Sensor Detail'!K208=0,"",'Sensor Detail'!K208)</f>
        <v/>
      </c>
      <c r="AL206" s="27" t="str">
        <f>IF('Sensor Detail'!L208=0,"",'Sensor Detail'!L208)</f>
        <v/>
      </c>
      <c r="AM206" s="27" t="str">
        <f>IF('Sensor Detail'!M208=0,"",'Sensor Detail'!M208)</f>
        <v/>
      </c>
      <c r="AN206" s="27" t="str">
        <f>IF('Sensor Detail'!N208=0,"",'Sensor Detail'!N208)</f>
        <v/>
      </c>
      <c r="AO206" s="27" t="str">
        <f>IF('Sensor Detail'!O208=0,"",'Sensor Detail'!O208)</f>
        <v/>
      </c>
      <c r="AP206" s="15" t="str">
        <f t="shared" si="58"/>
        <v/>
      </c>
      <c r="AQ206" s="15" t="str">
        <f t="shared" si="59"/>
        <v/>
      </c>
    </row>
    <row r="207" spans="1:43">
      <c r="A207" s="13" t="str">
        <f t="shared" si="45"/>
        <v/>
      </c>
      <c r="B207" s="13" t="str">
        <f t="shared" si="46"/>
        <v/>
      </c>
      <c r="C207" s="15" t="str">
        <f t="shared" si="47"/>
        <v/>
      </c>
      <c r="D207" s="15" t="str">
        <f t="shared" si="48"/>
        <v/>
      </c>
      <c r="E207" s="15" t="str">
        <f t="shared" si="49"/>
        <v/>
      </c>
      <c r="F207" s="15" t="str">
        <f t="shared" si="50"/>
        <v/>
      </c>
      <c r="G207" s="15" t="str">
        <f t="shared" si="51"/>
        <v/>
      </c>
      <c r="H207" s="15" t="str">
        <f t="shared" si="52"/>
        <v/>
      </c>
      <c r="I207" s="15" t="str">
        <f t="shared" si="53"/>
        <v/>
      </c>
      <c r="J207" s="15" t="str">
        <f t="shared" si="54"/>
        <v/>
      </c>
      <c r="K207" s="13" t="str">
        <f>IF('Cylinder Detail'!U209=0,"",'Cylinder Detail'!U209)</f>
        <v/>
      </c>
      <c r="L207" s="13" t="str">
        <f>IF('Cylinder Detail'!Z209=0,"",_xlfn.TEXTBEFORE('Cylinder Detail'!Z209, ","))</f>
        <v/>
      </c>
      <c r="M207" s="13" t="str">
        <f t="shared" si="55"/>
        <v/>
      </c>
      <c r="N207" s="17" t="str">
        <f>IF('Cylinder Detail'!V209=0,"",'Cylinder Detail'!V209)</f>
        <v/>
      </c>
      <c r="O207" s="17" t="str">
        <f>IF('Cylinder Detail'!Z209=0,"",_xlfn.TEXTAFTER('Cylinder Detail'!Z209, ", "))</f>
        <v/>
      </c>
      <c r="P207" s="17" t="str">
        <f>IF('Cylinder Detail'!AA209=0,"",'Cylinder Detail'!AA209)</f>
        <v/>
      </c>
      <c r="Q207" s="19" t="str">
        <f>IF('Cylinder Detail'!W209=0,"",'Cylinder Detail'!W209)</f>
        <v/>
      </c>
      <c r="R207" s="19" t="str">
        <f>IF('Cylinder Detail'!Y209=0,"",'Cylinder Detail'!Y209)</f>
        <v/>
      </c>
      <c r="S207" s="21" t="str">
        <f>IF('Cylinder Detail'!X209=0,"",'Cylinder Detail'!X209)</f>
        <v/>
      </c>
      <c r="T207" s="21" t="str">
        <f>IF('Cylinder Detail'!F209=0,"",'Cylinder Detail'!F209)</f>
        <v/>
      </c>
      <c r="U207" s="21" t="str">
        <f>IF('Cylinder Detail'!R209=0,"",'Cylinder Detail'!R209)</f>
        <v/>
      </c>
      <c r="V207" s="21" t="str">
        <f>IF('Cylinder Detail'!Q209=0,"",'Cylinder Detail'!Q209)</f>
        <v/>
      </c>
      <c r="W207" s="21" t="str">
        <f>IF('Cylinder Detail'!E209=0,"","+" &amp; 'Cylinder Detail'!E209)</f>
        <v/>
      </c>
      <c r="X207" s="21" t="str">
        <f t="shared" si="56"/>
        <v/>
      </c>
      <c r="Y207" s="21" t="str">
        <f>IF('Cylinder Detail'!S209=0,"",'Cylinder Detail'!S209)</f>
        <v/>
      </c>
      <c r="Z207" s="21" t="str">
        <f>IF('Cylinder Detail'!T209=0,"",'Cylinder Detail'!T209)</f>
        <v/>
      </c>
      <c r="AA207" s="21" t="str">
        <f>IF('Cylinder Detail'!H209=0,"",'Cylinder Detail'!H209)</f>
        <v/>
      </c>
      <c r="AB207" s="21" t="str">
        <f>IF('Cylinder Detail'!I209=0,"",'Cylinder Detail'!I209)</f>
        <v/>
      </c>
      <c r="AC207" s="22" t="str">
        <f>IF('Cylinder Detail'!AB209=0,"",'Cylinder Detail'!AB209)</f>
        <v/>
      </c>
      <c r="AD207" s="25" t="str">
        <f>IF('Sensor Detail'!F209=0,"","=" &amp; 'Sensor Detail'!F209)</f>
        <v/>
      </c>
      <c r="AE207" s="25" t="str">
        <f>IF('Sensor Detail'!H209=0,"",'Sensor Detail'!H209)</f>
        <v/>
      </c>
      <c r="AF207" s="27" t="str">
        <f>IF('Sensor Detail'!G209=0,"","-" &amp; 'Sensor Detail'!G209)</f>
        <v/>
      </c>
      <c r="AG207" s="27" t="str">
        <f>IF('Sensor Detail'!I209=0,"",'Sensor Detail'!I209)</f>
        <v/>
      </c>
      <c r="AH207" s="27" t="str">
        <f>IF('Sensor Detail'!E209=0,"","+" &amp; 'Sensor Detail'!E209)</f>
        <v/>
      </c>
      <c r="AI207" s="27" t="str">
        <f t="shared" si="57"/>
        <v/>
      </c>
      <c r="AJ207" s="27" t="str">
        <f>IF('Sensor Detail'!J209=0,"",'Sensor Detail'!J209)</f>
        <v/>
      </c>
      <c r="AK207" s="27" t="str">
        <f>IF('Sensor Detail'!K209=0,"",'Sensor Detail'!K209)</f>
        <v/>
      </c>
      <c r="AL207" s="27" t="str">
        <f>IF('Sensor Detail'!L209=0,"",'Sensor Detail'!L209)</f>
        <v/>
      </c>
      <c r="AM207" s="27" t="str">
        <f>IF('Sensor Detail'!M209=0,"",'Sensor Detail'!M209)</f>
        <v/>
      </c>
      <c r="AN207" s="27" t="str">
        <f>IF('Sensor Detail'!N209=0,"",'Sensor Detail'!N209)</f>
        <v/>
      </c>
      <c r="AO207" s="27" t="str">
        <f>IF('Sensor Detail'!O209=0,"",'Sensor Detail'!O209)</f>
        <v/>
      </c>
      <c r="AP207" s="15" t="str">
        <f t="shared" si="58"/>
        <v/>
      </c>
      <c r="AQ207" s="15" t="str">
        <f t="shared" si="59"/>
        <v/>
      </c>
    </row>
    <row r="208" spans="1:43">
      <c r="A208" s="13" t="str">
        <f t="shared" si="45"/>
        <v/>
      </c>
      <c r="B208" s="13" t="str">
        <f t="shared" si="46"/>
        <v/>
      </c>
      <c r="C208" s="15" t="str">
        <f t="shared" si="47"/>
        <v/>
      </c>
      <c r="D208" s="15" t="str">
        <f t="shared" si="48"/>
        <v/>
      </c>
      <c r="E208" s="15" t="str">
        <f t="shared" si="49"/>
        <v/>
      </c>
      <c r="F208" s="15" t="str">
        <f t="shared" si="50"/>
        <v/>
      </c>
      <c r="G208" s="15" t="str">
        <f t="shared" si="51"/>
        <v/>
      </c>
      <c r="H208" s="15" t="str">
        <f t="shared" si="52"/>
        <v/>
      </c>
      <c r="I208" s="15" t="str">
        <f t="shared" si="53"/>
        <v/>
      </c>
      <c r="J208" s="15" t="str">
        <f t="shared" si="54"/>
        <v/>
      </c>
      <c r="K208" s="13" t="str">
        <f>IF('Cylinder Detail'!U210=0,"",'Cylinder Detail'!U210)</f>
        <v/>
      </c>
      <c r="L208" s="13" t="str">
        <f>IF('Cylinder Detail'!Z210=0,"",_xlfn.TEXTBEFORE('Cylinder Detail'!Z210, ","))</f>
        <v/>
      </c>
      <c r="M208" s="13" t="str">
        <f t="shared" si="55"/>
        <v/>
      </c>
      <c r="N208" s="17" t="str">
        <f>IF('Cylinder Detail'!V210=0,"",'Cylinder Detail'!V210)</f>
        <v/>
      </c>
      <c r="O208" s="17" t="str">
        <f>IF('Cylinder Detail'!Z210=0,"",_xlfn.TEXTAFTER('Cylinder Detail'!Z210, ", "))</f>
        <v/>
      </c>
      <c r="P208" s="17" t="str">
        <f>IF('Cylinder Detail'!AA210=0,"",'Cylinder Detail'!AA210)</f>
        <v/>
      </c>
      <c r="Q208" s="19" t="str">
        <f>IF('Cylinder Detail'!W210=0,"",'Cylinder Detail'!W210)</f>
        <v/>
      </c>
      <c r="R208" s="19" t="str">
        <f>IF('Cylinder Detail'!Y210=0,"",'Cylinder Detail'!Y210)</f>
        <v/>
      </c>
      <c r="S208" s="21" t="str">
        <f>IF('Cylinder Detail'!X210=0,"",'Cylinder Detail'!X210)</f>
        <v/>
      </c>
      <c r="T208" s="21" t="str">
        <f>IF('Cylinder Detail'!F210=0,"",'Cylinder Detail'!F210)</f>
        <v/>
      </c>
      <c r="U208" s="21" t="str">
        <f>IF('Cylinder Detail'!R210=0,"",'Cylinder Detail'!R210)</f>
        <v/>
      </c>
      <c r="V208" s="21" t="str">
        <f>IF('Cylinder Detail'!Q210=0,"",'Cylinder Detail'!Q210)</f>
        <v/>
      </c>
      <c r="W208" s="21" t="str">
        <f>IF('Cylinder Detail'!E210=0,"","+" &amp; 'Cylinder Detail'!E210)</f>
        <v/>
      </c>
      <c r="X208" s="21" t="str">
        <f t="shared" si="56"/>
        <v/>
      </c>
      <c r="Y208" s="21" t="str">
        <f>IF('Cylinder Detail'!S210=0,"",'Cylinder Detail'!S210)</f>
        <v/>
      </c>
      <c r="Z208" s="21" t="str">
        <f>IF('Cylinder Detail'!T210=0,"",'Cylinder Detail'!T210)</f>
        <v/>
      </c>
      <c r="AA208" s="21" t="str">
        <f>IF('Cylinder Detail'!H210=0,"",'Cylinder Detail'!H210)</f>
        <v/>
      </c>
      <c r="AB208" s="21" t="str">
        <f>IF('Cylinder Detail'!I210=0,"",'Cylinder Detail'!I210)</f>
        <v/>
      </c>
      <c r="AC208" s="22" t="str">
        <f>IF('Cylinder Detail'!AB210=0,"",'Cylinder Detail'!AB210)</f>
        <v/>
      </c>
      <c r="AD208" s="25" t="str">
        <f>IF('Sensor Detail'!F210=0,"","=" &amp; 'Sensor Detail'!F210)</f>
        <v/>
      </c>
      <c r="AE208" s="25" t="str">
        <f>IF('Sensor Detail'!H210=0,"",'Sensor Detail'!H210)</f>
        <v/>
      </c>
      <c r="AF208" s="27" t="str">
        <f>IF('Sensor Detail'!G210=0,"","-" &amp; 'Sensor Detail'!G210)</f>
        <v/>
      </c>
      <c r="AG208" s="27" t="str">
        <f>IF('Sensor Detail'!I210=0,"",'Sensor Detail'!I210)</f>
        <v/>
      </c>
      <c r="AH208" s="27" t="str">
        <f>IF('Sensor Detail'!E210=0,"","+" &amp; 'Sensor Detail'!E210)</f>
        <v/>
      </c>
      <c r="AI208" s="27" t="str">
        <f t="shared" si="57"/>
        <v/>
      </c>
      <c r="AJ208" s="27" t="str">
        <f>IF('Sensor Detail'!J210=0,"",'Sensor Detail'!J210)</f>
        <v/>
      </c>
      <c r="AK208" s="27" t="str">
        <f>IF('Sensor Detail'!K210=0,"",'Sensor Detail'!K210)</f>
        <v/>
      </c>
      <c r="AL208" s="27" t="str">
        <f>IF('Sensor Detail'!L210=0,"",'Sensor Detail'!L210)</f>
        <v/>
      </c>
      <c r="AM208" s="27" t="str">
        <f>IF('Sensor Detail'!M210=0,"",'Sensor Detail'!M210)</f>
        <v/>
      </c>
      <c r="AN208" s="27" t="str">
        <f>IF('Sensor Detail'!N210=0,"",'Sensor Detail'!N210)</f>
        <v/>
      </c>
      <c r="AO208" s="27" t="str">
        <f>IF('Sensor Detail'!O210=0,"",'Sensor Detail'!O210)</f>
        <v/>
      </c>
      <c r="AP208" s="15" t="str">
        <f t="shared" si="58"/>
        <v/>
      </c>
      <c r="AQ208" s="15" t="str">
        <f t="shared" si="59"/>
        <v/>
      </c>
    </row>
    <row r="209" spans="1:43">
      <c r="A209" s="13" t="str">
        <f t="shared" si="45"/>
        <v/>
      </c>
      <c r="B209" s="13" t="str">
        <f t="shared" si="46"/>
        <v/>
      </c>
      <c r="C209" s="15" t="str">
        <f t="shared" si="47"/>
        <v/>
      </c>
      <c r="D209" s="15" t="str">
        <f t="shared" si="48"/>
        <v/>
      </c>
      <c r="E209" s="15" t="str">
        <f t="shared" si="49"/>
        <v/>
      </c>
      <c r="F209" s="15" t="str">
        <f t="shared" si="50"/>
        <v/>
      </c>
      <c r="G209" s="15" t="str">
        <f t="shared" si="51"/>
        <v/>
      </c>
      <c r="H209" s="15" t="str">
        <f t="shared" si="52"/>
        <v/>
      </c>
      <c r="I209" s="15" t="str">
        <f t="shared" si="53"/>
        <v/>
      </c>
      <c r="J209" s="15" t="str">
        <f t="shared" si="54"/>
        <v/>
      </c>
      <c r="K209" s="13" t="str">
        <f>IF('Cylinder Detail'!U211=0,"",'Cylinder Detail'!U211)</f>
        <v/>
      </c>
      <c r="L209" s="13" t="str">
        <f>IF('Cylinder Detail'!Z211=0,"",_xlfn.TEXTBEFORE('Cylinder Detail'!Z211, ","))</f>
        <v/>
      </c>
      <c r="M209" s="13" t="str">
        <f t="shared" si="55"/>
        <v/>
      </c>
      <c r="N209" s="17" t="str">
        <f>IF('Cylinder Detail'!V211=0,"",'Cylinder Detail'!V211)</f>
        <v/>
      </c>
      <c r="O209" s="17" t="str">
        <f>IF('Cylinder Detail'!Z211=0,"",_xlfn.TEXTAFTER('Cylinder Detail'!Z211, ", "))</f>
        <v/>
      </c>
      <c r="P209" s="17" t="str">
        <f>IF('Cylinder Detail'!AA211=0,"",'Cylinder Detail'!AA211)</f>
        <v/>
      </c>
      <c r="Q209" s="19" t="str">
        <f>IF('Cylinder Detail'!W211=0,"",'Cylinder Detail'!W211)</f>
        <v/>
      </c>
      <c r="R209" s="19" t="str">
        <f>IF('Cylinder Detail'!Y211=0,"",'Cylinder Detail'!Y211)</f>
        <v/>
      </c>
      <c r="S209" s="21" t="str">
        <f>IF('Cylinder Detail'!X211=0,"",'Cylinder Detail'!X211)</f>
        <v/>
      </c>
      <c r="T209" s="21" t="str">
        <f>IF('Cylinder Detail'!F211=0,"",'Cylinder Detail'!F211)</f>
        <v/>
      </c>
      <c r="U209" s="21" t="str">
        <f>IF('Cylinder Detail'!R211=0,"",'Cylinder Detail'!R211)</f>
        <v/>
      </c>
      <c r="V209" s="21" t="str">
        <f>IF('Cylinder Detail'!Q211=0,"",'Cylinder Detail'!Q211)</f>
        <v/>
      </c>
      <c r="W209" s="21" t="str">
        <f>IF('Cylinder Detail'!E211=0,"","+" &amp; 'Cylinder Detail'!E211)</f>
        <v/>
      </c>
      <c r="X209" s="21" t="str">
        <f t="shared" si="56"/>
        <v/>
      </c>
      <c r="Y209" s="21" t="str">
        <f>IF('Cylinder Detail'!S211=0,"",'Cylinder Detail'!S211)</f>
        <v/>
      </c>
      <c r="Z209" s="21" t="str">
        <f>IF('Cylinder Detail'!T211=0,"",'Cylinder Detail'!T211)</f>
        <v/>
      </c>
      <c r="AA209" s="21" t="str">
        <f>IF('Cylinder Detail'!H211=0,"",'Cylinder Detail'!H211)</f>
        <v/>
      </c>
      <c r="AB209" s="21" t="str">
        <f>IF('Cylinder Detail'!I211=0,"",'Cylinder Detail'!I211)</f>
        <v/>
      </c>
      <c r="AC209" s="22" t="str">
        <f>IF('Cylinder Detail'!AB211=0,"",'Cylinder Detail'!AB211)</f>
        <v/>
      </c>
      <c r="AD209" s="25" t="str">
        <f>IF('Sensor Detail'!F211=0,"","=" &amp; 'Sensor Detail'!F211)</f>
        <v/>
      </c>
      <c r="AE209" s="25" t="str">
        <f>IF('Sensor Detail'!H211=0,"",'Sensor Detail'!H211)</f>
        <v/>
      </c>
      <c r="AF209" s="27" t="str">
        <f>IF('Sensor Detail'!G211=0,"","-" &amp; 'Sensor Detail'!G211)</f>
        <v/>
      </c>
      <c r="AG209" s="27" t="str">
        <f>IF('Sensor Detail'!I211=0,"",'Sensor Detail'!I211)</f>
        <v/>
      </c>
      <c r="AH209" s="27" t="str">
        <f>IF('Sensor Detail'!E211=0,"","+" &amp; 'Sensor Detail'!E211)</f>
        <v/>
      </c>
      <c r="AI209" s="27" t="str">
        <f t="shared" si="57"/>
        <v/>
      </c>
      <c r="AJ209" s="27" t="str">
        <f>IF('Sensor Detail'!J211=0,"",'Sensor Detail'!J211)</f>
        <v/>
      </c>
      <c r="AK209" s="27" t="str">
        <f>IF('Sensor Detail'!K211=0,"",'Sensor Detail'!K211)</f>
        <v/>
      </c>
      <c r="AL209" s="27" t="str">
        <f>IF('Sensor Detail'!L211=0,"",'Sensor Detail'!L211)</f>
        <v/>
      </c>
      <c r="AM209" s="27" t="str">
        <f>IF('Sensor Detail'!M211=0,"",'Sensor Detail'!M211)</f>
        <v/>
      </c>
      <c r="AN209" s="27" t="str">
        <f>IF('Sensor Detail'!N211=0,"",'Sensor Detail'!N211)</f>
        <v/>
      </c>
      <c r="AO209" s="27" t="str">
        <f>IF('Sensor Detail'!O211=0,"",'Sensor Detail'!O211)</f>
        <v/>
      </c>
      <c r="AP209" s="15" t="str">
        <f t="shared" si="58"/>
        <v/>
      </c>
      <c r="AQ209" s="15" t="str">
        <f t="shared" si="59"/>
        <v/>
      </c>
    </row>
    <row r="210" spans="1:43">
      <c r="A210" s="13" t="str">
        <f t="shared" si="45"/>
        <v/>
      </c>
      <c r="B210" s="13" t="str">
        <f t="shared" si="46"/>
        <v/>
      </c>
      <c r="C210" s="15" t="str">
        <f t="shared" si="47"/>
        <v/>
      </c>
      <c r="D210" s="15" t="str">
        <f t="shared" si="48"/>
        <v/>
      </c>
      <c r="E210" s="15" t="str">
        <f t="shared" si="49"/>
        <v/>
      </c>
      <c r="F210" s="15" t="str">
        <f t="shared" si="50"/>
        <v/>
      </c>
      <c r="G210" s="15" t="str">
        <f t="shared" si="51"/>
        <v/>
      </c>
      <c r="H210" s="15" t="str">
        <f t="shared" si="52"/>
        <v/>
      </c>
      <c r="I210" s="15" t="str">
        <f t="shared" si="53"/>
        <v/>
      </c>
      <c r="J210" s="15" t="str">
        <f t="shared" si="54"/>
        <v/>
      </c>
      <c r="K210" s="13" t="str">
        <f>IF('Cylinder Detail'!U212=0,"",'Cylinder Detail'!U212)</f>
        <v/>
      </c>
      <c r="L210" s="13" t="str">
        <f>IF('Cylinder Detail'!Z212=0,"",_xlfn.TEXTBEFORE('Cylinder Detail'!Z212, ","))</f>
        <v/>
      </c>
      <c r="M210" s="13" t="str">
        <f t="shared" si="55"/>
        <v/>
      </c>
      <c r="N210" s="17" t="str">
        <f>IF('Cylinder Detail'!V212=0,"",'Cylinder Detail'!V212)</f>
        <v/>
      </c>
      <c r="O210" s="17" t="str">
        <f>IF('Cylinder Detail'!Z212=0,"",_xlfn.TEXTAFTER('Cylinder Detail'!Z212, ", "))</f>
        <v/>
      </c>
      <c r="P210" s="17" t="str">
        <f>IF('Cylinder Detail'!AA212=0,"",'Cylinder Detail'!AA212)</f>
        <v/>
      </c>
      <c r="Q210" s="19" t="str">
        <f>IF('Cylinder Detail'!W212=0,"",'Cylinder Detail'!W212)</f>
        <v/>
      </c>
      <c r="R210" s="19" t="str">
        <f>IF('Cylinder Detail'!Y212=0,"",'Cylinder Detail'!Y212)</f>
        <v/>
      </c>
      <c r="S210" s="21" t="str">
        <f>IF('Cylinder Detail'!X212=0,"",'Cylinder Detail'!X212)</f>
        <v/>
      </c>
      <c r="T210" s="21" t="str">
        <f>IF('Cylinder Detail'!F212=0,"",'Cylinder Detail'!F212)</f>
        <v/>
      </c>
      <c r="U210" s="21" t="str">
        <f>IF('Cylinder Detail'!R212=0,"",'Cylinder Detail'!R212)</f>
        <v/>
      </c>
      <c r="V210" s="21" t="str">
        <f>IF('Cylinder Detail'!Q212=0,"",'Cylinder Detail'!Q212)</f>
        <v/>
      </c>
      <c r="W210" s="21" t="str">
        <f>IF('Cylinder Detail'!E212=0,"","+" &amp; 'Cylinder Detail'!E212)</f>
        <v/>
      </c>
      <c r="X210" s="21" t="str">
        <f t="shared" si="56"/>
        <v/>
      </c>
      <c r="Y210" s="21" t="str">
        <f>IF('Cylinder Detail'!S212=0,"",'Cylinder Detail'!S212)</f>
        <v/>
      </c>
      <c r="Z210" s="21" t="str">
        <f>IF('Cylinder Detail'!T212=0,"",'Cylinder Detail'!T212)</f>
        <v/>
      </c>
      <c r="AA210" s="21" t="str">
        <f>IF('Cylinder Detail'!H212=0,"",'Cylinder Detail'!H212)</f>
        <v/>
      </c>
      <c r="AB210" s="21" t="str">
        <f>IF('Cylinder Detail'!I212=0,"",'Cylinder Detail'!I212)</f>
        <v/>
      </c>
      <c r="AC210" s="22" t="str">
        <f>IF('Cylinder Detail'!AB212=0,"",'Cylinder Detail'!AB212)</f>
        <v/>
      </c>
      <c r="AD210" s="25" t="str">
        <f>IF('Sensor Detail'!F212=0,"","=" &amp; 'Sensor Detail'!F212)</f>
        <v/>
      </c>
      <c r="AE210" s="25" t="str">
        <f>IF('Sensor Detail'!H212=0,"",'Sensor Detail'!H212)</f>
        <v/>
      </c>
      <c r="AF210" s="27" t="str">
        <f>IF('Sensor Detail'!G212=0,"","-" &amp; 'Sensor Detail'!G212)</f>
        <v/>
      </c>
      <c r="AG210" s="27" t="str">
        <f>IF('Sensor Detail'!I212=0,"",'Sensor Detail'!I212)</f>
        <v/>
      </c>
      <c r="AH210" s="27" t="str">
        <f>IF('Sensor Detail'!E212=0,"","+" &amp; 'Sensor Detail'!E212)</f>
        <v/>
      </c>
      <c r="AI210" s="27" t="str">
        <f t="shared" si="57"/>
        <v/>
      </c>
      <c r="AJ210" s="27" t="str">
        <f>IF('Sensor Detail'!J212=0,"",'Sensor Detail'!J212)</f>
        <v/>
      </c>
      <c r="AK210" s="27" t="str">
        <f>IF('Sensor Detail'!K212=0,"",'Sensor Detail'!K212)</f>
        <v/>
      </c>
      <c r="AL210" s="27" t="str">
        <f>IF('Sensor Detail'!L212=0,"",'Sensor Detail'!L212)</f>
        <v/>
      </c>
      <c r="AM210" s="27" t="str">
        <f>IF('Sensor Detail'!M212=0,"",'Sensor Detail'!M212)</f>
        <v/>
      </c>
      <c r="AN210" s="27" t="str">
        <f>IF('Sensor Detail'!N212=0,"",'Sensor Detail'!N212)</f>
        <v/>
      </c>
      <c r="AO210" s="27" t="str">
        <f>IF('Sensor Detail'!O212=0,"",'Sensor Detail'!O212)</f>
        <v/>
      </c>
      <c r="AP210" s="15" t="str">
        <f t="shared" si="58"/>
        <v/>
      </c>
      <c r="AQ210" s="15" t="str">
        <f t="shared" si="59"/>
        <v/>
      </c>
    </row>
    <row r="211" spans="1:43">
      <c r="A211" s="13" t="str">
        <f t="shared" si="45"/>
        <v/>
      </c>
      <c r="B211" s="13" t="str">
        <f t="shared" si="46"/>
        <v/>
      </c>
      <c r="C211" s="15" t="str">
        <f t="shared" si="47"/>
        <v/>
      </c>
      <c r="D211" s="15" t="str">
        <f t="shared" si="48"/>
        <v/>
      </c>
      <c r="E211" s="15" t="str">
        <f t="shared" si="49"/>
        <v/>
      </c>
      <c r="F211" s="15" t="str">
        <f t="shared" si="50"/>
        <v/>
      </c>
      <c r="G211" s="15" t="str">
        <f t="shared" si="51"/>
        <v/>
      </c>
      <c r="H211" s="15" t="str">
        <f t="shared" si="52"/>
        <v/>
      </c>
      <c r="I211" s="15" t="str">
        <f t="shared" si="53"/>
        <v/>
      </c>
      <c r="J211" s="15" t="str">
        <f t="shared" si="54"/>
        <v/>
      </c>
      <c r="K211" s="13" t="str">
        <f>IF('Cylinder Detail'!U213=0,"",'Cylinder Detail'!U213)</f>
        <v/>
      </c>
      <c r="L211" s="13" t="str">
        <f>IF('Cylinder Detail'!Z213=0,"",_xlfn.TEXTBEFORE('Cylinder Detail'!Z213, ","))</f>
        <v/>
      </c>
      <c r="M211" s="13" t="str">
        <f t="shared" si="55"/>
        <v/>
      </c>
      <c r="N211" s="17" t="str">
        <f>IF('Cylinder Detail'!V213=0,"",'Cylinder Detail'!V213)</f>
        <v/>
      </c>
      <c r="O211" s="17" t="str">
        <f>IF('Cylinder Detail'!Z213=0,"",_xlfn.TEXTAFTER('Cylinder Detail'!Z213, ", "))</f>
        <v/>
      </c>
      <c r="P211" s="17" t="str">
        <f>IF('Cylinder Detail'!AA213=0,"",'Cylinder Detail'!AA213)</f>
        <v/>
      </c>
      <c r="Q211" s="19" t="str">
        <f>IF('Cylinder Detail'!W213=0,"",'Cylinder Detail'!W213)</f>
        <v/>
      </c>
      <c r="R211" s="19" t="str">
        <f>IF('Cylinder Detail'!Y213=0,"",'Cylinder Detail'!Y213)</f>
        <v/>
      </c>
      <c r="S211" s="21" t="str">
        <f>IF('Cylinder Detail'!X213=0,"",'Cylinder Detail'!X213)</f>
        <v/>
      </c>
      <c r="T211" s="21" t="str">
        <f>IF('Cylinder Detail'!F213=0,"",'Cylinder Detail'!F213)</f>
        <v/>
      </c>
      <c r="U211" s="21" t="str">
        <f>IF('Cylinder Detail'!R213=0,"",'Cylinder Detail'!R213)</f>
        <v/>
      </c>
      <c r="V211" s="21" t="str">
        <f>IF('Cylinder Detail'!Q213=0,"",'Cylinder Detail'!Q213)</f>
        <v/>
      </c>
      <c r="W211" s="21" t="str">
        <f>IF('Cylinder Detail'!E213=0,"","+" &amp; 'Cylinder Detail'!E213)</f>
        <v/>
      </c>
      <c r="X211" s="21" t="str">
        <f t="shared" si="56"/>
        <v/>
      </c>
      <c r="Y211" s="21" t="str">
        <f>IF('Cylinder Detail'!S213=0,"",'Cylinder Detail'!S213)</f>
        <v/>
      </c>
      <c r="Z211" s="21" t="str">
        <f>IF('Cylinder Detail'!T213=0,"",'Cylinder Detail'!T213)</f>
        <v/>
      </c>
      <c r="AA211" s="21" t="str">
        <f>IF('Cylinder Detail'!H213=0,"",'Cylinder Detail'!H213)</f>
        <v/>
      </c>
      <c r="AB211" s="21" t="str">
        <f>IF('Cylinder Detail'!I213=0,"",'Cylinder Detail'!I213)</f>
        <v/>
      </c>
      <c r="AC211" s="22" t="str">
        <f>IF('Cylinder Detail'!AB213=0,"",'Cylinder Detail'!AB213)</f>
        <v/>
      </c>
      <c r="AD211" s="25" t="str">
        <f>IF('Sensor Detail'!F213=0,"","=" &amp; 'Sensor Detail'!F213)</f>
        <v/>
      </c>
      <c r="AE211" s="25" t="str">
        <f>IF('Sensor Detail'!H213=0,"",'Sensor Detail'!H213)</f>
        <v/>
      </c>
      <c r="AF211" s="27" t="str">
        <f>IF('Sensor Detail'!G213=0,"","-" &amp; 'Sensor Detail'!G213)</f>
        <v/>
      </c>
      <c r="AG211" s="27" t="str">
        <f>IF('Sensor Detail'!I213=0,"",'Sensor Detail'!I213)</f>
        <v/>
      </c>
      <c r="AH211" s="27" t="str">
        <f>IF('Sensor Detail'!E213=0,"","+" &amp; 'Sensor Detail'!E213)</f>
        <v/>
      </c>
      <c r="AI211" s="27" t="str">
        <f t="shared" si="57"/>
        <v/>
      </c>
      <c r="AJ211" s="27" t="str">
        <f>IF('Sensor Detail'!J213=0,"",'Sensor Detail'!J213)</f>
        <v/>
      </c>
      <c r="AK211" s="27" t="str">
        <f>IF('Sensor Detail'!K213=0,"",'Sensor Detail'!K213)</f>
        <v/>
      </c>
      <c r="AL211" s="27" t="str">
        <f>IF('Sensor Detail'!L213=0,"",'Sensor Detail'!L213)</f>
        <v/>
      </c>
      <c r="AM211" s="27" t="str">
        <f>IF('Sensor Detail'!M213=0,"",'Sensor Detail'!M213)</f>
        <v/>
      </c>
      <c r="AN211" s="27" t="str">
        <f>IF('Sensor Detail'!N213=0,"",'Sensor Detail'!N213)</f>
        <v/>
      </c>
      <c r="AO211" s="27" t="str">
        <f>IF('Sensor Detail'!O213=0,"",'Sensor Detail'!O213)</f>
        <v/>
      </c>
      <c r="AP211" s="15" t="str">
        <f t="shared" si="58"/>
        <v/>
      </c>
      <c r="AQ211" s="15" t="str">
        <f t="shared" si="59"/>
        <v/>
      </c>
    </row>
    <row r="212" spans="1:43">
      <c r="A212" s="13" t="str">
        <f t="shared" si="45"/>
        <v/>
      </c>
      <c r="B212" s="13" t="str">
        <f t="shared" si="46"/>
        <v/>
      </c>
      <c r="C212" s="15" t="str">
        <f t="shared" si="47"/>
        <v/>
      </c>
      <c r="D212" s="15" t="str">
        <f t="shared" si="48"/>
        <v/>
      </c>
      <c r="E212" s="15" t="str">
        <f t="shared" si="49"/>
        <v/>
      </c>
      <c r="F212" s="15" t="str">
        <f t="shared" si="50"/>
        <v/>
      </c>
      <c r="G212" s="15" t="str">
        <f t="shared" si="51"/>
        <v/>
      </c>
      <c r="H212" s="15" t="str">
        <f t="shared" si="52"/>
        <v/>
      </c>
      <c r="I212" s="15" t="str">
        <f t="shared" si="53"/>
        <v/>
      </c>
      <c r="J212" s="15" t="str">
        <f t="shared" si="54"/>
        <v/>
      </c>
      <c r="K212" s="13" t="str">
        <f>IF('Cylinder Detail'!U214=0,"",'Cylinder Detail'!U214)</f>
        <v/>
      </c>
      <c r="L212" s="13" t="str">
        <f>IF('Cylinder Detail'!Z214=0,"",_xlfn.TEXTBEFORE('Cylinder Detail'!Z214, ","))</f>
        <v/>
      </c>
      <c r="M212" s="13" t="str">
        <f t="shared" si="55"/>
        <v/>
      </c>
      <c r="N212" s="17" t="str">
        <f>IF('Cylinder Detail'!V214=0,"",'Cylinder Detail'!V214)</f>
        <v/>
      </c>
      <c r="O212" s="17" t="str">
        <f>IF('Cylinder Detail'!Z214=0,"",_xlfn.TEXTAFTER('Cylinder Detail'!Z214, ", "))</f>
        <v/>
      </c>
      <c r="P212" s="17" t="str">
        <f>IF('Cylinder Detail'!AA214=0,"",'Cylinder Detail'!AA214)</f>
        <v/>
      </c>
      <c r="Q212" s="19" t="str">
        <f>IF('Cylinder Detail'!W214=0,"",'Cylinder Detail'!W214)</f>
        <v/>
      </c>
      <c r="R212" s="19" t="str">
        <f>IF('Cylinder Detail'!Y214=0,"",'Cylinder Detail'!Y214)</f>
        <v/>
      </c>
      <c r="S212" s="21" t="str">
        <f>IF('Cylinder Detail'!X214=0,"",'Cylinder Detail'!X214)</f>
        <v/>
      </c>
      <c r="T212" s="21" t="str">
        <f>IF('Cylinder Detail'!F214=0,"",'Cylinder Detail'!F214)</f>
        <v/>
      </c>
      <c r="U212" s="21" t="str">
        <f>IF('Cylinder Detail'!R214=0,"",'Cylinder Detail'!R214)</f>
        <v/>
      </c>
      <c r="V212" s="21" t="str">
        <f>IF('Cylinder Detail'!Q214=0,"",'Cylinder Detail'!Q214)</f>
        <v/>
      </c>
      <c r="W212" s="21" t="str">
        <f>IF('Cylinder Detail'!E214=0,"","+" &amp; 'Cylinder Detail'!E214)</f>
        <v/>
      </c>
      <c r="X212" s="21" t="str">
        <f t="shared" si="56"/>
        <v/>
      </c>
      <c r="Y212" s="21" t="str">
        <f>IF('Cylinder Detail'!S214=0,"",'Cylinder Detail'!S214)</f>
        <v/>
      </c>
      <c r="Z212" s="21" t="str">
        <f>IF('Cylinder Detail'!T214=0,"",'Cylinder Detail'!T214)</f>
        <v/>
      </c>
      <c r="AA212" s="21" t="str">
        <f>IF('Cylinder Detail'!H214=0,"",'Cylinder Detail'!H214)</f>
        <v/>
      </c>
      <c r="AB212" s="21" t="str">
        <f>IF('Cylinder Detail'!I214=0,"",'Cylinder Detail'!I214)</f>
        <v/>
      </c>
      <c r="AC212" s="22" t="str">
        <f>IF('Cylinder Detail'!AB214=0,"",'Cylinder Detail'!AB214)</f>
        <v/>
      </c>
      <c r="AD212" s="25" t="str">
        <f>IF('Sensor Detail'!F214=0,"","=" &amp; 'Sensor Detail'!F214)</f>
        <v/>
      </c>
      <c r="AE212" s="25" t="str">
        <f>IF('Sensor Detail'!H214=0,"",'Sensor Detail'!H214)</f>
        <v/>
      </c>
      <c r="AF212" s="27" t="str">
        <f>IF('Sensor Detail'!G214=0,"","-" &amp; 'Sensor Detail'!G214)</f>
        <v/>
      </c>
      <c r="AG212" s="27" t="str">
        <f>IF('Sensor Detail'!I214=0,"",'Sensor Detail'!I214)</f>
        <v/>
      </c>
      <c r="AH212" s="27" t="str">
        <f>IF('Sensor Detail'!E214=0,"","+" &amp; 'Sensor Detail'!E214)</f>
        <v/>
      </c>
      <c r="AI212" s="27" t="str">
        <f t="shared" si="57"/>
        <v/>
      </c>
      <c r="AJ212" s="27" t="str">
        <f>IF('Sensor Detail'!J214=0,"",'Sensor Detail'!J214)</f>
        <v/>
      </c>
      <c r="AK212" s="27" t="str">
        <f>IF('Sensor Detail'!K214=0,"",'Sensor Detail'!K214)</f>
        <v/>
      </c>
      <c r="AL212" s="27" t="str">
        <f>IF('Sensor Detail'!L214=0,"",'Sensor Detail'!L214)</f>
        <v/>
      </c>
      <c r="AM212" s="27" t="str">
        <f>IF('Sensor Detail'!M214=0,"",'Sensor Detail'!M214)</f>
        <v/>
      </c>
      <c r="AN212" s="27" t="str">
        <f>IF('Sensor Detail'!N214=0,"",'Sensor Detail'!N214)</f>
        <v/>
      </c>
      <c r="AO212" s="27" t="str">
        <f>IF('Sensor Detail'!O214=0,"",'Sensor Detail'!O214)</f>
        <v/>
      </c>
      <c r="AP212" s="15" t="str">
        <f t="shared" si="58"/>
        <v/>
      </c>
      <c r="AQ212" s="15" t="str">
        <f t="shared" si="59"/>
        <v/>
      </c>
    </row>
    <row r="213" spans="1:43">
      <c r="A213" s="13" t="str">
        <f t="shared" si="45"/>
        <v/>
      </c>
      <c r="B213" s="13" t="str">
        <f t="shared" si="46"/>
        <v/>
      </c>
      <c r="C213" s="15" t="str">
        <f t="shared" si="47"/>
        <v/>
      </c>
      <c r="D213" s="15" t="str">
        <f t="shared" si="48"/>
        <v/>
      </c>
      <c r="E213" s="15" t="str">
        <f t="shared" si="49"/>
        <v/>
      </c>
      <c r="F213" s="15" t="str">
        <f t="shared" si="50"/>
        <v/>
      </c>
      <c r="G213" s="15" t="str">
        <f t="shared" si="51"/>
        <v/>
      </c>
      <c r="H213" s="15" t="str">
        <f t="shared" si="52"/>
        <v/>
      </c>
      <c r="I213" s="15" t="str">
        <f t="shared" si="53"/>
        <v/>
      </c>
      <c r="J213" s="15" t="str">
        <f t="shared" si="54"/>
        <v/>
      </c>
      <c r="K213" s="13" t="str">
        <f>IF('Cylinder Detail'!U215=0,"",'Cylinder Detail'!U215)</f>
        <v/>
      </c>
      <c r="L213" s="13" t="str">
        <f>IF('Cylinder Detail'!Z215=0,"",_xlfn.TEXTBEFORE('Cylinder Detail'!Z215, ","))</f>
        <v/>
      </c>
      <c r="M213" s="13" t="str">
        <f t="shared" si="55"/>
        <v/>
      </c>
      <c r="N213" s="17" t="str">
        <f>IF('Cylinder Detail'!V215=0,"",'Cylinder Detail'!V215)</f>
        <v/>
      </c>
      <c r="O213" s="17" t="str">
        <f>IF('Cylinder Detail'!Z215=0,"",_xlfn.TEXTAFTER('Cylinder Detail'!Z215, ", "))</f>
        <v/>
      </c>
      <c r="P213" s="17" t="str">
        <f>IF('Cylinder Detail'!AA215=0,"",'Cylinder Detail'!AA215)</f>
        <v/>
      </c>
      <c r="Q213" s="19" t="str">
        <f>IF('Cylinder Detail'!W215=0,"",'Cylinder Detail'!W215)</f>
        <v/>
      </c>
      <c r="R213" s="19" t="str">
        <f>IF('Cylinder Detail'!Y215=0,"",'Cylinder Detail'!Y215)</f>
        <v/>
      </c>
      <c r="S213" s="21" t="str">
        <f>IF('Cylinder Detail'!X215=0,"",'Cylinder Detail'!X215)</f>
        <v/>
      </c>
      <c r="T213" s="21" t="str">
        <f>IF('Cylinder Detail'!F215=0,"",'Cylinder Detail'!F215)</f>
        <v/>
      </c>
      <c r="U213" s="21" t="str">
        <f>IF('Cylinder Detail'!R215=0,"",'Cylinder Detail'!R215)</f>
        <v/>
      </c>
      <c r="V213" s="21" t="str">
        <f>IF('Cylinder Detail'!Q215=0,"",'Cylinder Detail'!Q215)</f>
        <v/>
      </c>
      <c r="W213" s="21" t="str">
        <f>IF('Cylinder Detail'!E215=0,"","+" &amp; 'Cylinder Detail'!E215)</f>
        <v/>
      </c>
      <c r="X213" s="21" t="str">
        <f t="shared" si="56"/>
        <v/>
      </c>
      <c r="Y213" s="21" t="str">
        <f>IF('Cylinder Detail'!S215=0,"",'Cylinder Detail'!S215)</f>
        <v/>
      </c>
      <c r="Z213" s="21" t="str">
        <f>IF('Cylinder Detail'!T215=0,"",'Cylinder Detail'!T215)</f>
        <v/>
      </c>
      <c r="AA213" s="21" t="str">
        <f>IF('Cylinder Detail'!H215=0,"",'Cylinder Detail'!H215)</f>
        <v/>
      </c>
      <c r="AB213" s="21" t="str">
        <f>IF('Cylinder Detail'!I215=0,"",'Cylinder Detail'!I215)</f>
        <v/>
      </c>
      <c r="AC213" s="22" t="str">
        <f>IF('Cylinder Detail'!AB215=0,"",'Cylinder Detail'!AB215)</f>
        <v/>
      </c>
      <c r="AD213" s="25" t="str">
        <f>IF('Sensor Detail'!F215=0,"","=" &amp; 'Sensor Detail'!F215)</f>
        <v/>
      </c>
      <c r="AE213" s="25" t="str">
        <f>IF('Sensor Detail'!H215=0,"",'Sensor Detail'!H215)</f>
        <v/>
      </c>
      <c r="AF213" s="27" t="str">
        <f>IF('Sensor Detail'!G215=0,"","-" &amp; 'Sensor Detail'!G215)</f>
        <v/>
      </c>
      <c r="AG213" s="27" t="str">
        <f>IF('Sensor Detail'!I215=0,"",'Sensor Detail'!I215)</f>
        <v/>
      </c>
      <c r="AH213" s="27" t="str">
        <f>IF('Sensor Detail'!E215=0,"","+" &amp; 'Sensor Detail'!E215)</f>
        <v/>
      </c>
      <c r="AI213" s="27" t="str">
        <f t="shared" si="57"/>
        <v/>
      </c>
      <c r="AJ213" s="27" t="str">
        <f>IF('Sensor Detail'!J215=0,"",'Sensor Detail'!J215)</f>
        <v/>
      </c>
      <c r="AK213" s="27" t="str">
        <f>IF('Sensor Detail'!K215=0,"",'Sensor Detail'!K215)</f>
        <v/>
      </c>
      <c r="AL213" s="27" t="str">
        <f>IF('Sensor Detail'!L215=0,"",'Sensor Detail'!L215)</f>
        <v/>
      </c>
      <c r="AM213" s="27" t="str">
        <f>IF('Sensor Detail'!M215=0,"",'Sensor Detail'!M215)</f>
        <v/>
      </c>
      <c r="AN213" s="27" t="str">
        <f>IF('Sensor Detail'!N215=0,"",'Sensor Detail'!N215)</f>
        <v/>
      </c>
      <c r="AO213" s="27" t="str">
        <f>IF('Sensor Detail'!O215=0,"",'Sensor Detail'!O215)</f>
        <v/>
      </c>
      <c r="AP213" s="15" t="str">
        <f t="shared" si="58"/>
        <v/>
      </c>
      <c r="AQ213" s="15" t="str">
        <f t="shared" si="59"/>
        <v/>
      </c>
    </row>
    <row r="214" spans="1:43">
      <c r="A214" s="13" t="str">
        <f t="shared" si="45"/>
        <v/>
      </c>
      <c r="B214" s="13" t="str">
        <f t="shared" si="46"/>
        <v/>
      </c>
      <c r="C214" s="15" t="str">
        <f t="shared" si="47"/>
        <v/>
      </c>
      <c r="D214" s="15" t="str">
        <f t="shared" si="48"/>
        <v/>
      </c>
      <c r="E214" s="15" t="str">
        <f t="shared" si="49"/>
        <v/>
      </c>
      <c r="F214" s="15" t="str">
        <f t="shared" si="50"/>
        <v/>
      </c>
      <c r="G214" s="15" t="str">
        <f t="shared" si="51"/>
        <v/>
      </c>
      <c r="H214" s="15" t="str">
        <f t="shared" si="52"/>
        <v/>
      </c>
      <c r="I214" s="15" t="str">
        <f t="shared" si="53"/>
        <v/>
      </c>
      <c r="J214" s="15" t="str">
        <f t="shared" si="54"/>
        <v/>
      </c>
      <c r="K214" s="13" t="str">
        <f>IF('Cylinder Detail'!U216=0,"",'Cylinder Detail'!U216)</f>
        <v/>
      </c>
      <c r="L214" s="13" t="str">
        <f>IF('Cylinder Detail'!Z216=0,"",_xlfn.TEXTBEFORE('Cylinder Detail'!Z216, ","))</f>
        <v/>
      </c>
      <c r="M214" s="13" t="str">
        <f t="shared" si="55"/>
        <v/>
      </c>
      <c r="N214" s="17" t="str">
        <f>IF('Cylinder Detail'!V216=0,"",'Cylinder Detail'!V216)</f>
        <v/>
      </c>
      <c r="O214" s="17" t="str">
        <f>IF('Cylinder Detail'!Z216=0,"",_xlfn.TEXTAFTER('Cylinder Detail'!Z216, ", "))</f>
        <v/>
      </c>
      <c r="P214" s="17" t="str">
        <f>IF('Cylinder Detail'!AA216=0,"",'Cylinder Detail'!AA216)</f>
        <v/>
      </c>
      <c r="Q214" s="19" t="str">
        <f>IF('Cylinder Detail'!W216=0,"",'Cylinder Detail'!W216)</f>
        <v/>
      </c>
      <c r="R214" s="19" t="str">
        <f>IF('Cylinder Detail'!Y216=0,"",'Cylinder Detail'!Y216)</f>
        <v/>
      </c>
      <c r="S214" s="21" t="str">
        <f>IF('Cylinder Detail'!X216=0,"",'Cylinder Detail'!X216)</f>
        <v/>
      </c>
      <c r="T214" s="21" t="str">
        <f>IF('Cylinder Detail'!F216=0,"",'Cylinder Detail'!F216)</f>
        <v/>
      </c>
      <c r="U214" s="21" t="str">
        <f>IF('Cylinder Detail'!R216=0,"",'Cylinder Detail'!R216)</f>
        <v/>
      </c>
      <c r="V214" s="21" t="str">
        <f>IF('Cylinder Detail'!Q216=0,"",'Cylinder Detail'!Q216)</f>
        <v/>
      </c>
      <c r="W214" s="21" t="str">
        <f>IF('Cylinder Detail'!E216=0,"","+" &amp; 'Cylinder Detail'!E216)</f>
        <v/>
      </c>
      <c r="X214" s="21" t="str">
        <f t="shared" si="56"/>
        <v/>
      </c>
      <c r="Y214" s="21" t="str">
        <f>IF('Cylinder Detail'!S216=0,"",'Cylinder Detail'!S216)</f>
        <v/>
      </c>
      <c r="Z214" s="21" t="str">
        <f>IF('Cylinder Detail'!T216=0,"",'Cylinder Detail'!T216)</f>
        <v/>
      </c>
      <c r="AA214" s="21" t="str">
        <f>IF('Cylinder Detail'!H216=0,"",'Cylinder Detail'!H216)</f>
        <v/>
      </c>
      <c r="AB214" s="21" t="str">
        <f>IF('Cylinder Detail'!I216=0,"",'Cylinder Detail'!I216)</f>
        <v/>
      </c>
      <c r="AC214" s="22" t="str">
        <f>IF('Cylinder Detail'!AB216=0,"",'Cylinder Detail'!AB216)</f>
        <v/>
      </c>
      <c r="AD214" s="25" t="str">
        <f>IF('Sensor Detail'!F216=0,"","=" &amp; 'Sensor Detail'!F216)</f>
        <v/>
      </c>
      <c r="AE214" s="25" t="str">
        <f>IF('Sensor Detail'!H216=0,"",'Sensor Detail'!H216)</f>
        <v/>
      </c>
      <c r="AF214" s="27" t="str">
        <f>IF('Sensor Detail'!G216=0,"","-" &amp; 'Sensor Detail'!G216)</f>
        <v/>
      </c>
      <c r="AG214" s="27" t="str">
        <f>IF('Sensor Detail'!I216=0,"",'Sensor Detail'!I216)</f>
        <v/>
      </c>
      <c r="AH214" s="27" t="str">
        <f>IF('Sensor Detail'!E216=0,"","+" &amp; 'Sensor Detail'!E216)</f>
        <v/>
      </c>
      <c r="AI214" s="27" t="str">
        <f t="shared" si="57"/>
        <v/>
      </c>
      <c r="AJ214" s="27" t="str">
        <f>IF('Sensor Detail'!J216=0,"",'Sensor Detail'!J216)</f>
        <v/>
      </c>
      <c r="AK214" s="27" t="str">
        <f>IF('Sensor Detail'!K216=0,"",'Sensor Detail'!K216)</f>
        <v/>
      </c>
      <c r="AL214" s="27" t="str">
        <f>IF('Sensor Detail'!L216=0,"",'Sensor Detail'!L216)</f>
        <v/>
      </c>
      <c r="AM214" s="27" t="str">
        <f>IF('Sensor Detail'!M216=0,"",'Sensor Detail'!M216)</f>
        <v/>
      </c>
      <c r="AN214" s="27" t="str">
        <f>IF('Sensor Detail'!N216=0,"",'Sensor Detail'!N216)</f>
        <v/>
      </c>
      <c r="AO214" s="27" t="str">
        <f>IF('Sensor Detail'!O216=0,"",'Sensor Detail'!O216)</f>
        <v/>
      </c>
      <c r="AP214" s="15" t="str">
        <f t="shared" si="58"/>
        <v/>
      </c>
      <c r="AQ214" s="15" t="str">
        <f t="shared" si="59"/>
        <v/>
      </c>
    </row>
    <row r="215" spans="1:43">
      <c r="A215" s="13" t="str">
        <f t="shared" si="45"/>
        <v/>
      </c>
      <c r="B215" s="13" t="str">
        <f t="shared" si="46"/>
        <v/>
      </c>
      <c r="C215" s="15" t="str">
        <f t="shared" si="47"/>
        <v/>
      </c>
      <c r="D215" s="15" t="str">
        <f t="shared" si="48"/>
        <v/>
      </c>
      <c r="E215" s="15" t="str">
        <f t="shared" si="49"/>
        <v/>
      </c>
      <c r="F215" s="15" t="str">
        <f t="shared" si="50"/>
        <v/>
      </c>
      <c r="G215" s="15" t="str">
        <f t="shared" si="51"/>
        <v/>
      </c>
      <c r="H215" s="15" t="str">
        <f t="shared" si="52"/>
        <v/>
      </c>
      <c r="I215" s="15" t="str">
        <f t="shared" si="53"/>
        <v/>
      </c>
      <c r="J215" s="15" t="str">
        <f t="shared" si="54"/>
        <v/>
      </c>
      <c r="K215" s="13" t="str">
        <f>IF('Cylinder Detail'!U217=0,"",'Cylinder Detail'!U217)</f>
        <v/>
      </c>
      <c r="L215" s="13" t="str">
        <f>IF('Cylinder Detail'!Z217=0,"",_xlfn.TEXTBEFORE('Cylinder Detail'!Z217, ","))</f>
        <v/>
      </c>
      <c r="M215" s="13" t="str">
        <f t="shared" si="55"/>
        <v/>
      </c>
      <c r="N215" s="17" t="str">
        <f>IF('Cylinder Detail'!V217=0,"",'Cylinder Detail'!V217)</f>
        <v/>
      </c>
      <c r="O215" s="17" t="str">
        <f>IF('Cylinder Detail'!Z217=0,"",_xlfn.TEXTAFTER('Cylinder Detail'!Z217, ", "))</f>
        <v/>
      </c>
      <c r="P215" s="17" t="str">
        <f>IF('Cylinder Detail'!AA217=0,"",'Cylinder Detail'!AA217)</f>
        <v/>
      </c>
      <c r="Q215" s="19" t="str">
        <f>IF('Cylinder Detail'!W217=0,"",'Cylinder Detail'!W217)</f>
        <v/>
      </c>
      <c r="R215" s="19" t="str">
        <f>IF('Cylinder Detail'!Y217=0,"",'Cylinder Detail'!Y217)</f>
        <v/>
      </c>
      <c r="S215" s="21" t="str">
        <f>IF('Cylinder Detail'!X217=0,"",'Cylinder Detail'!X217)</f>
        <v/>
      </c>
      <c r="T215" s="21" t="str">
        <f>IF('Cylinder Detail'!F217=0,"",'Cylinder Detail'!F217)</f>
        <v/>
      </c>
      <c r="U215" s="21" t="str">
        <f>IF('Cylinder Detail'!R217=0,"",'Cylinder Detail'!R217)</f>
        <v/>
      </c>
      <c r="V215" s="21" t="str">
        <f>IF('Cylinder Detail'!Q217=0,"",'Cylinder Detail'!Q217)</f>
        <v/>
      </c>
      <c r="W215" s="21" t="str">
        <f>IF('Cylinder Detail'!E217=0,"","+" &amp; 'Cylinder Detail'!E217)</f>
        <v/>
      </c>
      <c r="X215" s="21" t="str">
        <f t="shared" si="56"/>
        <v/>
      </c>
      <c r="Y215" s="21" t="str">
        <f>IF('Cylinder Detail'!S217=0,"",'Cylinder Detail'!S217)</f>
        <v/>
      </c>
      <c r="Z215" s="21" t="str">
        <f>IF('Cylinder Detail'!T217=0,"",'Cylinder Detail'!T217)</f>
        <v/>
      </c>
      <c r="AA215" s="21" t="str">
        <f>IF('Cylinder Detail'!H217=0,"",'Cylinder Detail'!H217)</f>
        <v/>
      </c>
      <c r="AB215" s="21" t="str">
        <f>IF('Cylinder Detail'!I217=0,"",'Cylinder Detail'!I217)</f>
        <v/>
      </c>
      <c r="AC215" s="22" t="str">
        <f>IF('Cylinder Detail'!AB217=0,"",'Cylinder Detail'!AB217)</f>
        <v/>
      </c>
      <c r="AD215" s="25" t="str">
        <f>IF('Sensor Detail'!F217=0,"","=" &amp; 'Sensor Detail'!F217)</f>
        <v/>
      </c>
      <c r="AE215" s="25" t="str">
        <f>IF('Sensor Detail'!H217=0,"",'Sensor Detail'!H217)</f>
        <v/>
      </c>
      <c r="AF215" s="27" t="str">
        <f>IF('Sensor Detail'!G217=0,"","-" &amp; 'Sensor Detail'!G217)</f>
        <v/>
      </c>
      <c r="AG215" s="27" t="str">
        <f>IF('Sensor Detail'!I217=0,"",'Sensor Detail'!I217)</f>
        <v/>
      </c>
      <c r="AH215" s="27" t="str">
        <f>IF('Sensor Detail'!E217=0,"","+" &amp; 'Sensor Detail'!E217)</f>
        <v/>
      </c>
      <c r="AI215" s="27" t="str">
        <f t="shared" si="57"/>
        <v/>
      </c>
      <c r="AJ215" s="27" t="str">
        <f>IF('Sensor Detail'!J217=0,"",'Sensor Detail'!J217)</f>
        <v/>
      </c>
      <c r="AK215" s="27" t="str">
        <f>IF('Sensor Detail'!K217=0,"",'Sensor Detail'!K217)</f>
        <v/>
      </c>
      <c r="AL215" s="27" t="str">
        <f>IF('Sensor Detail'!L217=0,"",'Sensor Detail'!L217)</f>
        <v/>
      </c>
      <c r="AM215" s="27" t="str">
        <f>IF('Sensor Detail'!M217=0,"",'Sensor Detail'!M217)</f>
        <v/>
      </c>
      <c r="AN215" s="27" t="str">
        <f>IF('Sensor Detail'!N217=0,"",'Sensor Detail'!N217)</f>
        <v/>
      </c>
      <c r="AO215" s="27" t="str">
        <f>IF('Sensor Detail'!O217=0,"",'Sensor Detail'!O217)</f>
        <v/>
      </c>
      <c r="AP215" s="15" t="str">
        <f t="shared" si="58"/>
        <v/>
      </c>
      <c r="AQ215" s="15" t="str">
        <f t="shared" si="59"/>
        <v/>
      </c>
    </row>
    <row r="216" spans="1:43">
      <c r="A216" s="13" t="str">
        <f t="shared" si="45"/>
        <v/>
      </c>
      <c r="B216" s="13" t="str">
        <f t="shared" si="46"/>
        <v/>
      </c>
      <c r="C216" s="15" t="str">
        <f t="shared" si="47"/>
        <v/>
      </c>
      <c r="D216" s="15" t="str">
        <f t="shared" si="48"/>
        <v/>
      </c>
      <c r="E216" s="15" t="str">
        <f t="shared" si="49"/>
        <v/>
      </c>
      <c r="F216" s="15" t="str">
        <f t="shared" si="50"/>
        <v/>
      </c>
      <c r="G216" s="15" t="str">
        <f t="shared" si="51"/>
        <v/>
      </c>
      <c r="H216" s="15" t="str">
        <f t="shared" si="52"/>
        <v/>
      </c>
      <c r="I216" s="15" t="str">
        <f t="shared" si="53"/>
        <v/>
      </c>
      <c r="J216" s="15" t="str">
        <f t="shared" si="54"/>
        <v/>
      </c>
      <c r="K216" s="13" t="str">
        <f>IF('Cylinder Detail'!U218=0,"",'Cylinder Detail'!U218)</f>
        <v/>
      </c>
      <c r="L216" s="13" t="str">
        <f>IF('Cylinder Detail'!Z218=0,"",_xlfn.TEXTBEFORE('Cylinder Detail'!Z218, ","))</f>
        <v/>
      </c>
      <c r="M216" s="13" t="str">
        <f t="shared" si="55"/>
        <v/>
      </c>
      <c r="N216" s="17" t="str">
        <f>IF('Cylinder Detail'!V218=0,"",'Cylinder Detail'!V218)</f>
        <v/>
      </c>
      <c r="O216" s="17" t="str">
        <f>IF('Cylinder Detail'!Z218=0,"",_xlfn.TEXTAFTER('Cylinder Detail'!Z218, ", "))</f>
        <v/>
      </c>
      <c r="P216" s="17" t="str">
        <f>IF('Cylinder Detail'!AA218=0,"",'Cylinder Detail'!AA218)</f>
        <v/>
      </c>
      <c r="Q216" s="19" t="str">
        <f>IF('Cylinder Detail'!W218=0,"",'Cylinder Detail'!W218)</f>
        <v/>
      </c>
      <c r="R216" s="19" t="str">
        <f>IF('Cylinder Detail'!Y218=0,"",'Cylinder Detail'!Y218)</f>
        <v/>
      </c>
      <c r="S216" s="21" t="str">
        <f>IF('Cylinder Detail'!X218=0,"",'Cylinder Detail'!X218)</f>
        <v/>
      </c>
      <c r="T216" s="21" t="str">
        <f>IF('Cylinder Detail'!F218=0,"",'Cylinder Detail'!F218)</f>
        <v/>
      </c>
      <c r="U216" s="21" t="str">
        <f>IF('Cylinder Detail'!R218=0,"",'Cylinder Detail'!R218)</f>
        <v/>
      </c>
      <c r="V216" s="21" t="str">
        <f>IF('Cylinder Detail'!Q218=0,"",'Cylinder Detail'!Q218)</f>
        <v/>
      </c>
      <c r="W216" s="21" t="str">
        <f>IF('Cylinder Detail'!E218=0,"","+" &amp; 'Cylinder Detail'!E218)</f>
        <v/>
      </c>
      <c r="X216" s="21" t="str">
        <f t="shared" si="56"/>
        <v/>
      </c>
      <c r="Y216" s="21" t="str">
        <f>IF('Cylinder Detail'!S218=0,"",'Cylinder Detail'!S218)</f>
        <v/>
      </c>
      <c r="Z216" s="21" t="str">
        <f>IF('Cylinder Detail'!T218=0,"",'Cylinder Detail'!T218)</f>
        <v/>
      </c>
      <c r="AA216" s="21" t="str">
        <f>IF('Cylinder Detail'!H218=0,"",'Cylinder Detail'!H218)</f>
        <v/>
      </c>
      <c r="AB216" s="21" t="str">
        <f>IF('Cylinder Detail'!I218=0,"",'Cylinder Detail'!I218)</f>
        <v/>
      </c>
      <c r="AC216" s="22" t="str">
        <f>IF('Cylinder Detail'!AB218=0,"",'Cylinder Detail'!AB218)</f>
        <v/>
      </c>
      <c r="AD216" s="25" t="str">
        <f>IF('Sensor Detail'!F218=0,"","=" &amp; 'Sensor Detail'!F218)</f>
        <v/>
      </c>
      <c r="AE216" s="25" t="str">
        <f>IF('Sensor Detail'!H218=0,"",'Sensor Detail'!H218)</f>
        <v/>
      </c>
      <c r="AF216" s="27" t="str">
        <f>IF('Sensor Detail'!G218=0,"","-" &amp; 'Sensor Detail'!G218)</f>
        <v/>
      </c>
      <c r="AG216" s="27" t="str">
        <f>IF('Sensor Detail'!I218=0,"",'Sensor Detail'!I218)</f>
        <v/>
      </c>
      <c r="AH216" s="27" t="str">
        <f>IF('Sensor Detail'!E218=0,"","+" &amp; 'Sensor Detail'!E218)</f>
        <v/>
      </c>
      <c r="AI216" s="27" t="str">
        <f t="shared" si="57"/>
        <v/>
      </c>
      <c r="AJ216" s="27" t="str">
        <f>IF('Sensor Detail'!J218=0,"",'Sensor Detail'!J218)</f>
        <v/>
      </c>
      <c r="AK216" s="27" t="str">
        <f>IF('Sensor Detail'!K218=0,"",'Sensor Detail'!K218)</f>
        <v/>
      </c>
      <c r="AL216" s="27" t="str">
        <f>IF('Sensor Detail'!L218=0,"",'Sensor Detail'!L218)</f>
        <v/>
      </c>
      <c r="AM216" s="27" t="str">
        <f>IF('Sensor Detail'!M218=0,"",'Sensor Detail'!M218)</f>
        <v/>
      </c>
      <c r="AN216" s="27" t="str">
        <f>IF('Sensor Detail'!N218=0,"",'Sensor Detail'!N218)</f>
        <v/>
      </c>
      <c r="AO216" s="27" t="str">
        <f>IF('Sensor Detail'!O218=0,"",'Sensor Detail'!O218)</f>
        <v/>
      </c>
      <c r="AP216" s="15" t="str">
        <f t="shared" si="58"/>
        <v/>
      </c>
      <c r="AQ216" s="15" t="str">
        <f t="shared" si="59"/>
        <v/>
      </c>
    </row>
    <row r="217" spans="1:43">
      <c r="A217" s="13" t="str">
        <f t="shared" si="45"/>
        <v/>
      </c>
      <c r="B217" s="13" t="str">
        <f t="shared" si="46"/>
        <v/>
      </c>
      <c r="C217" s="15" t="str">
        <f t="shared" si="47"/>
        <v/>
      </c>
      <c r="D217" s="15" t="str">
        <f t="shared" si="48"/>
        <v/>
      </c>
      <c r="E217" s="15" t="str">
        <f t="shared" si="49"/>
        <v/>
      </c>
      <c r="F217" s="15" t="str">
        <f t="shared" si="50"/>
        <v/>
      </c>
      <c r="G217" s="15" t="str">
        <f t="shared" si="51"/>
        <v/>
      </c>
      <c r="H217" s="15" t="str">
        <f t="shared" si="52"/>
        <v/>
      </c>
      <c r="I217" s="15" t="str">
        <f t="shared" si="53"/>
        <v/>
      </c>
      <c r="J217" s="15" t="str">
        <f t="shared" si="54"/>
        <v/>
      </c>
      <c r="K217" s="13" t="str">
        <f>IF('Cylinder Detail'!U219=0,"",'Cylinder Detail'!U219)</f>
        <v/>
      </c>
      <c r="L217" s="13" t="str">
        <f>IF('Cylinder Detail'!Z219=0,"",_xlfn.TEXTBEFORE('Cylinder Detail'!Z219, ","))</f>
        <v/>
      </c>
      <c r="M217" s="13" t="str">
        <f t="shared" si="55"/>
        <v/>
      </c>
      <c r="N217" s="17" t="str">
        <f>IF('Cylinder Detail'!V219=0,"",'Cylinder Detail'!V219)</f>
        <v/>
      </c>
      <c r="O217" s="17" t="str">
        <f>IF('Cylinder Detail'!Z219=0,"",_xlfn.TEXTAFTER('Cylinder Detail'!Z219, ", "))</f>
        <v/>
      </c>
      <c r="P217" s="17" t="str">
        <f>IF('Cylinder Detail'!AA219=0,"",'Cylinder Detail'!AA219)</f>
        <v/>
      </c>
      <c r="Q217" s="19" t="str">
        <f>IF('Cylinder Detail'!W219=0,"",'Cylinder Detail'!W219)</f>
        <v/>
      </c>
      <c r="R217" s="19" t="str">
        <f>IF('Cylinder Detail'!Y219=0,"",'Cylinder Detail'!Y219)</f>
        <v/>
      </c>
      <c r="S217" s="21" t="str">
        <f>IF('Cylinder Detail'!X219=0,"",'Cylinder Detail'!X219)</f>
        <v/>
      </c>
      <c r="T217" s="21" t="str">
        <f>IF('Cylinder Detail'!F219=0,"",'Cylinder Detail'!F219)</f>
        <v/>
      </c>
      <c r="U217" s="21" t="str">
        <f>IF('Cylinder Detail'!R219=0,"",'Cylinder Detail'!R219)</f>
        <v/>
      </c>
      <c r="V217" s="21" t="str">
        <f>IF('Cylinder Detail'!Q219=0,"",'Cylinder Detail'!Q219)</f>
        <v/>
      </c>
      <c r="W217" s="21" t="str">
        <f>IF('Cylinder Detail'!E219=0,"","+" &amp; 'Cylinder Detail'!E219)</f>
        <v/>
      </c>
      <c r="X217" s="21" t="str">
        <f t="shared" si="56"/>
        <v/>
      </c>
      <c r="Y217" s="21" t="str">
        <f>IF('Cylinder Detail'!S219=0,"",'Cylinder Detail'!S219)</f>
        <v/>
      </c>
      <c r="Z217" s="21" t="str">
        <f>IF('Cylinder Detail'!T219=0,"",'Cylinder Detail'!T219)</f>
        <v/>
      </c>
      <c r="AA217" s="21" t="str">
        <f>IF('Cylinder Detail'!H219=0,"",'Cylinder Detail'!H219)</f>
        <v/>
      </c>
      <c r="AB217" s="21" t="str">
        <f>IF('Cylinder Detail'!I219=0,"",'Cylinder Detail'!I219)</f>
        <v/>
      </c>
      <c r="AC217" s="22" t="str">
        <f>IF('Cylinder Detail'!AB219=0,"",'Cylinder Detail'!AB219)</f>
        <v/>
      </c>
      <c r="AD217" s="25" t="str">
        <f>IF('Sensor Detail'!F219=0,"","=" &amp; 'Sensor Detail'!F219)</f>
        <v/>
      </c>
      <c r="AE217" s="25" t="str">
        <f>IF('Sensor Detail'!H219=0,"",'Sensor Detail'!H219)</f>
        <v/>
      </c>
      <c r="AF217" s="27" t="str">
        <f>IF('Sensor Detail'!G219=0,"","-" &amp; 'Sensor Detail'!G219)</f>
        <v/>
      </c>
      <c r="AG217" s="27" t="str">
        <f>IF('Sensor Detail'!I219=0,"",'Sensor Detail'!I219)</f>
        <v/>
      </c>
      <c r="AH217" s="27" t="str">
        <f>IF('Sensor Detail'!E219=0,"","+" &amp; 'Sensor Detail'!E219)</f>
        <v/>
      </c>
      <c r="AI217" s="27" t="str">
        <f t="shared" si="57"/>
        <v/>
      </c>
      <c r="AJ217" s="27" t="str">
        <f>IF('Sensor Detail'!J219=0,"",'Sensor Detail'!J219)</f>
        <v/>
      </c>
      <c r="AK217" s="27" t="str">
        <f>IF('Sensor Detail'!K219=0,"",'Sensor Detail'!K219)</f>
        <v/>
      </c>
      <c r="AL217" s="27" t="str">
        <f>IF('Sensor Detail'!L219=0,"",'Sensor Detail'!L219)</f>
        <v/>
      </c>
      <c r="AM217" s="27" t="str">
        <f>IF('Sensor Detail'!M219=0,"",'Sensor Detail'!M219)</f>
        <v/>
      </c>
      <c r="AN217" s="27" t="str">
        <f>IF('Sensor Detail'!N219=0,"",'Sensor Detail'!N219)</f>
        <v/>
      </c>
      <c r="AO217" s="27" t="str">
        <f>IF('Sensor Detail'!O219=0,"",'Sensor Detail'!O219)</f>
        <v/>
      </c>
      <c r="AP217" s="15" t="str">
        <f t="shared" si="58"/>
        <v/>
      </c>
      <c r="AQ217" s="15" t="str">
        <f t="shared" si="59"/>
        <v/>
      </c>
    </row>
    <row r="218" spans="1:43">
      <c r="A218" s="13" t="str">
        <f t="shared" si="45"/>
        <v/>
      </c>
      <c r="B218" s="13" t="str">
        <f t="shared" si="46"/>
        <v/>
      </c>
      <c r="C218" s="15" t="str">
        <f t="shared" si="47"/>
        <v/>
      </c>
      <c r="D218" s="15" t="str">
        <f t="shared" si="48"/>
        <v/>
      </c>
      <c r="E218" s="15" t="str">
        <f t="shared" si="49"/>
        <v/>
      </c>
      <c r="F218" s="15" t="str">
        <f t="shared" si="50"/>
        <v/>
      </c>
      <c r="G218" s="15" t="str">
        <f t="shared" si="51"/>
        <v/>
      </c>
      <c r="H218" s="15" t="str">
        <f t="shared" si="52"/>
        <v/>
      </c>
      <c r="I218" s="15" t="str">
        <f t="shared" si="53"/>
        <v/>
      </c>
      <c r="J218" s="15" t="str">
        <f t="shared" si="54"/>
        <v/>
      </c>
      <c r="K218" s="13" t="str">
        <f>IF('Cylinder Detail'!U220=0,"",'Cylinder Detail'!U220)</f>
        <v/>
      </c>
      <c r="L218" s="13" t="str">
        <f>IF('Cylinder Detail'!Z220=0,"",_xlfn.TEXTBEFORE('Cylinder Detail'!Z220, ","))</f>
        <v/>
      </c>
      <c r="M218" s="13" t="str">
        <f t="shared" si="55"/>
        <v/>
      </c>
      <c r="N218" s="17" t="str">
        <f>IF('Cylinder Detail'!V220=0,"",'Cylinder Detail'!V220)</f>
        <v/>
      </c>
      <c r="O218" s="17" t="str">
        <f>IF('Cylinder Detail'!Z220=0,"",_xlfn.TEXTAFTER('Cylinder Detail'!Z220, ", "))</f>
        <v/>
      </c>
      <c r="P218" s="17" t="str">
        <f>IF('Cylinder Detail'!AA220=0,"",'Cylinder Detail'!AA220)</f>
        <v/>
      </c>
      <c r="Q218" s="19" t="str">
        <f>IF('Cylinder Detail'!W220=0,"",'Cylinder Detail'!W220)</f>
        <v/>
      </c>
      <c r="R218" s="19" t="str">
        <f>IF('Cylinder Detail'!Y220=0,"",'Cylinder Detail'!Y220)</f>
        <v/>
      </c>
      <c r="S218" s="21" t="str">
        <f>IF('Cylinder Detail'!X220=0,"",'Cylinder Detail'!X220)</f>
        <v/>
      </c>
      <c r="T218" s="21" t="str">
        <f>IF('Cylinder Detail'!F220=0,"",'Cylinder Detail'!F220)</f>
        <v/>
      </c>
      <c r="U218" s="21" t="str">
        <f>IF('Cylinder Detail'!R220=0,"",'Cylinder Detail'!R220)</f>
        <v/>
      </c>
      <c r="V218" s="21" t="str">
        <f>IF('Cylinder Detail'!Q220=0,"",'Cylinder Detail'!Q220)</f>
        <v/>
      </c>
      <c r="W218" s="21" t="str">
        <f>IF('Cylinder Detail'!E220=0,"","+" &amp; 'Cylinder Detail'!E220)</f>
        <v/>
      </c>
      <c r="X218" s="21" t="str">
        <f t="shared" si="56"/>
        <v/>
      </c>
      <c r="Y218" s="21" t="str">
        <f>IF('Cylinder Detail'!S220=0,"",'Cylinder Detail'!S220)</f>
        <v/>
      </c>
      <c r="Z218" s="21" t="str">
        <f>IF('Cylinder Detail'!T220=0,"",'Cylinder Detail'!T220)</f>
        <v/>
      </c>
      <c r="AA218" s="21" t="str">
        <f>IF('Cylinder Detail'!H220=0,"",'Cylinder Detail'!H220)</f>
        <v/>
      </c>
      <c r="AB218" s="21" t="str">
        <f>IF('Cylinder Detail'!I220=0,"",'Cylinder Detail'!I220)</f>
        <v/>
      </c>
      <c r="AC218" s="22" t="str">
        <f>IF('Cylinder Detail'!AB220=0,"",'Cylinder Detail'!AB220)</f>
        <v/>
      </c>
      <c r="AD218" s="25" t="str">
        <f>IF('Sensor Detail'!F220=0,"","=" &amp; 'Sensor Detail'!F220)</f>
        <v/>
      </c>
      <c r="AE218" s="25" t="str">
        <f>IF('Sensor Detail'!H220=0,"",'Sensor Detail'!H220)</f>
        <v/>
      </c>
      <c r="AF218" s="27" t="str">
        <f>IF('Sensor Detail'!G220=0,"","-" &amp; 'Sensor Detail'!G220)</f>
        <v/>
      </c>
      <c r="AG218" s="27" t="str">
        <f>IF('Sensor Detail'!I220=0,"",'Sensor Detail'!I220)</f>
        <v/>
      </c>
      <c r="AH218" s="27" t="str">
        <f>IF('Sensor Detail'!E220=0,"","+" &amp; 'Sensor Detail'!E220)</f>
        <v/>
      </c>
      <c r="AI218" s="27" t="str">
        <f t="shared" si="57"/>
        <v/>
      </c>
      <c r="AJ218" s="27" t="str">
        <f>IF('Sensor Detail'!J220=0,"",'Sensor Detail'!J220)</f>
        <v/>
      </c>
      <c r="AK218" s="27" t="str">
        <f>IF('Sensor Detail'!K220=0,"",'Sensor Detail'!K220)</f>
        <v/>
      </c>
      <c r="AL218" s="27" t="str">
        <f>IF('Sensor Detail'!L220=0,"",'Sensor Detail'!L220)</f>
        <v/>
      </c>
      <c r="AM218" s="27" t="str">
        <f>IF('Sensor Detail'!M220=0,"",'Sensor Detail'!M220)</f>
        <v/>
      </c>
      <c r="AN218" s="27" t="str">
        <f>IF('Sensor Detail'!N220=0,"",'Sensor Detail'!N220)</f>
        <v/>
      </c>
      <c r="AO218" s="27" t="str">
        <f>IF('Sensor Detail'!O220=0,"",'Sensor Detail'!O220)</f>
        <v/>
      </c>
      <c r="AP218" s="15" t="str">
        <f t="shared" si="58"/>
        <v/>
      </c>
      <c r="AQ218" s="15" t="str">
        <f t="shared" si="59"/>
        <v/>
      </c>
    </row>
    <row r="219" spans="1:43">
      <c r="A219" s="13" t="str">
        <f t="shared" si="45"/>
        <v/>
      </c>
      <c r="B219" s="13" t="str">
        <f t="shared" si="46"/>
        <v/>
      </c>
      <c r="C219" s="15" t="str">
        <f t="shared" si="47"/>
        <v/>
      </c>
      <c r="D219" s="15" t="str">
        <f t="shared" si="48"/>
        <v/>
      </c>
      <c r="E219" s="15" t="str">
        <f t="shared" si="49"/>
        <v/>
      </c>
      <c r="F219" s="15" t="str">
        <f t="shared" si="50"/>
        <v/>
      </c>
      <c r="G219" s="15" t="str">
        <f t="shared" si="51"/>
        <v/>
      </c>
      <c r="H219" s="15" t="str">
        <f t="shared" si="52"/>
        <v/>
      </c>
      <c r="I219" s="15" t="str">
        <f t="shared" si="53"/>
        <v/>
      </c>
      <c r="J219" s="15" t="str">
        <f t="shared" si="54"/>
        <v/>
      </c>
      <c r="K219" s="13" t="str">
        <f>IF('Cylinder Detail'!U221=0,"",'Cylinder Detail'!U221)</f>
        <v/>
      </c>
      <c r="L219" s="13" t="str">
        <f>IF('Cylinder Detail'!Z221=0,"",_xlfn.TEXTBEFORE('Cylinder Detail'!Z221, ","))</f>
        <v/>
      </c>
      <c r="M219" s="13" t="str">
        <f t="shared" si="55"/>
        <v/>
      </c>
      <c r="N219" s="17" t="str">
        <f>IF('Cylinder Detail'!V221=0,"",'Cylinder Detail'!V221)</f>
        <v/>
      </c>
      <c r="O219" s="17" t="str">
        <f>IF('Cylinder Detail'!Z221=0,"",_xlfn.TEXTAFTER('Cylinder Detail'!Z221, ", "))</f>
        <v/>
      </c>
      <c r="P219" s="17" t="str">
        <f>IF('Cylinder Detail'!AA221=0,"",'Cylinder Detail'!AA221)</f>
        <v/>
      </c>
      <c r="Q219" s="19" t="str">
        <f>IF('Cylinder Detail'!W221=0,"",'Cylinder Detail'!W221)</f>
        <v/>
      </c>
      <c r="R219" s="19" t="str">
        <f>IF('Cylinder Detail'!Y221=0,"",'Cylinder Detail'!Y221)</f>
        <v/>
      </c>
      <c r="S219" s="21" t="str">
        <f>IF('Cylinder Detail'!X221=0,"",'Cylinder Detail'!X221)</f>
        <v/>
      </c>
      <c r="T219" s="21" t="str">
        <f>IF('Cylinder Detail'!F221=0,"",'Cylinder Detail'!F221)</f>
        <v/>
      </c>
      <c r="U219" s="21" t="str">
        <f>IF('Cylinder Detail'!R221=0,"",'Cylinder Detail'!R221)</f>
        <v/>
      </c>
      <c r="V219" s="21" t="str">
        <f>IF('Cylinder Detail'!Q221=0,"",'Cylinder Detail'!Q221)</f>
        <v/>
      </c>
      <c r="W219" s="21" t="str">
        <f>IF('Cylinder Detail'!E221=0,"","+" &amp; 'Cylinder Detail'!E221)</f>
        <v/>
      </c>
      <c r="X219" s="21" t="str">
        <f t="shared" si="56"/>
        <v/>
      </c>
      <c r="Y219" s="21" t="str">
        <f>IF('Cylinder Detail'!S221=0,"",'Cylinder Detail'!S221)</f>
        <v/>
      </c>
      <c r="Z219" s="21" t="str">
        <f>IF('Cylinder Detail'!T221=0,"",'Cylinder Detail'!T221)</f>
        <v/>
      </c>
      <c r="AA219" s="21" t="str">
        <f>IF('Cylinder Detail'!H221=0,"",'Cylinder Detail'!H221)</f>
        <v/>
      </c>
      <c r="AB219" s="21" t="str">
        <f>IF('Cylinder Detail'!I221=0,"",'Cylinder Detail'!I221)</f>
        <v/>
      </c>
      <c r="AC219" s="22" t="str">
        <f>IF('Cylinder Detail'!AB221=0,"",'Cylinder Detail'!AB221)</f>
        <v/>
      </c>
      <c r="AD219" s="25" t="str">
        <f>IF('Sensor Detail'!F221=0,"","=" &amp; 'Sensor Detail'!F221)</f>
        <v/>
      </c>
      <c r="AE219" s="25" t="str">
        <f>IF('Sensor Detail'!H221=0,"",'Sensor Detail'!H221)</f>
        <v/>
      </c>
      <c r="AF219" s="27" t="str">
        <f>IF('Sensor Detail'!G221=0,"","-" &amp; 'Sensor Detail'!G221)</f>
        <v/>
      </c>
      <c r="AG219" s="27" t="str">
        <f>IF('Sensor Detail'!I221=0,"",'Sensor Detail'!I221)</f>
        <v/>
      </c>
      <c r="AH219" s="27" t="str">
        <f>IF('Sensor Detail'!E221=0,"","+" &amp; 'Sensor Detail'!E221)</f>
        <v/>
      </c>
      <c r="AI219" s="27" t="str">
        <f t="shared" si="57"/>
        <v/>
      </c>
      <c r="AJ219" s="27" t="str">
        <f>IF('Sensor Detail'!J221=0,"",'Sensor Detail'!J221)</f>
        <v/>
      </c>
      <c r="AK219" s="27" t="str">
        <f>IF('Sensor Detail'!K221=0,"",'Sensor Detail'!K221)</f>
        <v/>
      </c>
      <c r="AL219" s="27" t="str">
        <f>IF('Sensor Detail'!L221=0,"",'Sensor Detail'!L221)</f>
        <v/>
      </c>
      <c r="AM219" s="27" t="str">
        <f>IF('Sensor Detail'!M221=0,"",'Sensor Detail'!M221)</f>
        <v/>
      </c>
      <c r="AN219" s="27" t="str">
        <f>IF('Sensor Detail'!N221=0,"",'Sensor Detail'!N221)</f>
        <v/>
      </c>
      <c r="AO219" s="27" t="str">
        <f>IF('Sensor Detail'!O221=0,"",'Sensor Detail'!O221)</f>
        <v/>
      </c>
      <c r="AP219" s="15" t="str">
        <f t="shared" si="58"/>
        <v/>
      </c>
      <c r="AQ219" s="15" t="str">
        <f t="shared" si="59"/>
        <v/>
      </c>
    </row>
    <row r="220" spans="1:43">
      <c r="A220" s="13" t="str">
        <f t="shared" si="45"/>
        <v/>
      </c>
      <c r="B220" s="13" t="str">
        <f t="shared" si="46"/>
        <v/>
      </c>
      <c r="C220" s="15" t="str">
        <f t="shared" si="47"/>
        <v/>
      </c>
      <c r="D220" s="15" t="str">
        <f t="shared" si="48"/>
        <v/>
      </c>
      <c r="E220" s="15" t="str">
        <f t="shared" si="49"/>
        <v/>
      </c>
      <c r="F220" s="15" t="str">
        <f t="shared" si="50"/>
        <v/>
      </c>
      <c r="G220" s="15" t="str">
        <f t="shared" si="51"/>
        <v/>
      </c>
      <c r="H220" s="15" t="str">
        <f t="shared" si="52"/>
        <v/>
      </c>
      <c r="I220" s="15" t="str">
        <f t="shared" si="53"/>
        <v/>
      </c>
      <c r="J220" s="15" t="str">
        <f t="shared" si="54"/>
        <v/>
      </c>
      <c r="K220" s="13" t="str">
        <f>IF('Cylinder Detail'!U222=0,"",'Cylinder Detail'!U222)</f>
        <v/>
      </c>
      <c r="L220" s="13" t="str">
        <f>IF('Cylinder Detail'!Z222=0,"",_xlfn.TEXTBEFORE('Cylinder Detail'!Z222, ","))</f>
        <v/>
      </c>
      <c r="M220" s="13" t="str">
        <f t="shared" si="55"/>
        <v/>
      </c>
      <c r="N220" s="17" t="str">
        <f>IF('Cylinder Detail'!V222=0,"",'Cylinder Detail'!V222)</f>
        <v/>
      </c>
      <c r="O220" s="17" t="str">
        <f>IF('Cylinder Detail'!Z222=0,"",_xlfn.TEXTAFTER('Cylinder Detail'!Z222, ", "))</f>
        <v/>
      </c>
      <c r="P220" s="17" t="str">
        <f>IF('Cylinder Detail'!AA222=0,"",'Cylinder Detail'!AA222)</f>
        <v/>
      </c>
      <c r="Q220" s="19" t="str">
        <f>IF('Cylinder Detail'!W222=0,"",'Cylinder Detail'!W222)</f>
        <v/>
      </c>
      <c r="R220" s="19" t="str">
        <f>IF('Cylinder Detail'!Y222=0,"",'Cylinder Detail'!Y222)</f>
        <v/>
      </c>
      <c r="S220" s="21" t="str">
        <f>IF('Cylinder Detail'!X222=0,"",'Cylinder Detail'!X222)</f>
        <v/>
      </c>
      <c r="T220" s="21" t="str">
        <f>IF('Cylinder Detail'!F222=0,"",'Cylinder Detail'!F222)</f>
        <v/>
      </c>
      <c r="U220" s="21" t="str">
        <f>IF('Cylinder Detail'!R222=0,"",'Cylinder Detail'!R222)</f>
        <v/>
      </c>
      <c r="V220" s="21" t="str">
        <f>IF('Cylinder Detail'!Q222=0,"",'Cylinder Detail'!Q222)</f>
        <v/>
      </c>
      <c r="W220" s="21" t="str">
        <f>IF('Cylinder Detail'!E222=0,"","+" &amp; 'Cylinder Detail'!E222)</f>
        <v/>
      </c>
      <c r="X220" s="21" t="str">
        <f t="shared" si="56"/>
        <v/>
      </c>
      <c r="Y220" s="21" t="str">
        <f>IF('Cylinder Detail'!S222=0,"",'Cylinder Detail'!S222)</f>
        <v/>
      </c>
      <c r="Z220" s="21" t="str">
        <f>IF('Cylinder Detail'!T222=0,"",'Cylinder Detail'!T222)</f>
        <v/>
      </c>
      <c r="AA220" s="21" t="str">
        <f>IF('Cylinder Detail'!H222=0,"",'Cylinder Detail'!H222)</f>
        <v/>
      </c>
      <c r="AB220" s="21" t="str">
        <f>IF('Cylinder Detail'!I222=0,"",'Cylinder Detail'!I222)</f>
        <v/>
      </c>
      <c r="AC220" s="22" t="str">
        <f>IF('Cylinder Detail'!AB222=0,"",'Cylinder Detail'!AB222)</f>
        <v/>
      </c>
      <c r="AD220" s="25" t="str">
        <f>IF('Sensor Detail'!F222=0,"","=" &amp; 'Sensor Detail'!F222)</f>
        <v/>
      </c>
      <c r="AE220" s="25" t="str">
        <f>IF('Sensor Detail'!H222=0,"",'Sensor Detail'!H222)</f>
        <v/>
      </c>
      <c r="AF220" s="27" t="str">
        <f>IF('Sensor Detail'!G222=0,"","-" &amp; 'Sensor Detail'!G222)</f>
        <v/>
      </c>
      <c r="AG220" s="27" t="str">
        <f>IF('Sensor Detail'!I222=0,"",'Sensor Detail'!I222)</f>
        <v/>
      </c>
      <c r="AH220" s="27" t="str">
        <f>IF('Sensor Detail'!E222=0,"","+" &amp; 'Sensor Detail'!E222)</f>
        <v/>
      </c>
      <c r="AI220" s="27" t="str">
        <f t="shared" si="57"/>
        <v/>
      </c>
      <c r="AJ220" s="27" t="str">
        <f>IF('Sensor Detail'!J222=0,"",'Sensor Detail'!J222)</f>
        <v/>
      </c>
      <c r="AK220" s="27" t="str">
        <f>IF('Sensor Detail'!K222=0,"",'Sensor Detail'!K222)</f>
        <v/>
      </c>
      <c r="AL220" s="27" t="str">
        <f>IF('Sensor Detail'!L222=0,"",'Sensor Detail'!L222)</f>
        <v/>
      </c>
      <c r="AM220" s="27" t="str">
        <f>IF('Sensor Detail'!M222=0,"",'Sensor Detail'!M222)</f>
        <v/>
      </c>
      <c r="AN220" s="27" t="str">
        <f>IF('Sensor Detail'!N222=0,"",'Sensor Detail'!N222)</f>
        <v/>
      </c>
      <c r="AO220" s="27" t="str">
        <f>IF('Sensor Detail'!O222=0,"",'Sensor Detail'!O222)</f>
        <v/>
      </c>
      <c r="AP220" s="15" t="str">
        <f t="shared" si="58"/>
        <v/>
      </c>
      <c r="AQ220" s="15" t="str">
        <f t="shared" si="59"/>
        <v/>
      </c>
    </row>
    <row r="221" spans="1:43">
      <c r="A221" s="13" t="str">
        <f t="shared" si="45"/>
        <v/>
      </c>
      <c r="B221" s="13" t="str">
        <f t="shared" si="46"/>
        <v/>
      </c>
      <c r="C221" s="15" t="str">
        <f t="shared" si="47"/>
        <v/>
      </c>
      <c r="D221" s="15" t="str">
        <f t="shared" si="48"/>
        <v/>
      </c>
      <c r="E221" s="15" t="str">
        <f t="shared" si="49"/>
        <v/>
      </c>
      <c r="F221" s="15" t="str">
        <f t="shared" si="50"/>
        <v/>
      </c>
      <c r="G221" s="15" t="str">
        <f t="shared" si="51"/>
        <v/>
      </c>
      <c r="H221" s="15" t="str">
        <f t="shared" si="52"/>
        <v/>
      </c>
      <c r="I221" s="15" t="str">
        <f t="shared" si="53"/>
        <v/>
      </c>
      <c r="J221" s="15" t="str">
        <f t="shared" si="54"/>
        <v/>
      </c>
      <c r="K221" s="13" t="str">
        <f>IF('Cylinder Detail'!U223=0,"",'Cylinder Detail'!U223)</f>
        <v/>
      </c>
      <c r="L221" s="13" t="str">
        <f>IF('Cylinder Detail'!Z223=0,"",_xlfn.TEXTBEFORE('Cylinder Detail'!Z223, ","))</f>
        <v/>
      </c>
      <c r="M221" s="13" t="str">
        <f t="shared" si="55"/>
        <v/>
      </c>
      <c r="N221" s="17" t="str">
        <f>IF('Cylinder Detail'!V223=0,"",'Cylinder Detail'!V223)</f>
        <v/>
      </c>
      <c r="O221" s="17" t="str">
        <f>IF('Cylinder Detail'!Z223=0,"",_xlfn.TEXTAFTER('Cylinder Detail'!Z223, ", "))</f>
        <v/>
      </c>
      <c r="P221" s="17" t="str">
        <f>IF('Cylinder Detail'!AA223=0,"",'Cylinder Detail'!AA223)</f>
        <v/>
      </c>
      <c r="Q221" s="19" t="str">
        <f>IF('Cylinder Detail'!W223=0,"",'Cylinder Detail'!W223)</f>
        <v/>
      </c>
      <c r="R221" s="19" t="str">
        <f>IF('Cylinder Detail'!Y223=0,"",'Cylinder Detail'!Y223)</f>
        <v/>
      </c>
      <c r="S221" s="21" t="str">
        <f>IF('Cylinder Detail'!X223=0,"",'Cylinder Detail'!X223)</f>
        <v/>
      </c>
      <c r="T221" s="21" t="str">
        <f>IF('Cylinder Detail'!F223=0,"",'Cylinder Detail'!F223)</f>
        <v/>
      </c>
      <c r="U221" s="21" t="str">
        <f>IF('Cylinder Detail'!R223=0,"",'Cylinder Detail'!R223)</f>
        <v/>
      </c>
      <c r="V221" s="21" t="str">
        <f>IF('Cylinder Detail'!Q223=0,"",'Cylinder Detail'!Q223)</f>
        <v/>
      </c>
      <c r="W221" s="21" t="str">
        <f>IF('Cylinder Detail'!E223=0,"","+" &amp; 'Cylinder Detail'!E223)</f>
        <v/>
      </c>
      <c r="X221" s="21" t="str">
        <f t="shared" si="56"/>
        <v/>
      </c>
      <c r="Y221" s="21" t="str">
        <f>IF('Cylinder Detail'!S223=0,"",'Cylinder Detail'!S223)</f>
        <v/>
      </c>
      <c r="Z221" s="21" t="str">
        <f>IF('Cylinder Detail'!T223=0,"",'Cylinder Detail'!T223)</f>
        <v/>
      </c>
      <c r="AA221" s="21" t="str">
        <f>IF('Cylinder Detail'!H223=0,"",'Cylinder Detail'!H223)</f>
        <v/>
      </c>
      <c r="AB221" s="21" t="str">
        <f>IF('Cylinder Detail'!I223=0,"",'Cylinder Detail'!I223)</f>
        <v/>
      </c>
      <c r="AC221" s="22" t="str">
        <f>IF('Cylinder Detail'!AB223=0,"",'Cylinder Detail'!AB223)</f>
        <v/>
      </c>
      <c r="AD221" s="25" t="str">
        <f>IF('Sensor Detail'!F223=0,"","=" &amp; 'Sensor Detail'!F223)</f>
        <v/>
      </c>
      <c r="AE221" s="25" t="str">
        <f>IF('Sensor Detail'!H223=0,"",'Sensor Detail'!H223)</f>
        <v/>
      </c>
      <c r="AF221" s="27" t="str">
        <f>IF('Sensor Detail'!G223=0,"","-" &amp; 'Sensor Detail'!G223)</f>
        <v/>
      </c>
      <c r="AG221" s="27" t="str">
        <f>IF('Sensor Detail'!I223=0,"",'Sensor Detail'!I223)</f>
        <v/>
      </c>
      <c r="AH221" s="27" t="str">
        <f>IF('Sensor Detail'!E223=0,"","+" &amp; 'Sensor Detail'!E223)</f>
        <v/>
      </c>
      <c r="AI221" s="27" t="str">
        <f t="shared" si="57"/>
        <v/>
      </c>
      <c r="AJ221" s="27" t="str">
        <f>IF('Sensor Detail'!J223=0,"",'Sensor Detail'!J223)</f>
        <v/>
      </c>
      <c r="AK221" s="27" t="str">
        <f>IF('Sensor Detail'!K223=0,"",'Sensor Detail'!K223)</f>
        <v/>
      </c>
      <c r="AL221" s="27" t="str">
        <f>IF('Sensor Detail'!L223=0,"",'Sensor Detail'!L223)</f>
        <v/>
      </c>
      <c r="AM221" s="27" t="str">
        <f>IF('Sensor Detail'!M223=0,"",'Sensor Detail'!M223)</f>
        <v/>
      </c>
      <c r="AN221" s="27" t="str">
        <f>IF('Sensor Detail'!N223=0,"",'Sensor Detail'!N223)</f>
        <v/>
      </c>
      <c r="AO221" s="27" t="str">
        <f>IF('Sensor Detail'!O223=0,"",'Sensor Detail'!O223)</f>
        <v/>
      </c>
      <c r="AP221" s="15" t="str">
        <f t="shared" si="58"/>
        <v/>
      </c>
      <c r="AQ221" s="15" t="str">
        <f t="shared" si="59"/>
        <v/>
      </c>
    </row>
    <row r="222" spans="1:43">
      <c r="A222" s="13" t="str">
        <f t="shared" si="45"/>
        <v/>
      </c>
      <c r="B222" s="13" t="str">
        <f t="shared" si="46"/>
        <v/>
      </c>
      <c r="C222" s="15" t="str">
        <f t="shared" si="47"/>
        <v/>
      </c>
      <c r="D222" s="15" t="str">
        <f t="shared" si="48"/>
        <v/>
      </c>
      <c r="E222" s="15" t="str">
        <f t="shared" si="49"/>
        <v/>
      </c>
      <c r="F222" s="15" t="str">
        <f t="shared" si="50"/>
        <v/>
      </c>
      <c r="G222" s="15" t="str">
        <f t="shared" si="51"/>
        <v/>
      </c>
      <c r="H222" s="15" t="str">
        <f t="shared" si="52"/>
        <v/>
      </c>
      <c r="I222" s="15" t="str">
        <f t="shared" si="53"/>
        <v/>
      </c>
      <c r="J222" s="15" t="str">
        <f t="shared" si="54"/>
        <v/>
      </c>
      <c r="K222" s="13" t="str">
        <f>IF('Cylinder Detail'!U224=0,"",'Cylinder Detail'!U224)</f>
        <v/>
      </c>
      <c r="L222" s="13" t="str">
        <f>IF('Cylinder Detail'!Z224=0,"",_xlfn.TEXTBEFORE('Cylinder Detail'!Z224, ","))</f>
        <v/>
      </c>
      <c r="M222" s="13" t="str">
        <f t="shared" si="55"/>
        <v/>
      </c>
      <c r="N222" s="17" t="str">
        <f>IF('Cylinder Detail'!V224=0,"",'Cylinder Detail'!V224)</f>
        <v/>
      </c>
      <c r="O222" s="17" t="str">
        <f>IF('Cylinder Detail'!Z224=0,"",_xlfn.TEXTAFTER('Cylinder Detail'!Z224, ", "))</f>
        <v/>
      </c>
      <c r="P222" s="17" t="str">
        <f>IF('Cylinder Detail'!AA224=0,"",'Cylinder Detail'!AA224)</f>
        <v/>
      </c>
      <c r="Q222" s="19" t="str">
        <f>IF('Cylinder Detail'!W224=0,"",'Cylinder Detail'!W224)</f>
        <v/>
      </c>
      <c r="R222" s="19" t="str">
        <f>IF('Cylinder Detail'!Y224=0,"",'Cylinder Detail'!Y224)</f>
        <v/>
      </c>
      <c r="S222" s="21" t="str">
        <f>IF('Cylinder Detail'!X224=0,"",'Cylinder Detail'!X224)</f>
        <v/>
      </c>
      <c r="T222" s="21" t="str">
        <f>IF('Cylinder Detail'!F224=0,"",'Cylinder Detail'!F224)</f>
        <v/>
      </c>
      <c r="U222" s="21" t="str">
        <f>IF('Cylinder Detail'!R224=0,"",'Cylinder Detail'!R224)</f>
        <v/>
      </c>
      <c r="V222" s="21" t="str">
        <f>IF('Cylinder Detail'!Q224=0,"",'Cylinder Detail'!Q224)</f>
        <v/>
      </c>
      <c r="W222" s="21" t="str">
        <f>IF('Cylinder Detail'!E224=0,"","+" &amp; 'Cylinder Detail'!E224)</f>
        <v/>
      </c>
      <c r="X222" s="21" t="str">
        <f t="shared" si="56"/>
        <v/>
      </c>
      <c r="Y222" s="21" t="str">
        <f>IF('Cylinder Detail'!S224=0,"",'Cylinder Detail'!S224)</f>
        <v/>
      </c>
      <c r="Z222" s="21" t="str">
        <f>IF('Cylinder Detail'!T224=0,"",'Cylinder Detail'!T224)</f>
        <v/>
      </c>
      <c r="AA222" s="21" t="str">
        <f>IF('Cylinder Detail'!H224=0,"",'Cylinder Detail'!H224)</f>
        <v/>
      </c>
      <c r="AB222" s="21" t="str">
        <f>IF('Cylinder Detail'!I224=0,"",'Cylinder Detail'!I224)</f>
        <v/>
      </c>
      <c r="AC222" s="22" t="str">
        <f>IF('Cylinder Detail'!AB224=0,"",'Cylinder Detail'!AB224)</f>
        <v/>
      </c>
      <c r="AD222" s="25" t="str">
        <f>IF('Sensor Detail'!F224=0,"","=" &amp; 'Sensor Detail'!F224)</f>
        <v/>
      </c>
      <c r="AE222" s="25" t="str">
        <f>IF('Sensor Detail'!H224=0,"",'Sensor Detail'!H224)</f>
        <v/>
      </c>
      <c r="AF222" s="27" t="str">
        <f>IF('Sensor Detail'!G224=0,"","-" &amp; 'Sensor Detail'!G224)</f>
        <v/>
      </c>
      <c r="AG222" s="27" t="str">
        <f>IF('Sensor Detail'!I224=0,"",'Sensor Detail'!I224)</f>
        <v/>
      </c>
      <c r="AH222" s="27" t="str">
        <f>IF('Sensor Detail'!E224=0,"","+" &amp; 'Sensor Detail'!E224)</f>
        <v/>
      </c>
      <c r="AI222" s="27" t="str">
        <f t="shared" si="57"/>
        <v/>
      </c>
      <c r="AJ222" s="27" t="str">
        <f>IF('Sensor Detail'!J224=0,"",'Sensor Detail'!J224)</f>
        <v/>
      </c>
      <c r="AK222" s="27" t="str">
        <f>IF('Sensor Detail'!K224=0,"",'Sensor Detail'!K224)</f>
        <v/>
      </c>
      <c r="AL222" s="27" t="str">
        <f>IF('Sensor Detail'!L224=0,"",'Sensor Detail'!L224)</f>
        <v/>
      </c>
      <c r="AM222" s="27" t="str">
        <f>IF('Sensor Detail'!M224=0,"",'Sensor Detail'!M224)</f>
        <v/>
      </c>
      <c r="AN222" s="27" t="str">
        <f>IF('Sensor Detail'!N224=0,"",'Sensor Detail'!N224)</f>
        <v/>
      </c>
      <c r="AO222" s="27" t="str">
        <f>IF('Sensor Detail'!O224=0,"",'Sensor Detail'!O224)</f>
        <v/>
      </c>
      <c r="AP222" s="15" t="str">
        <f t="shared" si="58"/>
        <v/>
      </c>
      <c r="AQ222" s="15" t="str">
        <f t="shared" si="59"/>
        <v/>
      </c>
    </row>
    <row r="223" spans="1:43">
      <c r="A223" s="13" t="str">
        <f t="shared" si="45"/>
        <v/>
      </c>
      <c r="B223" s="13" t="str">
        <f t="shared" si="46"/>
        <v/>
      </c>
      <c r="C223" s="15" t="str">
        <f t="shared" si="47"/>
        <v/>
      </c>
      <c r="D223" s="15" t="str">
        <f t="shared" si="48"/>
        <v/>
      </c>
      <c r="E223" s="15" t="str">
        <f t="shared" si="49"/>
        <v/>
      </c>
      <c r="F223" s="15" t="str">
        <f t="shared" si="50"/>
        <v/>
      </c>
      <c r="G223" s="15" t="str">
        <f t="shared" si="51"/>
        <v/>
      </c>
      <c r="H223" s="15" t="str">
        <f t="shared" si="52"/>
        <v/>
      </c>
      <c r="I223" s="15" t="str">
        <f t="shared" si="53"/>
        <v/>
      </c>
      <c r="J223" s="15" t="str">
        <f t="shared" si="54"/>
        <v/>
      </c>
      <c r="K223" s="13" t="str">
        <f>IF('Cylinder Detail'!U225=0,"",'Cylinder Detail'!U225)</f>
        <v/>
      </c>
      <c r="L223" s="13" t="str">
        <f>IF('Cylinder Detail'!Z225=0,"",_xlfn.TEXTBEFORE('Cylinder Detail'!Z225, ","))</f>
        <v/>
      </c>
      <c r="M223" s="13" t="str">
        <f t="shared" si="55"/>
        <v/>
      </c>
      <c r="N223" s="17" t="str">
        <f>IF('Cylinder Detail'!V225=0,"",'Cylinder Detail'!V225)</f>
        <v/>
      </c>
      <c r="O223" s="17" t="str">
        <f>IF('Cylinder Detail'!Z225=0,"",_xlfn.TEXTAFTER('Cylinder Detail'!Z225, ", "))</f>
        <v/>
      </c>
      <c r="P223" s="17" t="str">
        <f>IF('Cylinder Detail'!AA225=0,"",'Cylinder Detail'!AA225)</f>
        <v/>
      </c>
      <c r="Q223" s="19" t="str">
        <f>IF('Cylinder Detail'!W225=0,"",'Cylinder Detail'!W225)</f>
        <v/>
      </c>
      <c r="R223" s="19" t="str">
        <f>IF('Cylinder Detail'!Y225=0,"",'Cylinder Detail'!Y225)</f>
        <v/>
      </c>
      <c r="S223" s="21" t="str">
        <f>IF('Cylinder Detail'!X225=0,"",'Cylinder Detail'!X225)</f>
        <v/>
      </c>
      <c r="T223" s="21" t="str">
        <f>IF('Cylinder Detail'!F225=0,"",'Cylinder Detail'!F225)</f>
        <v/>
      </c>
      <c r="U223" s="21" t="str">
        <f>IF('Cylinder Detail'!R225=0,"",'Cylinder Detail'!R225)</f>
        <v/>
      </c>
      <c r="V223" s="21" t="str">
        <f>IF('Cylinder Detail'!Q225=0,"",'Cylinder Detail'!Q225)</f>
        <v/>
      </c>
      <c r="W223" s="21" t="str">
        <f>IF('Cylinder Detail'!E225=0,"","+" &amp; 'Cylinder Detail'!E225)</f>
        <v/>
      </c>
      <c r="X223" s="21" t="str">
        <f t="shared" si="56"/>
        <v/>
      </c>
      <c r="Y223" s="21" t="str">
        <f>IF('Cylinder Detail'!S225=0,"",'Cylinder Detail'!S225)</f>
        <v/>
      </c>
      <c r="Z223" s="21" t="str">
        <f>IF('Cylinder Detail'!T225=0,"",'Cylinder Detail'!T225)</f>
        <v/>
      </c>
      <c r="AA223" s="21" t="str">
        <f>IF('Cylinder Detail'!H225=0,"",'Cylinder Detail'!H225)</f>
        <v/>
      </c>
      <c r="AB223" s="21" t="str">
        <f>IF('Cylinder Detail'!I225=0,"",'Cylinder Detail'!I225)</f>
        <v/>
      </c>
      <c r="AC223" s="22" t="str">
        <f>IF('Cylinder Detail'!AB225=0,"",'Cylinder Detail'!AB225)</f>
        <v/>
      </c>
      <c r="AD223" s="25" t="str">
        <f>IF('Sensor Detail'!F225=0,"","=" &amp; 'Sensor Detail'!F225)</f>
        <v/>
      </c>
      <c r="AE223" s="25" t="str">
        <f>IF('Sensor Detail'!H225=0,"",'Sensor Detail'!H225)</f>
        <v/>
      </c>
      <c r="AF223" s="27" t="str">
        <f>IF('Sensor Detail'!G225=0,"","-" &amp; 'Sensor Detail'!G225)</f>
        <v/>
      </c>
      <c r="AG223" s="27" t="str">
        <f>IF('Sensor Detail'!I225=0,"",'Sensor Detail'!I225)</f>
        <v/>
      </c>
      <c r="AH223" s="27" t="str">
        <f>IF('Sensor Detail'!E225=0,"","+" &amp; 'Sensor Detail'!E225)</f>
        <v/>
      </c>
      <c r="AI223" s="27" t="str">
        <f t="shared" si="57"/>
        <v/>
      </c>
      <c r="AJ223" s="27" t="str">
        <f>IF('Sensor Detail'!J225=0,"",'Sensor Detail'!J225)</f>
        <v/>
      </c>
      <c r="AK223" s="27" t="str">
        <f>IF('Sensor Detail'!K225=0,"",'Sensor Detail'!K225)</f>
        <v/>
      </c>
      <c r="AL223" s="27" t="str">
        <f>IF('Sensor Detail'!L225=0,"",'Sensor Detail'!L225)</f>
        <v/>
      </c>
      <c r="AM223" s="27" t="str">
        <f>IF('Sensor Detail'!M225=0,"",'Sensor Detail'!M225)</f>
        <v/>
      </c>
      <c r="AN223" s="27" t="str">
        <f>IF('Sensor Detail'!N225=0,"",'Sensor Detail'!N225)</f>
        <v/>
      </c>
      <c r="AO223" s="27" t="str">
        <f>IF('Sensor Detail'!O225=0,"",'Sensor Detail'!O225)</f>
        <v/>
      </c>
      <c r="AP223" s="15" t="str">
        <f t="shared" si="58"/>
        <v/>
      </c>
      <c r="AQ223" s="15" t="str">
        <f t="shared" si="59"/>
        <v/>
      </c>
    </row>
    <row r="224" spans="1:43">
      <c r="A224" s="13" t="str">
        <f t="shared" si="45"/>
        <v/>
      </c>
      <c r="B224" s="13" t="str">
        <f t="shared" si="46"/>
        <v/>
      </c>
      <c r="C224" s="15" t="str">
        <f t="shared" si="47"/>
        <v/>
      </c>
      <c r="D224" s="15" t="str">
        <f t="shared" si="48"/>
        <v/>
      </c>
      <c r="E224" s="15" t="str">
        <f t="shared" si="49"/>
        <v/>
      </c>
      <c r="F224" s="15" t="str">
        <f t="shared" si="50"/>
        <v/>
      </c>
      <c r="G224" s="15" t="str">
        <f t="shared" si="51"/>
        <v/>
      </c>
      <c r="H224" s="15" t="str">
        <f t="shared" si="52"/>
        <v/>
      </c>
      <c r="I224" s="15" t="str">
        <f t="shared" si="53"/>
        <v/>
      </c>
      <c r="J224" s="15" t="str">
        <f t="shared" si="54"/>
        <v/>
      </c>
      <c r="K224" s="13" t="str">
        <f>IF('Cylinder Detail'!U226=0,"",'Cylinder Detail'!U226)</f>
        <v/>
      </c>
      <c r="L224" s="13" t="str">
        <f>IF('Cylinder Detail'!Z226=0,"",_xlfn.TEXTBEFORE('Cylinder Detail'!Z226, ","))</f>
        <v/>
      </c>
      <c r="M224" s="13" t="str">
        <f t="shared" si="55"/>
        <v/>
      </c>
      <c r="N224" s="17" t="str">
        <f>IF('Cylinder Detail'!V226=0,"",'Cylinder Detail'!V226)</f>
        <v/>
      </c>
      <c r="O224" s="17" t="str">
        <f>IF('Cylinder Detail'!Z226=0,"",_xlfn.TEXTAFTER('Cylinder Detail'!Z226, ", "))</f>
        <v/>
      </c>
      <c r="P224" s="17" t="str">
        <f>IF('Cylinder Detail'!AA226=0,"",'Cylinder Detail'!AA226)</f>
        <v/>
      </c>
      <c r="Q224" s="19" t="str">
        <f>IF('Cylinder Detail'!W226=0,"",'Cylinder Detail'!W226)</f>
        <v/>
      </c>
      <c r="R224" s="19" t="str">
        <f>IF('Cylinder Detail'!Y226=0,"",'Cylinder Detail'!Y226)</f>
        <v/>
      </c>
      <c r="S224" s="21" t="str">
        <f>IF('Cylinder Detail'!X226=0,"",'Cylinder Detail'!X226)</f>
        <v/>
      </c>
      <c r="T224" s="21" t="str">
        <f>IF('Cylinder Detail'!F226=0,"",'Cylinder Detail'!F226)</f>
        <v/>
      </c>
      <c r="U224" s="21" t="str">
        <f>IF('Cylinder Detail'!R226=0,"",'Cylinder Detail'!R226)</f>
        <v/>
      </c>
      <c r="V224" s="21" t="str">
        <f>IF('Cylinder Detail'!Q226=0,"",'Cylinder Detail'!Q226)</f>
        <v/>
      </c>
      <c r="W224" s="21" t="str">
        <f>IF('Cylinder Detail'!E226=0,"","+" &amp; 'Cylinder Detail'!E226)</f>
        <v/>
      </c>
      <c r="X224" s="21" t="str">
        <f t="shared" si="56"/>
        <v/>
      </c>
      <c r="Y224" s="21" t="str">
        <f>IF('Cylinder Detail'!S226=0,"",'Cylinder Detail'!S226)</f>
        <v/>
      </c>
      <c r="Z224" s="21" t="str">
        <f>IF('Cylinder Detail'!T226=0,"",'Cylinder Detail'!T226)</f>
        <v/>
      </c>
      <c r="AA224" s="21" t="str">
        <f>IF('Cylinder Detail'!H226=0,"",'Cylinder Detail'!H226)</f>
        <v/>
      </c>
      <c r="AB224" s="21" t="str">
        <f>IF('Cylinder Detail'!I226=0,"",'Cylinder Detail'!I226)</f>
        <v/>
      </c>
      <c r="AC224" s="22" t="str">
        <f>IF('Cylinder Detail'!AB226=0,"",'Cylinder Detail'!AB226)</f>
        <v/>
      </c>
      <c r="AD224" s="25" t="str">
        <f>IF('Sensor Detail'!F226=0,"","=" &amp; 'Sensor Detail'!F226)</f>
        <v/>
      </c>
      <c r="AE224" s="25" t="str">
        <f>IF('Sensor Detail'!H226=0,"",'Sensor Detail'!H226)</f>
        <v/>
      </c>
      <c r="AF224" s="27" t="str">
        <f>IF('Sensor Detail'!G226=0,"","-" &amp; 'Sensor Detail'!G226)</f>
        <v/>
      </c>
      <c r="AG224" s="27" t="str">
        <f>IF('Sensor Detail'!I226=0,"",'Sensor Detail'!I226)</f>
        <v/>
      </c>
      <c r="AH224" s="27" t="str">
        <f>IF('Sensor Detail'!E226=0,"","+" &amp; 'Sensor Detail'!E226)</f>
        <v/>
      </c>
      <c r="AI224" s="27" t="str">
        <f t="shared" si="57"/>
        <v/>
      </c>
      <c r="AJ224" s="27" t="str">
        <f>IF('Sensor Detail'!J226=0,"",'Sensor Detail'!J226)</f>
        <v/>
      </c>
      <c r="AK224" s="27" t="str">
        <f>IF('Sensor Detail'!K226=0,"",'Sensor Detail'!K226)</f>
        <v/>
      </c>
      <c r="AL224" s="27" t="str">
        <f>IF('Sensor Detail'!L226=0,"",'Sensor Detail'!L226)</f>
        <v/>
      </c>
      <c r="AM224" s="27" t="str">
        <f>IF('Sensor Detail'!M226=0,"",'Sensor Detail'!M226)</f>
        <v/>
      </c>
      <c r="AN224" s="27" t="str">
        <f>IF('Sensor Detail'!N226=0,"",'Sensor Detail'!N226)</f>
        <v/>
      </c>
      <c r="AO224" s="27" t="str">
        <f>IF('Sensor Detail'!O226=0,"",'Sensor Detail'!O226)</f>
        <v/>
      </c>
      <c r="AP224" s="15" t="str">
        <f t="shared" si="58"/>
        <v/>
      </c>
      <c r="AQ224" s="15" t="str">
        <f t="shared" si="59"/>
        <v/>
      </c>
    </row>
    <row r="225" spans="1:43">
      <c r="A225" s="13" t="str">
        <f t="shared" si="45"/>
        <v/>
      </c>
      <c r="B225" s="13" t="str">
        <f t="shared" si="46"/>
        <v/>
      </c>
      <c r="C225" s="15" t="str">
        <f t="shared" si="47"/>
        <v/>
      </c>
      <c r="D225" s="15" t="str">
        <f t="shared" si="48"/>
        <v/>
      </c>
      <c r="E225" s="15" t="str">
        <f t="shared" si="49"/>
        <v/>
      </c>
      <c r="F225" s="15" t="str">
        <f t="shared" si="50"/>
        <v/>
      </c>
      <c r="G225" s="15" t="str">
        <f t="shared" si="51"/>
        <v/>
      </c>
      <c r="H225" s="15" t="str">
        <f t="shared" si="52"/>
        <v/>
      </c>
      <c r="I225" s="15" t="str">
        <f t="shared" si="53"/>
        <v/>
      </c>
      <c r="J225" s="15" t="str">
        <f t="shared" si="54"/>
        <v/>
      </c>
      <c r="K225" s="13" t="str">
        <f>IF('Cylinder Detail'!U227=0,"",'Cylinder Detail'!U227)</f>
        <v/>
      </c>
      <c r="L225" s="13" t="str">
        <f>IF('Cylinder Detail'!Z227=0,"",_xlfn.TEXTBEFORE('Cylinder Detail'!Z227, ","))</f>
        <v/>
      </c>
      <c r="M225" s="13" t="str">
        <f t="shared" si="55"/>
        <v/>
      </c>
      <c r="N225" s="17" t="str">
        <f>IF('Cylinder Detail'!V227=0,"",'Cylinder Detail'!V227)</f>
        <v/>
      </c>
      <c r="O225" s="17" t="str">
        <f>IF('Cylinder Detail'!Z227=0,"",_xlfn.TEXTAFTER('Cylinder Detail'!Z227, ", "))</f>
        <v/>
      </c>
      <c r="P225" s="17" t="str">
        <f>IF('Cylinder Detail'!AA227=0,"",'Cylinder Detail'!AA227)</f>
        <v/>
      </c>
      <c r="Q225" s="19" t="str">
        <f>IF('Cylinder Detail'!W227=0,"",'Cylinder Detail'!W227)</f>
        <v/>
      </c>
      <c r="R225" s="19" t="str">
        <f>IF('Cylinder Detail'!Y227=0,"",'Cylinder Detail'!Y227)</f>
        <v/>
      </c>
      <c r="S225" s="21" t="str">
        <f>IF('Cylinder Detail'!X227=0,"",'Cylinder Detail'!X227)</f>
        <v/>
      </c>
      <c r="T225" s="21" t="str">
        <f>IF('Cylinder Detail'!F227=0,"",'Cylinder Detail'!F227)</f>
        <v/>
      </c>
      <c r="U225" s="21" t="str">
        <f>IF('Cylinder Detail'!R227=0,"",'Cylinder Detail'!R227)</f>
        <v/>
      </c>
      <c r="V225" s="21" t="str">
        <f>IF('Cylinder Detail'!Q227=0,"",'Cylinder Detail'!Q227)</f>
        <v/>
      </c>
      <c r="W225" s="21" t="str">
        <f>IF('Cylinder Detail'!E227=0,"","+" &amp; 'Cylinder Detail'!E227)</f>
        <v/>
      </c>
      <c r="X225" s="21" t="str">
        <f t="shared" si="56"/>
        <v/>
      </c>
      <c r="Y225" s="21" t="str">
        <f>IF('Cylinder Detail'!S227=0,"",'Cylinder Detail'!S227)</f>
        <v/>
      </c>
      <c r="Z225" s="21" t="str">
        <f>IF('Cylinder Detail'!T227=0,"",'Cylinder Detail'!T227)</f>
        <v/>
      </c>
      <c r="AA225" s="21" t="str">
        <f>IF('Cylinder Detail'!H227=0,"",'Cylinder Detail'!H227)</f>
        <v/>
      </c>
      <c r="AB225" s="21" t="str">
        <f>IF('Cylinder Detail'!I227=0,"",'Cylinder Detail'!I227)</f>
        <v/>
      </c>
      <c r="AC225" s="22" t="str">
        <f>IF('Cylinder Detail'!AB227=0,"",'Cylinder Detail'!AB227)</f>
        <v/>
      </c>
      <c r="AD225" s="25" t="str">
        <f>IF('Sensor Detail'!F227=0,"","=" &amp; 'Sensor Detail'!F227)</f>
        <v/>
      </c>
      <c r="AE225" s="25" t="str">
        <f>IF('Sensor Detail'!H227=0,"",'Sensor Detail'!H227)</f>
        <v/>
      </c>
      <c r="AF225" s="27" t="str">
        <f>IF('Sensor Detail'!G227=0,"","-" &amp; 'Sensor Detail'!G227)</f>
        <v/>
      </c>
      <c r="AG225" s="27" t="str">
        <f>IF('Sensor Detail'!I227=0,"",'Sensor Detail'!I227)</f>
        <v/>
      </c>
      <c r="AH225" s="27" t="str">
        <f>IF('Sensor Detail'!E227=0,"","+" &amp; 'Sensor Detail'!E227)</f>
        <v/>
      </c>
      <c r="AI225" s="27" t="str">
        <f t="shared" si="57"/>
        <v/>
      </c>
      <c r="AJ225" s="27" t="str">
        <f>IF('Sensor Detail'!J227=0,"",'Sensor Detail'!J227)</f>
        <v/>
      </c>
      <c r="AK225" s="27" t="str">
        <f>IF('Sensor Detail'!K227=0,"",'Sensor Detail'!K227)</f>
        <v/>
      </c>
      <c r="AL225" s="27" t="str">
        <f>IF('Sensor Detail'!L227=0,"",'Sensor Detail'!L227)</f>
        <v/>
      </c>
      <c r="AM225" s="27" t="str">
        <f>IF('Sensor Detail'!M227=0,"",'Sensor Detail'!M227)</f>
        <v/>
      </c>
      <c r="AN225" s="27" t="str">
        <f>IF('Sensor Detail'!N227=0,"",'Sensor Detail'!N227)</f>
        <v/>
      </c>
      <c r="AO225" s="27" t="str">
        <f>IF('Sensor Detail'!O227=0,"",'Sensor Detail'!O227)</f>
        <v/>
      </c>
      <c r="AP225" s="15" t="str">
        <f t="shared" si="58"/>
        <v/>
      </c>
      <c r="AQ225" s="15" t="str">
        <f t="shared" si="59"/>
        <v/>
      </c>
    </row>
    <row r="226" spans="1:43">
      <c r="A226" s="13" t="str">
        <f t="shared" si="45"/>
        <v/>
      </c>
      <c r="B226" s="13" t="str">
        <f t="shared" si="46"/>
        <v/>
      </c>
      <c r="C226" s="15" t="str">
        <f t="shared" si="47"/>
        <v/>
      </c>
      <c r="D226" s="15" t="str">
        <f t="shared" si="48"/>
        <v/>
      </c>
      <c r="E226" s="15" t="str">
        <f t="shared" si="49"/>
        <v/>
      </c>
      <c r="F226" s="15" t="str">
        <f t="shared" si="50"/>
        <v/>
      </c>
      <c r="G226" s="15" t="str">
        <f t="shared" si="51"/>
        <v/>
      </c>
      <c r="H226" s="15" t="str">
        <f t="shared" si="52"/>
        <v/>
      </c>
      <c r="I226" s="15" t="str">
        <f t="shared" si="53"/>
        <v/>
      </c>
      <c r="J226" s="15" t="str">
        <f t="shared" si="54"/>
        <v/>
      </c>
      <c r="K226" s="13" t="str">
        <f>IF('Cylinder Detail'!U228=0,"",'Cylinder Detail'!U228)</f>
        <v/>
      </c>
      <c r="L226" s="13" t="str">
        <f>IF('Cylinder Detail'!Z228=0,"",_xlfn.TEXTBEFORE('Cylinder Detail'!Z228, ","))</f>
        <v/>
      </c>
      <c r="M226" s="13" t="str">
        <f t="shared" si="55"/>
        <v/>
      </c>
      <c r="N226" s="17" t="str">
        <f>IF('Cylinder Detail'!V228=0,"",'Cylinder Detail'!V228)</f>
        <v/>
      </c>
      <c r="O226" s="17" t="str">
        <f>IF('Cylinder Detail'!Z228=0,"",_xlfn.TEXTAFTER('Cylinder Detail'!Z228, ", "))</f>
        <v/>
      </c>
      <c r="P226" s="17" t="str">
        <f>IF('Cylinder Detail'!AA228=0,"",'Cylinder Detail'!AA228)</f>
        <v/>
      </c>
      <c r="Q226" s="19" t="str">
        <f>IF('Cylinder Detail'!W228=0,"",'Cylinder Detail'!W228)</f>
        <v/>
      </c>
      <c r="R226" s="19" t="str">
        <f>IF('Cylinder Detail'!Y228=0,"",'Cylinder Detail'!Y228)</f>
        <v/>
      </c>
      <c r="S226" s="21" t="str">
        <f>IF('Cylinder Detail'!X228=0,"",'Cylinder Detail'!X228)</f>
        <v/>
      </c>
      <c r="T226" s="21" t="str">
        <f>IF('Cylinder Detail'!F228=0,"",'Cylinder Detail'!F228)</f>
        <v/>
      </c>
      <c r="U226" s="21" t="str">
        <f>IF('Cylinder Detail'!R228=0,"",'Cylinder Detail'!R228)</f>
        <v/>
      </c>
      <c r="V226" s="21" t="str">
        <f>IF('Cylinder Detail'!Q228=0,"",'Cylinder Detail'!Q228)</f>
        <v/>
      </c>
      <c r="W226" s="21" t="str">
        <f>IF('Cylinder Detail'!E228=0,"","+" &amp; 'Cylinder Detail'!E228)</f>
        <v/>
      </c>
      <c r="X226" s="21" t="str">
        <f t="shared" si="56"/>
        <v/>
      </c>
      <c r="Y226" s="21" t="str">
        <f>IF('Cylinder Detail'!S228=0,"",'Cylinder Detail'!S228)</f>
        <v/>
      </c>
      <c r="Z226" s="21" t="str">
        <f>IF('Cylinder Detail'!T228=0,"",'Cylinder Detail'!T228)</f>
        <v/>
      </c>
      <c r="AA226" s="21" t="str">
        <f>IF('Cylinder Detail'!H228=0,"",'Cylinder Detail'!H228)</f>
        <v/>
      </c>
      <c r="AB226" s="21" t="str">
        <f>IF('Cylinder Detail'!I228=0,"",'Cylinder Detail'!I228)</f>
        <v/>
      </c>
      <c r="AC226" s="22" t="str">
        <f>IF('Cylinder Detail'!AB228=0,"",'Cylinder Detail'!AB228)</f>
        <v/>
      </c>
      <c r="AD226" s="25" t="str">
        <f>IF('Sensor Detail'!F228=0,"","=" &amp; 'Sensor Detail'!F228)</f>
        <v/>
      </c>
      <c r="AE226" s="25" t="str">
        <f>IF('Sensor Detail'!H228=0,"",'Sensor Detail'!H228)</f>
        <v/>
      </c>
      <c r="AF226" s="27" t="str">
        <f>IF('Sensor Detail'!G228=0,"","-" &amp; 'Sensor Detail'!G228)</f>
        <v/>
      </c>
      <c r="AG226" s="27" t="str">
        <f>IF('Sensor Detail'!I228=0,"",'Sensor Detail'!I228)</f>
        <v/>
      </c>
      <c r="AH226" s="27" t="str">
        <f>IF('Sensor Detail'!E228=0,"","+" &amp; 'Sensor Detail'!E228)</f>
        <v/>
      </c>
      <c r="AI226" s="27" t="str">
        <f t="shared" si="57"/>
        <v/>
      </c>
      <c r="AJ226" s="27" t="str">
        <f>IF('Sensor Detail'!J228=0,"",'Sensor Detail'!J228)</f>
        <v/>
      </c>
      <c r="AK226" s="27" t="str">
        <f>IF('Sensor Detail'!K228=0,"",'Sensor Detail'!K228)</f>
        <v/>
      </c>
      <c r="AL226" s="27" t="str">
        <f>IF('Sensor Detail'!L228=0,"",'Sensor Detail'!L228)</f>
        <v/>
      </c>
      <c r="AM226" s="27" t="str">
        <f>IF('Sensor Detail'!M228=0,"",'Sensor Detail'!M228)</f>
        <v/>
      </c>
      <c r="AN226" s="27" t="str">
        <f>IF('Sensor Detail'!N228=0,"",'Sensor Detail'!N228)</f>
        <v/>
      </c>
      <c r="AO226" s="27" t="str">
        <f>IF('Sensor Detail'!O228=0,"",'Sensor Detail'!O228)</f>
        <v/>
      </c>
      <c r="AP226" s="15" t="str">
        <f t="shared" si="58"/>
        <v/>
      </c>
      <c r="AQ226" s="15" t="str">
        <f t="shared" si="59"/>
        <v/>
      </c>
    </row>
    <row r="227" spans="1:43">
      <c r="A227" s="13" t="str">
        <f t="shared" si="45"/>
        <v/>
      </c>
      <c r="B227" s="13" t="str">
        <f t="shared" si="46"/>
        <v/>
      </c>
      <c r="C227" s="15" t="str">
        <f t="shared" si="47"/>
        <v/>
      </c>
      <c r="D227" s="15" t="str">
        <f t="shared" si="48"/>
        <v/>
      </c>
      <c r="E227" s="15" t="str">
        <f t="shared" si="49"/>
        <v/>
      </c>
      <c r="F227" s="15" t="str">
        <f t="shared" si="50"/>
        <v/>
      </c>
      <c r="G227" s="15" t="str">
        <f t="shared" si="51"/>
        <v/>
      </c>
      <c r="H227" s="15" t="str">
        <f t="shared" si="52"/>
        <v/>
      </c>
      <c r="I227" s="15" t="str">
        <f t="shared" si="53"/>
        <v/>
      </c>
      <c r="J227" s="15" t="str">
        <f t="shared" si="54"/>
        <v/>
      </c>
      <c r="K227" s="13" t="str">
        <f>IF('Cylinder Detail'!U229=0,"",'Cylinder Detail'!U229)</f>
        <v/>
      </c>
      <c r="L227" s="13" t="str">
        <f>IF('Cylinder Detail'!Z229=0,"",_xlfn.TEXTBEFORE('Cylinder Detail'!Z229, ","))</f>
        <v/>
      </c>
      <c r="M227" s="13" t="str">
        <f t="shared" si="55"/>
        <v/>
      </c>
      <c r="N227" s="17" t="str">
        <f>IF('Cylinder Detail'!V229=0,"",'Cylinder Detail'!V229)</f>
        <v/>
      </c>
      <c r="O227" s="17" t="str">
        <f>IF('Cylinder Detail'!Z229=0,"",_xlfn.TEXTAFTER('Cylinder Detail'!Z229, ", "))</f>
        <v/>
      </c>
      <c r="P227" s="17" t="str">
        <f>IF('Cylinder Detail'!AA229=0,"",'Cylinder Detail'!AA229)</f>
        <v/>
      </c>
      <c r="Q227" s="19" t="str">
        <f>IF('Cylinder Detail'!W229=0,"",'Cylinder Detail'!W229)</f>
        <v/>
      </c>
      <c r="R227" s="19" t="str">
        <f>IF('Cylinder Detail'!Y229=0,"",'Cylinder Detail'!Y229)</f>
        <v/>
      </c>
      <c r="S227" s="21" t="str">
        <f>IF('Cylinder Detail'!X229=0,"",'Cylinder Detail'!X229)</f>
        <v/>
      </c>
      <c r="T227" s="21" t="str">
        <f>IF('Cylinder Detail'!F229=0,"",'Cylinder Detail'!F229)</f>
        <v/>
      </c>
      <c r="U227" s="21" t="str">
        <f>IF('Cylinder Detail'!R229=0,"",'Cylinder Detail'!R229)</f>
        <v/>
      </c>
      <c r="V227" s="21" t="str">
        <f>IF('Cylinder Detail'!Q229=0,"",'Cylinder Detail'!Q229)</f>
        <v/>
      </c>
      <c r="W227" s="21" t="str">
        <f>IF('Cylinder Detail'!E229=0,"","+" &amp; 'Cylinder Detail'!E229)</f>
        <v/>
      </c>
      <c r="X227" s="21" t="str">
        <f t="shared" si="56"/>
        <v/>
      </c>
      <c r="Y227" s="21" t="str">
        <f>IF('Cylinder Detail'!S229=0,"",'Cylinder Detail'!S229)</f>
        <v/>
      </c>
      <c r="Z227" s="21" t="str">
        <f>IF('Cylinder Detail'!T229=0,"",'Cylinder Detail'!T229)</f>
        <v/>
      </c>
      <c r="AA227" s="21" t="str">
        <f>IF('Cylinder Detail'!H229=0,"",'Cylinder Detail'!H229)</f>
        <v/>
      </c>
      <c r="AB227" s="21" t="str">
        <f>IF('Cylinder Detail'!I229=0,"",'Cylinder Detail'!I229)</f>
        <v/>
      </c>
      <c r="AC227" s="22" t="str">
        <f>IF('Cylinder Detail'!AB229=0,"",'Cylinder Detail'!AB229)</f>
        <v/>
      </c>
      <c r="AD227" s="25" t="str">
        <f>IF('Sensor Detail'!F229=0,"","=" &amp; 'Sensor Detail'!F229)</f>
        <v/>
      </c>
      <c r="AE227" s="25" t="str">
        <f>IF('Sensor Detail'!H229=0,"",'Sensor Detail'!H229)</f>
        <v/>
      </c>
      <c r="AF227" s="27" t="str">
        <f>IF('Sensor Detail'!G229=0,"","-" &amp; 'Sensor Detail'!G229)</f>
        <v/>
      </c>
      <c r="AG227" s="27" t="str">
        <f>IF('Sensor Detail'!I229=0,"",'Sensor Detail'!I229)</f>
        <v/>
      </c>
      <c r="AH227" s="27" t="str">
        <f>IF('Sensor Detail'!E229=0,"","+" &amp; 'Sensor Detail'!E229)</f>
        <v/>
      </c>
      <c r="AI227" s="27" t="str">
        <f t="shared" si="57"/>
        <v/>
      </c>
      <c r="AJ227" s="27" t="str">
        <f>IF('Sensor Detail'!J229=0,"",'Sensor Detail'!J229)</f>
        <v/>
      </c>
      <c r="AK227" s="27" t="str">
        <f>IF('Sensor Detail'!K229=0,"",'Sensor Detail'!K229)</f>
        <v/>
      </c>
      <c r="AL227" s="27" t="str">
        <f>IF('Sensor Detail'!L229=0,"",'Sensor Detail'!L229)</f>
        <v/>
      </c>
      <c r="AM227" s="27" t="str">
        <f>IF('Sensor Detail'!M229=0,"",'Sensor Detail'!M229)</f>
        <v/>
      </c>
      <c r="AN227" s="27" t="str">
        <f>IF('Sensor Detail'!N229=0,"",'Sensor Detail'!N229)</f>
        <v/>
      </c>
      <c r="AO227" s="27" t="str">
        <f>IF('Sensor Detail'!O229=0,"",'Sensor Detail'!O229)</f>
        <v/>
      </c>
      <c r="AP227" s="15" t="str">
        <f t="shared" si="58"/>
        <v/>
      </c>
      <c r="AQ227" s="15" t="str">
        <f t="shared" si="59"/>
        <v/>
      </c>
    </row>
    <row r="228" spans="1:43">
      <c r="A228" s="13" t="str">
        <f t="shared" si="45"/>
        <v/>
      </c>
      <c r="B228" s="13" t="str">
        <f t="shared" si="46"/>
        <v/>
      </c>
      <c r="C228" s="15" t="str">
        <f t="shared" si="47"/>
        <v/>
      </c>
      <c r="D228" s="15" t="str">
        <f t="shared" si="48"/>
        <v/>
      </c>
      <c r="E228" s="15" t="str">
        <f t="shared" si="49"/>
        <v/>
      </c>
      <c r="F228" s="15" t="str">
        <f t="shared" si="50"/>
        <v/>
      </c>
      <c r="G228" s="15" t="str">
        <f t="shared" si="51"/>
        <v/>
      </c>
      <c r="H228" s="15" t="str">
        <f t="shared" si="52"/>
        <v/>
      </c>
      <c r="I228" s="15" t="str">
        <f t="shared" si="53"/>
        <v/>
      </c>
      <c r="J228" s="15" t="str">
        <f t="shared" si="54"/>
        <v/>
      </c>
      <c r="K228" s="13" t="str">
        <f>IF('Cylinder Detail'!U230=0,"",'Cylinder Detail'!U230)</f>
        <v/>
      </c>
      <c r="L228" s="13" t="str">
        <f>IF('Cylinder Detail'!Z230=0,"",_xlfn.TEXTBEFORE('Cylinder Detail'!Z230, ","))</f>
        <v/>
      </c>
      <c r="M228" s="13" t="str">
        <f t="shared" si="55"/>
        <v/>
      </c>
      <c r="N228" s="17" t="str">
        <f>IF('Cylinder Detail'!V230=0,"",'Cylinder Detail'!V230)</f>
        <v/>
      </c>
      <c r="O228" s="17" t="str">
        <f>IF('Cylinder Detail'!Z230=0,"",_xlfn.TEXTAFTER('Cylinder Detail'!Z230, ", "))</f>
        <v/>
      </c>
      <c r="P228" s="17" t="str">
        <f>IF('Cylinder Detail'!AA230=0,"",'Cylinder Detail'!AA230)</f>
        <v/>
      </c>
      <c r="Q228" s="19" t="str">
        <f>IF('Cylinder Detail'!W230=0,"",'Cylinder Detail'!W230)</f>
        <v/>
      </c>
      <c r="R228" s="19" t="str">
        <f>IF('Cylinder Detail'!Y230=0,"",'Cylinder Detail'!Y230)</f>
        <v/>
      </c>
      <c r="S228" s="21" t="str">
        <f>IF('Cylinder Detail'!X230=0,"",'Cylinder Detail'!X230)</f>
        <v/>
      </c>
      <c r="T228" s="21" t="str">
        <f>IF('Cylinder Detail'!F230=0,"",'Cylinder Detail'!F230)</f>
        <v/>
      </c>
      <c r="U228" s="21" t="str">
        <f>IF('Cylinder Detail'!R230=0,"",'Cylinder Detail'!R230)</f>
        <v/>
      </c>
      <c r="V228" s="21" t="str">
        <f>IF('Cylinder Detail'!Q230=0,"",'Cylinder Detail'!Q230)</f>
        <v/>
      </c>
      <c r="W228" s="21" t="str">
        <f>IF('Cylinder Detail'!E230=0,"","+" &amp; 'Cylinder Detail'!E230)</f>
        <v/>
      </c>
      <c r="X228" s="21" t="str">
        <f t="shared" si="56"/>
        <v/>
      </c>
      <c r="Y228" s="21" t="str">
        <f>IF('Cylinder Detail'!S230=0,"",'Cylinder Detail'!S230)</f>
        <v/>
      </c>
      <c r="Z228" s="21" t="str">
        <f>IF('Cylinder Detail'!T230=0,"",'Cylinder Detail'!T230)</f>
        <v/>
      </c>
      <c r="AA228" s="21" t="str">
        <f>IF('Cylinder Detail'!H230=0,"",'Cylinder Detail'!H230)</f>
        <v/>
      </c>
      <c r="AB228" s="21" t="str">
        <f>IF('Cylinder Detail'!I230=0,"",'Cylinder Detail'!I230)</f>
        <v/>
      </c>
      <c r="AC228" s="22" t="str">
        <f>IF('Cylinder Detail'!AB230=0,"",'Cylinder Detail'!AB230)</f>
        <v/>
      </c>
      <c r="AD228" s="25" t="str">
        <f>IF('Sensor Detail'!F230=0,"","=" &amp; 'Sensor Detail'!F230)</f>
        <v/>
      </c>
      <c r="AE228" s="25" t="str">
        <f>IF('Sensor Detail'!H230=0,"",'Sensor Detail'!H230)</f>
        <v/>
      </c>
      <c r="AF228" s="27" t="str">
        <f>IF('Sensor Detail'!G230=0,"","-" &amp; 'Sensor Detail'!G230)</f>
        <v/>
      </c>
      <c r="AG228" s="27" t="str">
        <f>IF('Sensor Detail'!I230=0,"",'Sensor Detail'!I230)</f>
        <v/>
      </c>
      <c r="AH228" s="27" t="str">
        <f>IF('Sensor Detail'!E230=0,"","+" &amp; 'Sensor Detail'!E230)</f>
        <v/>
      </c>
      <c r="AI228" s="27" t="str">
        <f t="shared" si="57"/>
        <v/>
      </c>
      <c r="AJ228" s="27" t="str">
        <f>IF('Sensor Detail'!J230=0,"",'Sensor Detail'!J230)</f>
        <v/>
      </c>
      <c r="AK228" s="27" t="str">
        <f>IF('Sensor Detail'!K230=0,"",'Sensor Detail'!K230)</f>
        <v/>
      </c>
      <c r="AL228" s="27" t="str">
        <f>IF('Sensor Detail'!L230=0,"",'Sensor Detail'!L230)</f>
        <v/>
      </c>
      <c r="AM228" s="27" t="str">
        <f>IF('Sensor Detail'!M230=0,"",'Sensor Detail'!M230)</f>
        <v/>
      </c>
      <c r="AN228" s="27" t="str">
        <f>IF('Sensor Detail'!N230=0,"",'Sensor Detail'!N230)</f>
        <v/>
      </c>
      <c r="AO228" s="27" t="str">
        <f>IF('Sensor Detail'!O230=0,"",'Sensor Detail'!O230)</f>
        <v/>
      </c>
      <c r="AP228" s="15" t="str">
        <f t="shared" si="58"/>
        <v/>
      </c>
      <c r="AQ228" s="15" t="str">
        <f t="shared" si="59"/>
        <v/>
      </c>
    </row>
    <row r="229" spans="1:43">
      <c r="A229" s="13" t="str">
        <f t="shared" si="45"/>
        <v/>
      </c>
      <c r="B229" s="13" t="str">
        <f t="shared" si="46"/>
        <v/>
      </c>
      <c r="C229" s="15" t="str">
        <f t="shared" si="47"/>
        <v/>
      </c>
      <c r="D229" s="15" t="str">
        <f t="shared" si="48"/>
        <v/>
      </c>
      <c r="E229" s="15" t="str">
        <f t="shared" si="49"/>
        <v/>
      </c>
      <c r="F229" s="15" t="str">
        <f t="shared" si="50"/>
        <v/>
      </c>
      <c r="G229" s="15" t="str">
        <f t="shared" si="51"/>
        <v/>
      </c>
      <c r="H229" s="15" t="str">
        <f t="shared" si="52"/>
        <v/>
      </c>
      <c r="I229" s="15" t="str">
        <f t="shared" si="53"/>
        <v/>
      </c>
      <c r="J229" s="15" t="str">
        <f t="shared" si="54"/>
        <v/>
      </c>
      <c r="K229" s="13" t="str">
        <f>IF('Cylinder Detail'!U231=0,"",'Cylinder Detail'!U231)</f>
        <v/>
      </c>
      <c r="L229" s="13" t="str">
        <f>IF('Cylinder Detail'!Z231=0,"",_xlfn.TEXTBEFORE('Cylinder Detail'!Z231, ","))</f>
        <v/>
      </c>
      <c r="M229" s="13" t="str">
        <f t="shared" si="55"/>
        <v/>
      </c>
      <c r="N229" s="17" t="str">
        <f>IF('Cylinder Detail'!V231=0,"",'Cylinder Detail'!V231)</f>
        <v/>
      </c>
      <c r="O229" s="17" t="str">
        <f>IF('Cylinder Detail'!Z231=0,"",_xlfn.TEXTAFTER('Cylinder Detail'!Z231, ", "))</f>
        <v/>
      </c>
      <c r="P229" s="17" t="str">
        <f>IF('Cylinder Detail'!AA231=0,"",'Cylinder Detail'!AA231)</f>
        <v/>
      </c>
      <c r="Q229" s="19" t="str">
        <f>IF('Cylinder Detail'!W231=0,"",'Cylinder Detail'!W231)</f>
        <v/>
      </c>
      <c r="R229" s="19" t="str">
        <f>IF('Cylinder Detail'!Y231=0,"",'Cylinder Detail'!Y231)</f>
        <v/>
      </c>
      <c r="S229" s="21" t="str">
        <f>IF('Cylinder Detail'!X231=0,"",'Cylinder Detail'!X231)</f>
        <v/>
      </c>
      <c r="T229" s="21" t="str">
        <f>IF('Cylinder Detail'!F231=0,"",'Cylinder Detail'!F231)</f>
        <v/>
      </c>
      <c r="U229" s="21" t="str">
        <f>IF('Cylinder Detail'!R231=0,"",'Cylinder Detail'!R231)</f>
        <v/>
      </c>
      <c r="V229" s="21" t="str">
        <f>IF('Cylinder Detail'!Q231=0,"",'Cylinder Detail'!Q231)</f>
        <v/>
      </c>
      <c r="W229" s="21" t="str">
        <f>IF('Cylinder Detail'!E231=0,"","+" &amp; 'Cylinder Detail'!E231)</f>
        <v/>
      </c>
      <c r="X229" s="21" t="str">
        <f t="shared" si="56"/>
        <v/>
      </c>
      <c r="Y229" s="21" t="str">
        <f>IF('Cylinder Detail'!S231=0,"",'Cylinder Detail'!S231)</f>
        <v/>
      </c>
      <c r="Z229" s="21" t="str">
        <f>IF('Cylinder Detail'!T231=0,"",'Cylinder Detail'!T231)</f>
        <v/>
      </c>
      <c r="AA229" s="21" t="str">
        <f>IF('Cylinder Detail'!H231=0,"",'Cylinder Detail'!H231)</f>
        <v/>
      </c>
      <c r="AB229" s="21" t="str">
        <f>IF('Cylinder Detail'!I231=0,"",'Cylinder Detail'!I231)</f>
        <v/>
      </c>
      <c r="AC229" s="22" t="str">
        <f>IF('Cylinder Detail'!AB231=0,"",'Cylinder Detail'!AB231)</f>
        <v/>
      </c>
      <c r="AD229" s="25" t="str">
        <f>IF('Sensor Detail'!F231=0,"","=" &amp; 'Sensor Detail'!F231)</f>
        <v/>
      </c>
      <c r="AE229" s="25" t="str">
        <f>IF('Sensor Detail'!H231=0,"",'Sensor Detail'!H231)</f>
        <v/>
      </c>
      <c r="AF229" s="27" t="str">
        <f>IF('Sensor Detail'!G231=0,"","-" &amp; 'Sensor Detail'!G231)</f>
        <v/>
      </c>
      <c r="AG229" s="27" t="str">
        <f>IF('Sensor Detail'!I231=0,"",'Sensor Detail'!I231)</f>
        <v/>
      </c>
      <c r="AH229" s="27" t="str">
        <f>IF('Sensor Detail'!E231=0,"","+" &amp; 'Sensor Detail'!E231)</f>
        <v/>
      </c>
      <c r="AI229" s="27" t="str">
        <f t="shared" si="57"/>
        <v/>
      </c>
      <c r="AJ229" s="27" t="str">
        <f>IF('Sensor Detail'!J231=0,"",'Sensor Detail'!J231)</f>
        <v/>
      </c>
      <c r="AK229" s="27" t="str">
        <f>IF('Sensor Detail'!K231=0,"",'Sensor Detail'!K231)</f>
        <v/>
      </c>
      <c r="AL229" s="27" t="str">
        <f>IF('Sensor Detail'!L231=0,"",'Sensor Detail'!L231)</f>
        <v/>
      </c>
      <c r="AM229" s="27" t="str">
        <f>IF('Sensor Detail'!M231=0,"",'Sensor Detail'!M231)</f>
        <v/>
      </c>
      <c r="AN229" s="27" t="str">
        <f>IF('Sensor Detail'!N231=0,"",'Sensor Detail'!N231)</f>
        <v/>
      </c>
      <c r="AO229" s="27" t="str">
        <f>IF('Sensor Detail'!O231=0,"",'Sensor Detail'!O231)</f>
        <v/>
      </c>
      <c r="AP229" s="15" t="str">
        <f t="shared" si="58"/>
        <v/>
      </c>
      <c r="AQ229" s="15" t="str">
        <f t="shared" si="59"/>
        <v/>
      </c>
    </row>
    <row r="230" spans="1:43">
      <c r="A230" s="13" t="str">
        <f t="shared" si="45"/>
        <v/>
      </c>
      <c r="B230" s="13" t="str">
        <f t="shared" si="46"/>
        <v/>
      </c>
      <c r="C230" s="15" t="str">
        <f t="shared" si="47"/>
        <v/>
      </c>
      <c r="D230" s="15" t="str">
        <f t="shared" si="48"/>
        <v/>
      </c>
      <c r="E230" s="15" t="str">
        <f t="shared" si="49"/>
        <v/>
      </c>
      <c r="F230" s="15" t="str">
        <f t="shared" si="50"/>
        <v/>
      </c>
      <c r="G230" s="15" t="str">
        <f t="shared" si="51"/>
        <v/>
      </c>
      <c r="H230" s="15" t="str">
        <f t="shared" si="52"/>
        <v/>
      </c>
      <c r="I230" s="15" t="str">
        <f t="shared" si="53"/>
        <v/>
      </c>
      <c r="J230" s="15" t="str">
        <f t="shared" si="54"/>
        <v/>
      </c>
      <c r="K230" s="13" t="str">
        <f>IF('Cylinder Detail'!U232=0,"",'Cylinder Detail'!U232)</f>
        <v/>
      </c>
      <c r="L230" s="13" t="str">
        <f>IF('Cylinder Detail'!Z232=0,"",_xlfn.TEXTBEFORE('Cylinder Detail'!Z232, ","))</f>
        <v/>
      </c>
      <c r="M230" s="13" t="str">
        <f t="shared" si="55"/>
        <v/>
      </c>
      <c r="N230" s="17" t="str">
        <f>IF('Cylinder Detail'!V232=0,"",'Cylinder Detail'!V232)</f>
        <v/>
      </c>
      <c r="O230" s="17" t="str">
        <f>IF('Cylinder Detail'!Z232=0,"",_xlfn.TEXTAFTER('Cylinder Detail'!Z232, ", "))</f>
        <v/>
      </c>
      <c r="P230" s="17" t="str">
        <f>IF('Cylinder Detail'!AA232=0,"",'Cylinder Detail'!AA232)</f>
        <v/>
      </c>
      <c r="Q230" s="19" t="str">
        <f>IF('Cylinder Detail'!W232=0,"",'Cylinder Detail'!W232)</f>
        <v/>
      </c>
      <c r="R230" s="19" t="str">
        <f>IF('Cylinder Detail'!Y232=0,"",'Cylinder Detail'!Y232)</f>
        <v/>
      </c>
      <c r="S230" s="21" t="str">
        <f>IF('Cylinder Detail'!X232=0,"",'Cylinder Detail'!X232)</f>
        <v/>
      </c>
      <c r="T230" s="21" t="str">
        <f>IF('Cylinder Detail'!F232=0,"",'Cylinder Detail'!F232)</f>
        <v/>
      </c>
      <c r="U230" s="21" t="str">
        <f>IF('Cylinder Detail'!R232=0,"",'Cylinder Detail'!R232)</f>
        <v/>
      </c>
      <c r="V230" s="21" t="str">
        <f>IF('Cylinder Detail'!Q232=0,"",'Cylinder Detail'!Q232)</f>
        <v/>
      </c>
      <c r="W230" s="21" t="str">
        <f>IF('Cylinder Detail'!E232=0,"","+" &amp; 'Cylinder Detail'!E232)</f>
        <v/>
      </c>
      <c r="X230" s="21" t="str">
        <f t="shared" si="56"/>
        <v/>
      </c>
      <c r="Y230" s="21" t="str">
        <f>IF('Cylinder Detail'!S232=0,"",'Cylinder Detail'!S232)</f>
        <v/>
      </c>
      <c r="Z230" s="21" t="str">
        <f>IF('Cylinder Detail'!T232=0,"",'Cylinder Detail'!T232)</f>
        <v/>
      </c>
      <c r="AA230" s="21" t="str">
        <f>IF('Cylinder Detail'!H232=0,"",'Cylinder Detail'!H232)</f>
        <v/>
      </c>
      <c r="AB230" s="21" t="str">
        <f>IF('Cylinder Detail'!I232=0,"",'Cylinder Detail'!I232)</f>
        <v/>
      </c>
      <c r="AC230" s="22" t="str">
        <f>IF('Cylinder Detail'!AB232=0,"",'Cylinder Detail'!AB232)</f>
        <v/>
      </c>
      <c r="AD230" s="25" t="str">
        <f>IF('Sensor Detail'!F232=0,"","=" &amp; 'Sensor Detail'!F232)</f>
        <v/>
      </c>
      <c r="AE230" s="25" t="str">
        <f>IF('Sensor Detail'!H232=0,"",'Sensor Detail'!H232)</f>
        <v/>
      </c>
      <c r="AF230" s="27" t="str">
        <f>IF('Sensor Detail'!G232=0,"","-" &amp; 'Sensor Detail'!G232)</f>
        <v/>
      </c>
      <c r="AG230" s="27" t="str">
        <f>IF('Sensor Detail'!I232=0,"",'Sensor Detail'!I232)</f>
        <v/>
      </c>
      <c r="AH230" s="27" t="str">
        <f>IF('Sensor Detail'!E232=0,"","+" &amp; 'Sensor Detail'!E232)</f>
        <v/>
      </c>
      <c r="AI230" s="27" t="str">
        <f t="shared" si="57"/>
        <v/>
      </c>
      <c r="AJ230" s="27" t="str">
        <f>IF('Sensor Detail'!J232=0,"",'Sensor Detail'!J232)</f>
        <v/>
      </c>
      <c r="AK230" s="27" t="str">
        <f>IF('Sensor Detail'!K232=0,"",'Sensor Detail'!K232)</f>
        <v/>
      </c>
      <c r="AL230" s="27" t="str">
        <f>IF('Sensor Detail'!L232=0,"",'Sensor Detail'!L232)</f>
        <v/>
      </c>
      <c r="AM230" s="27" t="str">
        <f>IF('Sensor Detail'!M232=0,"",'Sensor Detail'!M232)</f>
        <v/>
      </c>
      <c r="AN230" s="27" t="str">
        <f>IF('Sensor Detail'!N232=0,"",'Sensor Detail'!N232)</f>
        <v/>
      </c>
      <c r="AO230" s="27" t="str">
        <f>IF('Sensor Detail'!O232=0,"",'Sensor Detail'!O232)</f>
        <v/>
      </c>
      <c r="AP230" s="15" t="str">
        <f t="shared" si="58"/>
        <v/>
      </c>
      <c r="AQ230" s="15" t="str">
        <f t="shared" si="59"/>
        <v/>
      </c>
    </row>
    <row r="231" spans="1:43">
      <c r="A231" s="13" t="str">
        <f t="shared" si="45"/>
        <v/>
      </c>
      <c r="B231" s="13" t="str">
        <f t="shared" si="46"/>
        <v/>
      </c>
      <c r="C231" s="15" t="str">
        <f t="shared" si="47"/>
        <v/>
      </c>
      <c r="D231" s="15" t="str">
        <f t="shared" si="48"/>
        <v/>
      </c>
      <c r="E231" s="15" t="str">
        <f t="shared" si="49"/>
        <v/>
      </c>
      <c r="F231" s="15" t="str">
        <f t="shared" si="50"/>
        <v/>
      </c>
      <c r="G231" s="15" t="str">
        <f t="shared" si="51"/>
        <v/>
      </c>
      <c r="H231" s="15" t="str">
        <f t="shared" si="52"/>
        <v/>
      </c>
      <c r="I231" s="15" t="str">
        <f t="shared" si="53"/>
        <v/>
      </c>
      <c r="J231" s="15" t="str">
        <f t="shared" si="54"/>
        <v/>
      </c>
      <c r="K231" s="13" t="str">
        <f>IF('Cylinder Detail'!U233=0,"",'Cylinder Detail'!U233)</f>
        <v/>
      </c>
      <c r="L231" s="13" t="str">
        <f>IF('Cylinder Detail'!Z233=0,"",_xlfn.TEXTBEFORE('Cylinder Detail'!Z233, ","))</f>
        <v/>
      </c>
      <c r="M231" s="13" t="str">
        <f t="shared" si="55"/>
        <v/>
      </c>
      <c r="N231" s="17" t="str">
        <f>IF('Cylinder Detail'!V233=0,"",'Cylinder Detail'!V233)</f>
        <v/>
      </c>
      <c r="O231" s="17" t="str">
        <f>IF('Cylinder Detail'!Z233=0,"",_xlfn.TEXTAFTER('Cylinder Detail'!Z233, ", "))</f>
        <v/>
      </c>
      <c r="P231" s="17" t="str">
        <f>IF('Cylinder Detail'!AA233=0,"",'Cylinder Detail'!AA233)</f>
        <v/>
      </c>
      <c r="Q231" s="19" t="str">
        <f>IF('Cylinder Detail'!W233=0,"",'Cylinder Detail'!W233)</f>
        <v/>
      </c>
      <c r="R231" s="19" t="str">
        <f>IF('Cylinder Detail'!Y233=0,"",'Cylinder Detail'!Y233)</f>
        <v/>
      </c>
      <c r="S231" s="21" t="str">
        <f>IF('Cylinder Detail'!X233=0,"",'Cylinder Detail'!X233)</f>
        <v/>
      </c>
      <c r="T231" s="21" t="str">
        <f>IF('Cylinder Detail'!F233=0,"",'Cylinder Detail'!F233)</f>
        <v/>
      </c>
      <c r="U231" s="21" t="str">
        <f>IF('Cylinder Detail'!R233=0,"",'Cylinder Detail'!R233)</f>
        <v/>
      </c>
      <c r="V231" s="21" t="str">
        <f>IF('Cylinder Detail'!Q233=0,"",'Cylinder Detail'!Q233)</f>
        <v/>
      </c>
      <c r="W231" s="21" t="str">
        <f>IF('Cylinder Detail'!E233=0,"","+" &amp; 'Cylinder Detail'!E233)</f>
        <v/>
      </c>
      <c r="X231" s="21" t="str">
        <f t="shared" si="56"/>
        <v/>
      </c>
      <c r="Y231" s="21" t="str">
        <f>IF('Cylinder Detail'!S233=0,"",'Cylinder Detail'!S233)</f>
        <v/>
      </c>
      <c r="Z231" s="21" t="str">
        <f>IF('Cylinder Detail'!T233=0,"",'Cylinder Detail'!T233)</f>
        <v/>
      </c>
      <c r="AA231" s="21" t="str">
        <f>IF('Cylinder Detail'!H233=0,"",'Cylinder Detail'!H233)</f>
        <v/>
      </c>
      <c r="AB231" s="21" t="str">
        <f>IF('Cylinder Detail'!I233=0,"",'Cylinder Detail'!I233)</f>
        <v/>
      </c>
      <c r="AC231" s="22" t="str">
        <f>IF('Cylinder Detail'!AB233=0,"",'Cylinder Detail'!AB233)</f>
        <v/>
      </c>
      <c r="AD231" s="25" t="str">
        <f>IF('Sensor Detail'!F233=0,"","=" &amp; 'Sensor Detail'!F233)</f>
        <v/>
      </c>
      <c r="AE231" s="25" t="str">
        <f>IF('Sensor Detail'!H233=0,"",'Sensor Detail'!H233)</f>
        <v/>
      </c>
      <c r="AF231" s="27" t="str">
        <f>IF('Sensor Detail'!G233=0,"","-" &amp; 'Sensor Detail'!G233)</f>
        <v/>
      </c>
      <c r="AG231" s="27" t="str">
        <f>IF('Sensor Detail'!I233=0,"",'Sensor Detail'!I233)</f>
        <v/>
      </c>
      <c r="AH231" s="27" t="str">
        <f>IF('Sensor Detail'!E233=0,"","+" &amp; 'Sensor Detail'!E233)</f>
        <v/>
      </c>
      <c r="AI231" s="27" t="str">
        <f t="shared" si="57"/>
        <v/>
      </c>
      <c r="AJ231" s="27" t="str">
        <f>IF('Sensor Detail'!J233=0,"",'Sensor Detail'!J233)</f>
        <v/>
      </c>
      <c r="AK231" s="27" t="str">
        <f>IF('Sensor Detail'!K233=0,"",'Sensor Detail'!K233)</f>
        <v/>
      </c>
      <c r="AL231" s="27" t="str">
        <f>IF('Sensor Detail'!L233=0,"",'Sensor Detail'!L233)</f>
        <v/>
      </c>
      <c r="AM231" s="27" t="str">
        <f>IF('Sensor Detail'!M233=0,"",'Sensor Detail'!M233)</f>
        <v/>
      </c>
      <c r="AN231" s="27" t="str">
        <f>IF('Sensor Detail'!N233=0,"",'Sensor Detail'!N233)</f>
        <v/>
      </c>
      <c r="AO231" s="27" t="str">
        <f>IF('Sensor Detail'!O233=0,"",'Sensor Detail'!O233)</f>
        <v/>
      </c>
      <c r="AP231" s="15" t="str">
        <f t="shared" si="58"/>
        <v/>
      </c>
      <c r="AQ231" s="15" t="str">
        <f t="shared" si="59"/>
        <v/>
      </c>
    </row>
    <row r="232" spans="1:43">
      <c r="A232" s="13" t="str">
        <f t="shared" si="45"/>
        <v/>
      </c>
      <c r="B232" s="13" t="str">
        <f t="shared" si="46"/>
        <v/>
      </c>
      <c r="C232" s="15" t="str">
        <f t="shared" si="47"/>
        <v/>
      </c>
      <c r="D232" s="15" t="str">
        <f t="shared" si="48"/>
        <v/>
      </c>
      <c r="E232" s="15" t="str">
        <f t="shared" si="49"/>
        <v/>
      </c>
      <c r="F232" s="15" t="str">
        <f t="shared" si="50"/>
        <v/>
      </c>
      <c r="G232" s="15" t="str">
        <f t="shared" si="51"/>
        <v/>
      </c>
      <c r="H232" s="15" t="str">
        <f t="shared" si="52"/>
        <v/>
      </c>
      <c r="I232" s="15" t="str">
        <f t="shared" si="53"/>
        <v/>
      </c>
      <c r="J232" s="15" t="str">
        <f t="shared" si="54"/>
        <v/>
      </c>
      <c r="K232" s="13" t="str">
        <f>IF('Cylinder Detail'!U234=0,"",'Cylinder Detail'!U234)</f>
        <v/>
      </c>
      <c r="L232" s="13" t="str">
        <f>IF('Cylinder Detail'!Z234=0,"",_xlfn.TEXTBEFORE('Cylinder Detail'!Z234, ","))</f>
        <v/>
      </c>
      <c r="M232" s="13" t="str">
        <f t="shared" si="55"/>
        <v/>
      </c>
      <c r="N232" s="17" t="str">
        <f>IF('Cylinder Detail'!V234=0,"",'Cylinder Detail'!V234)</f>
        <v/>
      </c>
      <c r="O232" s="17" t="str">
        <f>IF('Cylinder Detail'!Z234=0,"",_xlfn.TEXTAFTER('Cylinder Detail'!Z234, ", "))</f>
        <v/>
      </c>
      <c r="P232" s="17" t="str">
        <f>IF('Cylinder Detail'!AA234=0,"",'Cylinder Detail'!AA234)</f>
        <v/>
      </c>
      <c r="Q232" s="19" t="str">
        <f>IF('Cylinder Detail'!W234=0,"",'Cylinder Detail'!W234)</f>
        <v/>
      </c>
      <c r="R232" s="19" t="str">
        <f>IF('Cylinder Detail'!Y234=0,"",'Cylinder Detail'!Y234)</f>
        <v/>
      </c>
      <c r="S232" s="21" t="str">
        <f>IF('Cylinder Detail'!X234=0,"",'Cylinder Detail'!X234)</f>
        <v/>
      </c>
      <c r="T232" s="21" t="str">
        <f>IF('Cylinder Detail'!F234=0,"",'Cylinder Detail'!F234)</f>
        <v/>
      </c>
      <c r="U232" s="21" t="str">
        <f>IF('Cylinder Detail'!R234=0,"",'Cylinder Detail'!R234)</f>
        <v/>
      </c>
      <c r="V232" s="21" t="str">
        <f>IF('Cylinder Detail'!Q234=0,"",'Cylinder Detail'!Q234)</f>
        <v/>
      </c>
      <c r="W232" s="21" t="str">
        <f>IF('Cylinder Detail'!E234=0,"","+" &amp; 'Cylinder Detail'!E234)</f>
        <v/>
      </c>
      <c r="X232" s="21" t="str">
        <f t="shared" si="56"/>
        <v/>
      </c>
      <c r="Y232" s="21" t="str">
        <f>IF('Cylinder Detail'!S234=0,"",'Cylinder Detail'!S234)</f>
        <v/>
      </c>
      <c r="Z232" s="21" t="str">
        <f>IF('Cylinder Detail'!T234=0,"",'Cylinder Detail'!T234)</f>
        <v/>
      </c>
      <c r="AA232" s="21" t="str">
        <f>IF('Cylinder Detail'!H234=0,"",'Cylinder Detail'!H234)</f>
        <v/>
      </c>
      <c r="AB232" s="21" t="str">
        <f>IF('Cylinder Detail'!I234=0,"",'Cylinder Detail'!I234)</f>
        <v/>
      </c>
      <c r="AC232" s="22" t="str">
        <f>IF('Cylinder Detail'!AB234=0,"",'Cylinder Detail'!AB234)</f>
        <v/>
      </c>
      <c r="AD232" s="25" t="str">
        <f>IF('Sensor Detail'!F234=0,"","=" &amp; 'Sensor Detail'!F234)</f>
        <v/>
      </c>
      <c r="AE232" s="25" t="str">
        <f>IF('Sensor Detail'!H234=0,"",'Sensor Detail'!H234)</f>
        <v/>
      </c>
      <c r="AF232" s="27" t="str">
        <f>IF('Sensor Detail'!G234=0,"","-" &amp; 'Sensor Detail'!G234)</f>
        <v/>
      </c>
      <c r="AG232" s="27" t="str">
        <f>IF('Sensor Detail'!I234=0,"",'Sensor Detail'!I234)</f>
        <v/>
      </c>
      <c r="AH232" s="27" t="str">
        <f>IF('Sensor Detail'!E234=0,"","+" &amp; 'Sensor Detail'!E234)</f>
        <v/>
      </c>
      <c r="AI232" s="27" t="str">
        <f t="shared" si="57"/>
        <v/>
      </c>
      <c r="AJ232" s="27" t="str">
        <f>IF('Sensor Detail'!J234=0,"",'Sensor Detail'!J234)</f>
        <v/>
      </c>
      <c r="AK232" s="27" t="str">
        <f>IF('Sensor Detail'!K234=0,"",'Sensor Detail'!K234)</f>
        <v/>
      </c>
      <c r="AL232" s="27" t="str">
        <f>IF('Sensor Detail'!L234=0,"",'Sensor Detail'!L234)</f>
        <v/>
      </c>
      <c r="AM232" s="27" t="str">
        <f>IF('Sensor Detail'!M234=0,"",'Sensor Detail'!M234)</f>
        <v/>
      </c>
      <c r="AN232" s="27" t="str">
        <f>IF('Sensor Detail'!N234=0,"",'Sensor Detail'!N234)</f>
        <v/>
      </c>
      <c r="AO232" s="27" t="str">
        <f>IF('Sensor Detail'!O234=0,"",'Sensor Detail'!O234)</f>
        <v/>
      </c>
      <c r="AP232" s="15" t="str">
        <f t="shared" si="58"/>
        <v/>
      </c>
      <c r="AQ232" s="15" t="str">
        <f t="shared" si="59"/>
        <v/>
      </c>
    </row>
    <row r="233" spans="1:43">
      <c r="A233" s="13" t="str">
        <f t="shared" si="45"/>
        <v/>
      </c>
      <c r="B233" s="13" t="str">
        <f t="shared" si="46"/>
        <v/>
      </c>
      <c r="C233" s="15" t="str">
        <f t="shared" si="47"/>
        <v/>
      </c>
      <c r="D233" s="15" t="str">
        <f t="shared" si="48"/>
        <v/>
      </c>
      <c r="E233" s="15" t="str">
        <f t="shared" si="49"/>
        <v/>
      </c>
      <c r="F233" s="15" t="str">
        <f t="shared" si="50"/>
        <v/>
      </c>
      <c r="G233" s="15" t="str">
        <f t="shared" si="51"/>
        <v/>
      </c>
      <c r="H233" s="15" t="str">
        <f t="shared" si="52"/>
        <v/>
      </c>
      <c r="I233" s="15" t="str">
        <f t="shared" si="53"/>
        <v/>
      </c>
      <c r="J233" s="15" t="str">
        <f t="shared" si="54"/>
        <v/>
      </c>
      <c r="K233" s="13" t="str">
        <f>IF('Cylinder Detail'!U235=0,"",'Cylinder Detail'!U235)</f>
        <v/>
      </c>
      <c r="L233" s="13" t="str">
        <f>IF('Cylinder Detail'!Z235=0,"",_xlfn.TEXTBEFORE('Cylinder Detail'!Z235, ","))</f>
        <v/>
      </c>
      <c r="M233" s="13" t="str">
        <f t="shared" si="55"/>
        <v/>
      </c>
      <c r="N233" s="17" t="str">
        <f>IF('Cylinder Detail'!V235=0,"",'Cylinder Detail'!V235)</f>
        <v/>
      </c>
      <c r="O233" s="17" t="str">
        <f>IF('Cylinder Detail'!Z235=0,"",_xlfn.TEXTAFTER('Cylinder Detail'!Z235, ", "))</f>
        <v/>
      </c>
      <c r="P233" s="17" t="str">
        <f>IF('Cylinder Detail'!AA235=0,"",'Cylinder Detail'!AA235)</f>
        <v/>
      </c>
      <c r="Q233" s="19" t="str">
        <f>IF('Cylinder Detail'!W235=0,"",'Cylinder Detail'!W235)</f>
        <v/>
      </c>
      <c r="R233" s="19" t="str">
        <f>IF('Cylinder Detail'!Y235=0,"",'Cylinder Detail'!Y235)</f>
        <v/>
      </c>
      <c r="S233" s="21" t="str">
        <f>IF('Cylinder Detail'!X235=0,"",'Cylinder Detail'!X235)</f>
        <v/>
      </c>
      <c r="T233" s="21" t="str">
        <f>IF('Cylinder Detail'!F235=0,"",'Cylinder Detail'!F235)</f>
        <v/>
      </c>
      <c r="U233" s="21" t="str">
        <f>IF('Cylinder Detail'!R235=0,"",'Cylinder Detail'!R235)</f>
        <v/>
      </c>
      <c r="V233" s="21" t="str">
        <f>IF('Cylinder Detail'!Q235=0,"",'Cylinder Detail'!Q235)</f>
        <v/>
      </c>
      <c r="W233" s="21" t="str">
        <f>IF('Cylinder Detail'!E235=0,"","+" &amp; 'Cylinder Detail'!E235)</f>
        <v/>
      </c>
      <c r="X233" s="21" t="str">
        <f t="shared" si="56"/>
        <v/>
      </c>
      <c r="Y233" s="21" t="str">
        <f>IF('Cylinder Detail'!S235=0,"",'Cylinder Detail'!S235)</f>
        <v/>
      </c>
      <c r="Z233" s="21" t="str">
        <f>IF('Cylinder Detail'!T235=0,"",'Cylinder Detail'!T235)</f>
        <v/>
      </c>
      <c r="AA233" s="21" t="str">
        <f>IF('Cylinder Detail'!H235=0,"",'Cylinder Detail'!H235)</f>
        <v/>
      </c>
      <c r="AB233" s="21" t="str">
        <f>IF('Cylinder Detail'!I235=0,"",'Cylinder Detail'!I235)</f>
        <v/>
      </c>
      <c r="AC233" s="22" t="str">
        <f>IF('Cylinder Detail'!AB235=0,"",'Cylinder Detail'!AB235)</f>
        <v/>
      </c>
      <c r="AD233" s="25" t="str">
        <f>IF('Sensor Detail'!F235=0,"","=" &amp; 'Sensor Detail'!F235)</f>
        <v/>
      </c>
      <c r="AE233" s="25" t="str">
        <f>IF('Sensor Detail'!H235=0,"",'Sensor Detail'!H235)</f>
        <v/>
      </c>
      <c r="AF233" s="27" t="str">
        <f>IF('Sensor Detail'!G235=0,"","-" &amp; 'Sensor Detail'!G235)</f>
        <v/>
      </c>
      <c r="AG233" s="27" t="str">
        <f>IF('Sensor Detail'!I235=0,"",'Sensor Detail'!I235)</f>
        <v/>
      </c>
      <c r="AH233" s="27" t="str">
        <f>IF('Sensor Detail'!E235=0,"","+" &amp; 'Sensor Detail'!E235)</f>
        <v/>
      </c>
      <c r="AI233" s="27" t="str">
        <f t="shared" si="57"/>
        <v/>
      </c>
      <c r="AJ233" s="27" t="str">
        <f>IF('Sensor Detail'!J235=0,"",'Sensor Detail'!J235)</f>
        <v/>
      </c>
      <c r="AK233" s="27" t="str">
        <f>IF('Sensor Detail'!K235=0,"",'Sensor Detail'!K235)</f>
        <v/>
      </c>
      <c r="AL233" s="27" t="str">
        <f>IF('Sensor Detail'!L235=0,"",'Sensor Detail'!L235)</f>
        <v/>
      </c>
      <c r="AM233" s="27" t="str">
        <f>IF('Sensor Detail'!M235=0,"",'Sensor Detail'!M235)</f>
        <v/>
      </c>
      <c r="AN233" s="27" t="str">
        <f>IF('Sensor Detail'!N235=0,"",'Sensor Detail'!N235)</f>
        <v/>
      </c>
      <c r="AO233" s="27" t="str">
        <f>IF('Sensor Detail'!O235=0,"",'Sensor Detail'!O235)</f>
        <v/>
      </c>
      <c r="AP233" s="15" t="str">
        <f t="shared" si="58"/>
        <v/>
      </c>
      <c r="AQ233" s="15" t="str">
        <f t="shared" si="59"/>
        <v/>
      </c>
    </row>
    <row r="234" spans="1:43">
      <c r="A234" s="13" t="str">
        <f t="shared" si="45"/>
        <v/>
      </c>
      <c r="B234" s="13" t="str">
        <f t="shared" si="46"/>
        <v/>
      </c>
      <c r="C234" s="15" t="str">
        <f t="shared" si="47"/>
        <v/>
      </c>
      <c r="D234" s="15" t="str">
        <f t="shared" si="48"/>
        <v/>
      </c>
      <c r="E234" s="15" t="str">
        <f t="shared" si="49"/>
        <v/>
      </c>
      <c r="F234" s="15" t="str">
        <f t="shared" si="50"/>
        <v/>
      </c>
      <c r="G234" s="15" t="str">
        <f t="shared" si="51"/>
        <v/>
      </c>
      <c r="H234" s="15" t="str">
        <f t="shared" si="52"/>
        <v/>
      </c>
      <c r="I234" s="15" t="str">
        <f t="shared" si="53"/>
        <v/>
      </c>
      <c r="J234" s="15" t="str">
        <f t="shared" si="54"/>
        <v/>
      </c>
      <c r="K234" s="13" t="str">
        <f>IF('Cylinder Detail'!U236=0,"",'Cylinder Detail'!U236)</f>
        <v/>
      </c>
      <c r="L234" s="13" t="str">
        <f>IF('Cylinder Detail'!Z236=0,"",_xlfn.TEXTBEFORE('Cylinder Detail'!Z236, ","))</f>
        <v/>
      </c>
      <c r="M234" s="13" t="str">
        <f t="shared" si="55"/>
        <v/>
      </c>
      <c r="N234" s="17" t="str">
        <f>IF('Cylinder Detail'!V236=0,"",'Cylinder Detail'!V236)</f>
        <v/>
      </c>
      <c r="O234" s="17" t="str">
        <f>IF('Cylinder Detail'!Z236=0,"",_xlfn.TEXTAFTER('Cylinder Detail'!Z236, ", "))</f>
        <v/>
      </c>
      <c r="P234" s="17" t="str">
        <f>IF('Cylinder Detail'!AA236=0,"",'Cylinder Detail'!AA236)</f>
        <v/>
      </c>
      <c r="Q234" s="19" t="str">
        <f>IF('Cylinder Detail'!W236=0,"",'Cylinder Detail'!W236)</f>
        <v/>
      </c>
      <c r="R234" s="19" t="str">
        <f>IF('Cylinder Detail'!Y236=0,"",'Cylinder Detail'!Y236)</f>
        <v/>
      </c>
      <c r="S234" s="21" t="str">
        <f>IF('Cylinder Detail'!X236=0,"",'Cylinder Detail'!X236)</f>
        <v/>
      </c>
      <c r="T234" s="21" t="str">
        <f>IF('Cylinder Detail'!F236=0,"",'Cylinder Detail'!F236)</f>
        <v/>
      </c>
      <c r="U234" s="21" t="str">
        <f>IF('Cylinder Detail'!R236=0,"",'Cylinder Detail'!R236)</f>
        <v/>
      </c>
      <c r="V234" s="21" t="str">
        <f>IF('Cylinder Detail'!Q236=0,"",'Cylinder Detail'!Q236)</f>
        <v/>
      </c>
      <c r="W234" s="21" t="str">
        <f>IF('Cylinder Detail'!E236=0,"","+" &amp; 'Cylinder Detail'!E236)</f>
        <v/>
      </c>
      <c r="X234" s="21" t="str">
        <f t="shared" si="56"/>
        <v/>
      </c>
      <c r="Y234" s="21" t="str">
        <f>IF('Cylinder Detail'!S236=0,"",'Cylinder Detail'!S236)</f>
        <v/>
      </c>
      <c r="Z234" s="21" t="str">
        <f>IF('Cylinder Detail'!T236=0,"",'Cylinder Detail'!T236)</f>
        <v/>
      </c>
      <c r="AA234" s="21" t="str">
        <f>IF('Cylinder Detail'!H236=0,"",'Cylinder Detail'!H236)</f>
        <v/>
      </c>
      <c r="AB234" s="21" t="str">
        <f>IF('Cylinder Detail'!I236=0,"",'Cylinder Detail'!I236)</f>
        <v/>
      </c>
      <c r="AC234" s="22" t="str">
        <f>IF('Cylinder Detail'!AB236=0,"",'Cylinder Detail'!AB236)</f>
        <v/>
      </c>
      <c r="AD234" s="25" t="str">
        <f>IF('Sensor Detail'!F236=0,"","=" &amp; 'Sensor Detail'!F236)</f>
        <v/>
      </c>
      <c r="AE234" s="25" t="str">
        <f>IF('Sensor Detail'!H236=0,"",'Sensor Detail'!H236)</f>
        <v/>
      </c>
      <c r="AF234" s="27" t="str">
        <f>IF('Sensor Detail'!G236=0,"","-" &amp; 'Sensor Detail'!G236)</f>
        <v/>
      </c>
      <c r="AG234" s="27" t="str">
        <f>IF('Sensor Detail'!I236=0,"",'Sensor Detail'!I236)</f>
        <v/>
      </c>
      <c r="AH234" s="27" t="str">
        <f>IF('Sensor Detail'!E236=0,"","+" &amp; 'Sensor Detail'!E236)</f>
        <v/>
      </c>
      <c r="AI234" s="27" t="str">
        <f t="shared" si="57"/>
        <v/>
      </c>
      <c r="AJ234" s="27" t="str">
        <f>IF('Sensor Detail'!J236=0,"",'Sensor Detail'!J236)</f>
        <v/>
      </c>
      <c r="AK234" s="27" t="str">
        <f>IF('Sensor Detail'!K236=0,"",'Sensor Detail'!K236)</f>
        <v/>
      </c>
      <c r="AL234" s="27" t="str">
        <f>IF('Sensor Detail'!L236=0,"",'Sensor Detail'!L236)</f>
        <v/>
      </c>
      <c r="AM234" s="27" t="str">
        <f>IF('Sensor Detail'!M236=0,"",'Sensor Detail'!M236)</f>
        <v/>
      </c>
      <c r="AN234" s="27" t="str">
        <f>IF('Sensor Detail'!N236=0,"",'Sensor Detail'!N236)</f>
        <v/>
      </c>
      <c r="AO234" s="27" t="str">
        <f>IF('Sensor Detail'!O236=0,"",'Sensor Detail'!O236)</f>
        <v/>
      </c>
      <c r="AP234" s="15" t="str">
        <f t="shared" si="58"/>
        <v/>
      </c>
      <c r="AQ234" s="15" t="str">
        <f t="shared" si="59"/>
        <v/>
      </c>
    </row>
    <row r="235" spans="1:43">
      <c r="A235" s="13" t="str">
        <f t="shared" si="45"/>
        <v/>
      </c>
      <c r="B235" s="13" t="str">
        <f t="shared" si="46"/>
        <v/>
      </c>
      <c r="C235" s="15" t="str">
        <f t="shared" si="47"/>
        <v/>
      </c>
      <c r="D235" s="15" t="str">
        <f t="shared" si="48"/>
        <v/>
      </c>
      <c r="E235" s="15" t="str">
        <f t="shared" si="49"/>
        <v/>
      </c>
      <c r="F235" s="15" t="str">
        <f t="shared" si="50"/>
        <v/>
      </c>
      <c r="G235" s="15" t="str">
        <f t="shared" si="51"/>
        <v/>
      </c>
      <c r="H235" s="15" t="str">
        <f t="shared" si="52"/>
        <v/>
      </c>
      <c r="I235" s="15" t="str">
        <f t="shared" si="53"/>
        <v/>
      </c>
      <c r="J235" s="15" t="str">
        <f t="shared" si="54"/>
        <v/>
      </c>
      <c r="K235" s="13" t="str">
        <f>IF('Cylinder Detail'!U237=0,"",'Cylinder Detail'!U237)</f>
        <v/>
      </c>
      <c r="L235" s="13" t="str">
        <f>IF('Cylinder Detail'!Z237=0,"",_xlfn.TEXTBEFORE('Cylinder Detail'!Z237, ","))</f>
        <v/>
      </c>
      <c r="M235" s="13" t="str">
        <f t="shared" si="55"/>
        <v/>
      </c>
      <c r="N235" s="17" t="str">
        <f>IF('Cylinder Detail'!V237=0,"",'Cylinder Detail'!V237)</f>
        <v/>
      </c>
      <c r="O235" s="17" t="str">
        <f>IF('Cylinder Detail'!Z237=0,"",_xlfn.TEXTAFTER('Cylinder Detail'!Z237, ", "))</f>
        <v/>
      </c>
      <c r="P235" s="17" t="str">
        <f>IF('Cylinder Detail'!AA237=0,"",'Cylinder Detail'!AA237)</f>
        <v/>
      </c>
      <c r="Q235" s="19" t="str">
        <f>IF('Cylinder Detail'!W237=0,"",'Cylinder Detail'!W237)</f>
        <v/>
      </c>
      <c r="R235" s="19" t="str">
        <f>IF('Cylinder Detail'!Y237=0,"",'Cylinder Detail'!Y237)</f>
        <v/>
      </c>
      <c r="S235" s="21" t="str">
        <f>IF('Cylinder Detail'!X237=0,"",'Cylinder Detail'!X237)</f>
        <v/>
      </c>
      <c r="T235" s="21" t="str">
        <f>IF('Cylinder Detail'!F237=0,"",'Cylinder Detail'!F237)</f>
        <v/>
      </c>
      <c r="U235" s="21" t="str">
        <f>IF('Cylinder Detail'!R237=0,"",'Cylinder Detail'!R237)</f>
        <v/>
      </c>
      <c r="V235" s="21" t="str">
        <f>IF('Cylinder Detail'!Q237=0,"",'Cylinder Detail'!Q237)</f>
        <v/>
      </c>
      <c r="W235" s="21" t="str">
        <f>IF('Cylinder Detail'!E237=0,"","+" &amp; 'Cylinder Detail'!E237)</f>
        <v/>
      </c>
      <c r="X235" s="21" t="str">
        <f t="shared" si="56"/>
        <v/>
      </c>
      <c r="Y235" s="21" t="str">
        <f>IF('Cylinder Detail'!S237=0,"",'Cylinder Detail'!S237)</f>
        <v/>
      </c>
      <c r="Z235" s="21" t="str">
        <f>IF('Cylinder Detail'!T237=0,"",'Cylinder Detail'!T237)</f>
        <v/>
      </c>
      <c r="AA235" s="21" t="str">
        <f>IF('Cylinder Detail'!H237=0,"",'Cylinder Detail'!H237)</f>
        <v/>
      </c>
      <c r="AB235" s="21" t="str">
        <f>IF('Cylinder Detail'!I237=0,"",'Cylinder Detail'!I237)</f>
        <v/>
      </c>
      <c r="AC235" s="22" t="str">
        <f>IF('Cylinder Detail'!AB237=0,"",'Cylinder Detail'!AB237)</f>
        <v/>
      </c>
      <c r="AD235" s="25" t="str">
        <f>IF('Sensor Detail'!F237=0,"","=" &amp; 'Sensor Detail'!F237)</f>
        <v/>
      </c>
      <c r="AE235" s="25" t="str">
        <f>IF('Sensor Detail'!H237=0,"",'Sensor Detail'!H237)</f>
        <v/>
      </c>
      <c r="AF235" s="27" t="str">
        <f>IF('Sensor Detail'!G237=0,"","-" &amp; 'Sensor Detail'!G237)</f>
        <v/>
      </c>
      <c r="AG235" s="27" t="str">
        <f>IF('Sensor Detail'!I237=0,"",'Sensor Detail'!I237)</f>
        <v/>
      </c>
      <c r="AH235" s="27" t="str">
        <f>IF('Sensor Detail'!E237=0,"","+" &amp; 'Sensor Detail'!E237)</f>
        <v/>
      </c>
      <c r="AI235" s="27" t="str">
        <f t="shared" si="57"/>
        <v/>
      </c>
      <c r="AJ235" s="27" t="str">
        <f>IF('Sensor Detail'!J237=0,"",'Sensor Detail'!J237)</f>
        <v/>
      </c>
      <c r="AK235" s="27" t="str">
        <f>IF('Sensor Detail'!K237=0,"",'Sensor Detail'!K237)</f>
        <v/>
      </c>
      <c r="AL235" s="27" t="str">
        <f>IF('Sensor Detail'!L237=0,"",'Sensor Detail'!L237)</f>
        <v/>
      </c>
      <c r="AM235" s="27" t="str">
        <f>IF('Sensor Detail'!M237=0,"",'Sensor Detail'!M237)</f>
        <v/>
      </c>
      <c r="AN235" s="27" t="str">
        <f>IF('Sensor Detail'!N237=0,"",'Sensor Detail'!N237)</f>
        <v/>
      </c>
      <c r="AO235" s="27" t="str">
        <f>IF('Sensor Detail'!O237=0,"",'Sensor Detail'!O237)</f>
        <v/>
      </c>
      <c r="AP235" s="15" t="str">
        <f t="shared" si="58"/>
        <v/>
      </c>
      <c r="AQ235" s="15" t="str">
        <f t="shared" si="59"/>
        <v/>
      </c>
    </row>
    <row r="236" spans="1:43">
      <c r="A236" s="13" t="str">
        <f t="shared" si="45"/>
        <v/>
      </c>
      <c r="B236" s="13" t="str">
        <f t="shared" si="46"/>
        <v/>
      </c>
      <c r="C236" s="15" t="str">
        <f t="shared" si="47"/>
        <v/>
      </c>
      <c r="D236" s="15" t="str">
        <f t="shared" si="48"/>
        <v/>
      </c>
      <c r="E236" s="15" t="str">
        <f t="shared" si="49"/>
        <v/>
      </c>
      <c r="F236" s="15" t="str">
        <f t="shared" si="50"/>
        <v/>
      </c>
      <c r="G236" s="15" t="str">
        <f t="shared" si="51"/>
        <v/>
      </c>
      <c r="H236" s="15" t="str">
        <f t="shared" si="52"/>
        <v/>
      </c>
      <c r="I236" s="15" t="str">
        <f t="shared" si="53"/>
        <v/>
      </c>
      <c r="J236" s="15" t="str">
        <f t="shared" si="54"/>
        <v/>
      </c>
      <c r="K236" s="13" t="str">
        <f>IF('Cylinder Detail'!U238=0,"",'Cylinder Detail'!U238)</f>
        <v/>
      </c>
      <c r="L236" s="13" t="str">
        <f>IF('Cylinder Detail'!Z238=0,"",_xlfn.TEXTBEFORE('Cylinder Detail'!Z238, ","))</f>
        <v/>
      </c>
      <c r="M236" s="13" t="str">
        <f t="shared" si="55"/>
        <v/>
      </c>
      <c r="N236" s="17" t="str">
        <f>IF('Cylinder Detail'!V238=0,"",'Cylinder Detail'!V238)</f>
        <v/>
      </c>
      <c r="O236" s="17" t="str">
        <f>IF('Cylinder Detail'!Z238=0,"",_xlfn.TEXTAFTER('Cylinder Detail'!Z238, ", "))</f>
        <v/>
      </c>
      <c r="P236" s="17" t="str">
        <f>IF('Cylinder Detail'!AA238=0,"",'Cylinder Detail'!AA238)</f>
        <v/>
      </c>
      <c r="Q236" s="19" t="str">
        <f>IF('Cylinder Detail'!W238=0,"",'Cylinder Detail'!W238)</f>
        <v/>
      </c>
      <c r="R236" s="19" t="str">
        <f>IF('Cylinder Detail'!Y238=0,"",'Cylinder Detail'!Y238)</f>
        <v/>
      </c>
      <c r="S236" s="21" t="str">
        <f>IF('Cylinder Detail'!X238=0,"",'Cylinder Detail'!X238)</f>
        <v/>
      </c>
      <c r="T236" s="21" t="str">
        <f>IF('Cylinder Detail'!F238=0,"",'Cylinder Detail'!F238)</f>
        <v/>
      </c>
      <c r="U236" s="21" t="str">
        <f>IF('Cylinder Detail'!R238=0,"",'Cylinder Detail'!R238)</f>
        <v/>
      </c>
      <c r="V236" s="21" t="str">
        <f>IF('Cylinder Detail'!Q238=0,"",'Cylinder Detail'!Q238)</f>
        <v/>
      </c>
      <c r="W236" s="21" t="str">
        <f>IF('Cylinder Detail'!E238=0,"","+" &amp; 'Cylinder Detail'!E238)</f>
        <v/>
      </c>
      <c r="X236" s="21" t="str">
        <f t="shared" si="56"/>
        <v/>
      </c>
      <c r="Y236" s="21" t="str">
        <f>IF('Cylinder Detail'!S238=0,"",'Cylinder Detail'!S238)</f>
        <v/>
      </c>
      <c r="Z236" s="21" t="str">
        <f>IF('Cylinder Detail'!T238=0,"",'Cylinder Detail'!T238)</f>
        <v/>
      </c>
      <c r="AA236" s="21" t="str">
        <f>IF('Cylinder Detail'!H238=0,"",'Cylinder Detail'!H238)</f>
        <v/>
      </c>
      <c r="AB236" s="21" t="str">
        <f>IF('Cylinder Detail'!I238=0,"",'Cylinder Detail'!I238)</f>
        <v/>
      </c>
      <c r="AC236" s="22" t="str">
        <f>IF('Cylinder Detail'!AB238=0,"",'Cylinder Detail'!AB238)</f>
        <v/>
      </c>
      <c r="AD236" s="25" t="str">
        <f>IF('Sensor Detail'!F238=0,"","=" &amp; 'Sensor Detail'!F238)</f>
        <v/>
      </c>
      <c r="AE236" s="25" t="str">
        <f>IF('Sensor Detail'!H238=0,"",'Sensor Detail'!H238)</f>
        <v/>
      </c>
      <c r="AF236" s="27" t="str">
        <f>IF('Sensor Detail'!G238=0,"","-" &amp; 'Sensor Detail'!G238)</f>
        <v/>
      </c>
      <c r="AG236" s="27" t="str">
        <f>IF('Sensor Detail'!I238=0,"",'Sensor Detail'!I238)</f>
        <v/>
      </c>
      <c r="AH236" s="27" t="str">
        <f>IF('Sensor Detail'!E238=0,"","+" &amp; 'Sensor Detail'!E238)</f>
        <v/>
      </c>
      <c r="AI236" s="27" t="str">
        <f t="shared" si="57"/>
        <v/>
      </c>
      <c r="AJ236" s="27" t="str">
        <f>IF('Sensor Detail'!J238=0,"",'Sensor Detail'!J238)</f>
        <v/>
      </c>
      <c r="AK236" s="27" t="str">
        <f>IF('Sensor Detail'!K238=0,"",'Sensor Detail'!K238)</f>
        <v/>
      </c>
      <c r="AL236" s="27" t="str">
        <f>IF('Sensor Detail'!L238=0,"",'Sensor Detail'!L238)</f>
        <v/>
      </c>
      <c r="AM236" s="27" t="str">
        <f>IF('Sensor Detail'!M238=0,"",'Sensor Detail'!M238)</f>
        <v/>
      </c>
      <c r="AN236" s="27" t="str">
        <f>IF('Sensor Detail'!N238=0,"",'Sensor Detail'!N238)</f>
        <v/>
      </c>
      <c r="AO236" s="27" t="str">
        <f>IF('Sensor Detail'!O238=0,"",'Sensor Detail'!O238)</f>
        <v/>
      </c>
      <c r="AP236" s="15" t="str">
        <f t="shared" si="58"/>
        <v/>
      </c>
      <c r="AQ236" s="15" t="str">
        <f t="shared" si="59"/>
        <v/>
      </c>
    </row>
    <row r="237" spans="1:43">
      <c r="A237" s="13" t="str">
        <f t="shared" si="45"/>
        <v/>
      </c>
      <c r="B237" s="13" t="str">
        <f t="shared" si="46"/>
        <v/>
      </c>
      <c r="C237" s="15" t="str">
        <f t="shared" si="47"/>
        <v/>
      </c>
      <c r="D237" s="15" t="str">
        <f t="shared" si="48"/>
        <v/>
      </c>
      <c r="E237" s="15" t="str">
        <f t="shared" si="49"/>
        <v/>
      </c>
      <c r="F237" s="15" t="str">
        <f t="shared" si="50"/>
        <v/>
      </c>
      <c r="G237" s="15" t="str">
        <f t="shared" si="51"/>
        <v/>
      </c>
      <c r="H237" s="15" t="str">
        <f t="shared" si="52"/>
        <v/>
      </c>
      <c r="I237" s="15" t="str">
        <f t="shared" si="53"/>
        <v/>
      </c>
      <c r="J237" s="15" t="str">
        <f t="shared" si="54"/>
        <v/>
      </c>
      <c r="K237" s="13" t="str">
        <f>IF('Cylinder Detail'!U239=0,"",'Cylinder Detail'!U239)</f>
        <v/>
      </c>
      <c r="L237" s="13" t="str">
        <f>IF('Cylinder Detail'!Z239=0,"",_xlfn.TEXTBEFORE('Cylinder Detail'!Z239, ","))</f>
        <v/>
      </c>
      <c r="M237" s="13" t="str">
        <f t="shared" si="55"/>
        <v/>
      </c>
      <c r="N237" s="17" t="str">
        <f>IF('Cylinder Detail'!V239=0,"",'Cylinder Detail'!V239)</f>
        <v/>
      </c>
      <c r="O237" s="17" t="str">
        <f>IF('Cylinder Detail'!Z239=0,"",_xlfn.TEXTAFTER('Cylinder Detail'!Z239, ", "))</f>
        <v/>
      </c>
      <c r="P237" s="17" t="str">
        <f>IF('Cylinder Detail'!AA239=0,"",'Cylinder Detail'!AA239)</f>
        <v/>
      </c>
      <c r="Q237" s="19" t="str">
        <f>IF('Cylinder Detail'!W239=0,"",'Cylinder Detail'!W239)</f>
        <v/>
      </c>
      <c r="R237" s="19" t="str">
        <f>IF('Cylinder Detail'!Y239=0,"",'Cylinder Detail'!Y239)</f>
        <v/>
      </c>
      <c r="S237" s="21" t="str">
        <f>IF('Cylinder Detail'!X239=0,"",'Cylinder Detail'!X239)</f>
        <v/>
      </c>
      <c r="T237" s="21" t="str">
        <f>IF('Cylinder Detail'!F239=0,"",'Cylinder Detail'!F239)</f>
        <v/>
      </c>
      <c r="U237" s="21" t="str">
        <f>IF('Cylinder Detail'!R239=0,"",'Cylinder Detail'!R239)</f>
        <v/>
      </c>
      <c r="V237" s="21" t="str">
        <f>IF('Cylinder Detail'!Q239=0,"",'Cylinder Detail'!Q239)</f>
        <v/>
      </c>
      <c r="W237" s="21" t="str">
        <f>IF('Cylinder Detail'!E239=0,"","+" &amp; 'Cylinder Detail'!E239)</f>
        <v/>
      </c>
      <c r="X237" s="21" t="str">
        <f t="shared" si="56"/>
        <v/>
      </c>
      <c r="Y237" s="21" t="str">
        <f>IF('Cylinder Detail'!S239=0,"",'Cylinder Detail'!S239)</f>
        <v/>
      </c>
      <c r="Z237" s="21" t="str">
        <f>IF('Cylinder Detail'!T239=0,"",'Cylinder Detail'!T239)</f>
        <v/>
      </c>
      <c r="AA237" s="21" t="str">
        <f>IF('Cylinder Detail'!H239=0,"",'Cylinder Detail'!H239)</f>
        <v/>
      </c>
      <c r="AB237" s="21" t="str">
        <f>IF('Cylinder Detail'!I239=0,"",'Cylinder Detail'!I239)</f>
        <v/>
      </c>
      <c r="AC237" s="22" t="str">
        <f>IF('Cylinder Detail'!AB239=0,"",'Cylinder Detail'!AB239)</f>
        <v/>
      </c>
      <c r="AD237" s="25" t="str">
        <f>IF('Sensor Detail'!F239=0,"","=" &amp; 'Sensor Detail'!F239)</f>
        <v/>
      </c>
      <c r="AE237" s="25" t="str">
        <f>IF('Sensor Detail'!H239=0,"",'Sensor Detail'!H239)</f>
        <v/>
      </c>
      <c r="AF237" s="27" t="str">
        <f>IF('Sensor Detail'!G239=0,"","-" &amp; 'Sensor Detail'!G239)</f>
        <v/>
      </c>
      <c r="AG237" s="27" t="str">
        <f>IF('Sensor Detail'!I239=0,"",'Sensor Detail'!I239)</f>
        <v/>
      </c>
      <c r="AH237" s="27" t="str">
        <f>IF('Sensor Detail'!E239=0,"","+" &amp; 'Sensor Detail'!E239)</f>
        <v/>
      </c>
      <c r="AI237" s="27" t="str">
        <f t="shared" si="57"/>
        <v/>
      </c>
      <c r="AJ237" s="27" t="str">
        <f>IF('Sensor Detail'!J239=0,"",'Sensor Detail'!J239)</f>
        <v/>
      </c>
      <c r="AK237" s="27" t="str">
        <f>IF('Sensor Detail'!K239=0,"",'Sensor Detail'!K239)</f>
        <v/>
      </c>
      <c r="AL237" s="27" t="str">
        <f>IF('Sensor Detail'!L239=0,"",'Sensor Detail'!L239)</f>
        <v/>
      </c>
      <c r="AM237" s="27" t="str">
        <f>IF('Sensor Detail'!M239=0,"",'Sensor Detail'!M239)</f>
        <v/>
      </c>
      <c r="AN237" s="27" t="str">
        <f>IF('Sensor Detail'!N239=0,"",'Sensor Detail'!N239)</f>
        <v/>
      </c>
      <c r="AO237" s="27" t="str">
        <f>IF('Sensor Detail'!O239=0,"",'Sensor Detail'!O239)</f>
        <v/>
      </c>
      <c r="AP237" s="15" t="str">
        <f t="shared" si="58"/>
        <v/>
      </c>
      <c r="AQ237" s="15" t="str">
        <f t="shared" si="59"/>
        <v/>
      </c>
    </row>
    <row r="238" spans="1:43">
      <c r="A238" s="13" t="str">
        <f t="shared" si="45"/>
        <v/>
      </c>
      <c r="B238" s="13" t="str">
        <f t="shared" si="46"/>
        <v/>
      </c>
      <c r="C238" s="15" t="str">
        <f t="shared" si="47"/>
        <v/>
      </c>
      <c r="D238" s="15" t="str">
        <f t="shared" si="48"/>
        <v/>
      </c>
      <c r="E238" s="15" t="str">
        <f t="shared" si="49"/>
        <v/>
      </c>
      <c r="F238" s="15" t="str">
        <f t="shared" si="50"/>
        <v/>
      </c>
      <c r="G238" s="15" t="str">
        <f t="shared" si="51"/>
        <v/>
      </c>
      <c r="H238" s="15" t="str">
        <f t="shared" si="52"/>
        <v/>
      </c>
      <c r="I238" s="15" t="str">
        <f t="shared" si="53"/>
        <v/>
      </c>
      <c r="J238" s="15" t="str">
        <f t="shared" si="54"/>
        <v/>
      </c>
      <c r="K238" s="13" t="str">
        <f>IF('Cylinder Detail'!U240=0,"",'Cylinder Detail'!U240)</f>
        <v/>
      </c>
      <c r="L238" s="13" t="str">
        <f>IF('Cylinder Detail'!Z240=0,"",_xlfn.TEXTBEFORE('Cylinder Detail'!Z240, ","))</f>
        <v/>
      </c>
      <c r="M238" s="13" t="str">
        <f t="shared" si="55"/>
        <v/>
      </c>
      <c r="N238" s="17" t="str">
        <f>IF('Cylinder Detail'!V240=0,"",'Cylinder Detail'!V240)</f>
        <v/>
      </c>
      <c r="O238" s="17" t="str">
        <f>IF('Cylinder Detail'!Z240=0,"",_xlfn.TEXTAFTER('Cylinder Detail'!Z240, ", "))</f>
        <v/>
      </c>
      <c r="P238" s="17" t="str">
        <f>IF('Cylinder Detail'!AA240=0,"",'Cylinder Detail'!AA240)</f>
        <v/>
      </c>
      <c r="Q238" s="19" t="str">
        <f>IF('Cylinder Detail'!W240=0,"",'Cylinder Detail'!W240)</f>
        <v/>
      </c>
      <c r="R238" s="19" t="str">
        <f>IF('Cylinder Detail'!Y240=0,"",'Cylinder Detail'!Y240)</f>
        <v/>
      </c>
      <c r="S238" s="21" t="str">
        <f>IF('Cylinder Detail'!X240=0,"",'Cylinder Detail'!X240)</f>
        <v/>
      </c>
      <c r="T238" s="21" t="str">
        <f>IF('Cylinder Detail'!F240=0,"",'Cylinder Detail'!F240)</f>
        <v/>
      </c>
      <c r="U238" s="21" t="str">
        <f>IF('Cylinder Detail'!R240=0,"",'Cylinder Detail'!R240)</f>
        <v/>
      </c>
      <c r="V238" s="21" t="str">
        <f>IF('Cylinder Detail'!Q240=0,"",'Cylinder Detail'!Q240)</f>
        <v/>
      </c>
      <c r="W238" s="21" t="str">
        <f>IF('Cylinder Detail'!E240=0,"","+" &amp; 'Cylinder Detail'!E240)</f>
        <v/>
      </c>
      <c r="X238" s="21" t="str">
        <f t="shared" si="56"/>
        <v/>
      </c>
      <c r="Y238" s="21" t="str">
        <f>IF('Cylinder Detail'!S240=0,"",'Cylinder Detail'!S240)</f>
        <v/>
      </c>
      <c r="Z238" s="21" t="str">
        <f>IF('Cylinder Detail'!T240=0,"",'Cylinder Detail'!T240)</f>
        <v/>
      </c>
      <c r="AA238" s="21" t="str">
        <f>IF('Cylinder Detail'!H240=0,"",'Cylinder Detail'!H240)</f>
        <v/>
      </c>
      <c r="AB238" s="21" t="str">
        <f>IF('Cylinder Detail'!I240=0,"",'Cylinder Detail'!I240)</f>
        <v/>
      </c>
      <c r="AC238" s="22" t="str">
        <f>IF('Cylinder Detail'!AB240=0,"",'Cylinder Detail'!AB240)</f>
        <v/>
      </c>
      <c r="AD238" s="25" t="str">
        <f>IF('Sensor Detail'!F240=0,"","=" &amp; 'Sensor Detail'!F240)</f>
        <v/>
      </c>
      <c r="AE238" s="25" t="str">
        <f>IF('Sensor Detail'!H240=0,"",'Sensor Detail'!H240)</f>
        <v/>
      </c>
      <c r="AF238" s="27" t="str">
        <f>IF('Sensor Detail'!G240=0,"","-" &amp; 'Sensor Detail'!G240)</f>
        <v/>
      </c>
      <c r="AG238" s="27" t="str">
        <f>IF('Sensor Detail'!I240=0,"",'Sensor Detail'!I240)</f>
        <v/>
      </c>
      <c r="AH238" s="27" t="str">
        <f>IF('Sensor Detail'!E240=0,"","+" &amp; 'Sensor Detail'!E240)</f>
        <v/>
      </c>
      <c r="AI238" s="27" t="str">
        <f t="shared" si="57"/>
        <v/>
      </c>
      <c r="AJ238" s="27" t="str">
        <f>IF('Sensor Detail'!J240=0,"",'Sensor Detail'!J240)</f>
        <v/>
      </c>
      <c r="AK238" s="27" t="str">
        <f>IF('Sensor Detail'!K240=0,"",'Sensor Detail'!K240)</f>
        <v/>
      </c>
      <c r="AL238" s="27" t="str">
        <f>IF('Sensor Detail'!L240=0,"",'Sensor Detail'!L240)</f>
        <v/>
      </c>
      <c r="AM238" s="27" t="str">
        <f>IF('Sensor Detail'!M240=0,"",'Sensor Detail'!M240)</f>
        <v/>
      </c>
      <c r="AN238" s="27" t="str">
        <f>IF('Sensor Detail'!N240=0,"",'Sensor Detail'!N240)</f>
        <v/>
      </c>
      <c r="AO238" s="27" t="str">
        <f>IF('Sensor Detail'!O240=0,"",'Sensor Detail'!O240)</f>
        <v/>
      </c>
      <c r="AP238" s="15" t="str">
        <f t="shared" si="58"/>
        <v/>
      </c>
      <c r="AQ238" s="15" t="str">
        <f t="shared" si="59"/>
        <v/>
      </c>
    </row>
    <row r="239" spans="1:43">
      <c r="A239" s="13" t="str">
        <f t="shared" si="45"/>
        <v/>
      </c>
      <c r="B239" s="13" t="str">
        <f t="shared" si="46"/>
        <v/>
      </c>
      <c r="C239" s="15" t="str">
        <f t="shared" si="47"/>
        <v/>
      </c>
      <c r="D239" s="15" t="str">
        <f t="shared" si="48"/>
        <v/>
      </c>
      <c r="E239" s="15" t="str">
        <f t="shared" si="49"/>
        <v/>
      </c>
      <c r="F239" s="15" t="str">
        <f t="shared" si="50"/>
        <v/>
      </c>
      <c r="G239" s="15" t="str">
        <f t="shared" si="51"/>
        <v/>
      </c>
      <c r="H239" s="15" t="str">
        <f t="shared" si="52"/>
        <v/>
      </c>
      <c r="I239" s="15" t="str">
        <f t="shared" si="53"/>
        <v/>
      </c>
      <c r="J239" s="15" t="str">
        <f t="shared" si="54"/>
        <v/>
      </c>
      <c r="K239" s="13" t="str">
        <f>IF('Cylinder Detail'!U241=0,"",'Cylinder Detail'!U241)</f>
        <v/>
      </c>
      <c r="L239" s="13" t="str">
        <f>IF('Cylinder Detail'!Z241=0,"",_xlfn.TEXTBEFORE('Cylinder Detail'!Z241, ","))</f>
        <v/>
      </c>
      <c r="M239" s="13" t="str">
        <f t="shared" si="55"/>
        <v/>
      </c>
      <c r="N239" s="17" t="str">
        <f>IF('Cylinder Detail'!V241=0,"",'Cylinder Detail'!V241)</f>
        <v/>
      </c>
      <c r="O239" s="17" t="str">
        <f>IF('Cylinder Detail'!Z241=0,"",_xlfn.TEXTAFTER('Cylinder Detail'!Z241, ", "))</f>
        <v/>
      </c>
      <c r="P239" s="17" t="str">
        <f>IF('Cylinder Detail'!AA241=0,"",'Cylinder Detail'!AA241)</f>
        <v/>
      </c>
      <c r="Q239" s="19" t="str">
        <f>IF('Cylinder Detail'!W241=0,"",'Cylinder Detail'!W241)</f>
        <v/>
      </c>
      <c r="R239" s="19" t="str">
        <f>IF('Cylinder Detail'!Y241=0,"",'Cylinder Detail'!Y241)</f>
        <v/>
      </c>
      <c r="S239" s="21" t="str">
        <f>IF('Cylinder Detail'!X241=0,"",'Cylinder Detail'!X241)</f>
        <v/>
      </c>
      <c r="T239" s="21" t="str">
        <f>IF('Cylinder Detail'!F241=0,"",'Cylinder Detail'!F241)</f>
        <v/>
      </c>
      <c r="U239" s="21" t="str">
        <f>IF('Cylinder Detail'!R241=0,"",'Cylinder Detail'!R241)</f>
        <v/>
      </c>
      <c r="V239" s="21" t="str">
        <f>IF('Cylinder Detail'!Q241=0,"",'Cylinder Detail'!Q241)</f>
        <v/>
      </c>
      <c r="W239" s="21" t="str">
        <f>IF('Cylinder Detail'!E241=0,"","+" &amp; 'Cylinder Detail'!E241)</f>
        <v/>
      </c>
      <c r="X239" s="21" t="str">
        <f t="shared" si="56"/>
        <v/>
      </c>
      <c r="Y239" s="21" t="str">
        <f>IF('Cylinder Detail'!S241=0,"",'Cylinder Detail'!S241)</f>
        <v/>
      </c>
      <c r="Z239" s="21" t="str">
        <f>IF('Cylinder Detail'!T241=0,"",'Cylinder Detail'!T241)</f>
        <v/>
      </c>
      <c r="AA239" s="21" t="str">
        <f>IF('Cylinder Detail'!H241=0,"",'Cylinder Detail'!H241)</f>
        <v/>
      </c>
      <c r="AB239" s="21" t="str">
        <f>IF('Cylinder Detail'!I241=0,"",'Cylinder Detail'!I241)</f>
        <v/>
      </c>
      <c r="AC239" s="22" t="str">
        <f>IF('Cylinder Detail'!AB241=0,"",'Cylinder Detail'!AB241)</f>
        <v/>
      </c>
      <c r="AD239" s="25" t="str">
        <f>IF('Sensor Detail'!F241=0,"","=" &amp; 'Sensor Detail'!F241)</f>
        <v/>
      </c>
      <c r="AE239" s="25" t="str">
        <f>IF('Sensor Detail'!H241=0,"",'Sensor Detail'!H241)</f>
        <v/>
      </c>
      <c r="AF239" s="27" t="str">
        <f>IF('Sensor Detail'!G241=0,"","-" &amp; 'Sensor Detail'!G241)</f>
        <v/>
      </c>
      <c r="AG239" s="27" t="str">
        <f>IF('Sensor Detail'!I241=0,"",'Sensor Detail'!I241)</f>
        <v/>
      </c>
      <c r="AH239" s="27" t="str">
        <f>IF('Sensor Detail'!E241=0,"","+" &amp; 'Sensor Detail'!E241)</f>
        <v/>
      </c>
      <c r="AI239" s="27" t="str">
        <f t="shared" si="57"/>
        <v/>
      </c>
      <c r="AJ239" s="27" t="str">
        <f>IF('Sensor Detail'!J241=0,"",'Sensor Detail'!J241)</f>
        <v/>
      </c>
      <c r="AK239" s="27" t="str">
        <f>IF('Sensor Detail'!K241=0,"",'Sensor Detail'!K241)</f>
        <v/>
      </c>
      <c r="AL239" s="27" t="str">
        <f>IF('Sensor Detail'!L241=0,"",'Sensor Detail'!L241)</f>
        <v/>
      </c>
      <c r="AM239" s="27" t="str">
        <f>IF('Sensor Detail'!M241=0,"",'Sensor Detail'!M241)</f>
        <v/>
      </c>
      <c r="AN239" s="27" t="str">
        <f>IF('Sensor Detail'!N241=0,"",'Sensor Detail'!N241)</f>
        <v/>
      </c>
      <c r="AO239" s="27" t="str">
        <f>IF('Sensor Detail'!O241=0,"",'Sensor Detail'!O241)</f>
        <v/>
      </c>
      <c r="AP239" s="15" t="str">
        <f t="shared" si="58"/>
        <v/>
      </c>
      <c r="AQ239" s="15" t="str">
        <f t="shared" si="59"/>
        <v/>
      </c>
    </row>
    <row r="240" spans="1:43">
      <c r="A240" s="13" t="str">
        <f t="shared" si="45"/>
        <v/>
      </c>
      <c r="B240" s="13" t="str">
        <f t="shared" si="46"/>
        <v/>
      </c>
      <c r="C240" s="15" t="str">
        <f t="shared" si="47"/>
        <v/>
      </c>
      <c r="D240" s="15" t="str">
        <f t="shared" si="48"/>
        <v/>
      </c>
      <c r="E240" s="15" t="str">
        <f t="shared" si="49"/>
        <v/>
      </c>
      <c r="F240" s="15" t="str">
        <f t="shared" si="50"/>
        <v/>
      </c>
      <c r="G240" s="15" t="str">
        <f t="shared" si="51"/>
        <v/>
      </c>
      <c r="H240" s="15" t="str">
        <f t="shared" si="52"/>
        <v/>
      </c>
      <c r="I240" s="15" t="str">
        <f t="shared" si="53"/>
        <v/>
      </c>
      <c r="J240" s="15" t="str">
        <f t="shared" si="54"/>
        <v/>
      </c>
      <c r="K240" s="13" t="str">
        <f>IF('Cylinder Detail'!U242=0,"",'Cylinder Detail'!U242)</f>
        <v/>
      </c>
      <c r="L240" s="13" t="str">
        <f>IF('Cylinder Detail'!Z242=0,"",_xlfn.TEXTBEFORE('Cylinder Detail'!Z242, ","))</f>
        <v/>
      </c>
      <c r="M240" s="13" t="str">
        <f t="shared" si="55"/>
        <v/>
      </c>
      <c r="N240" s="17" t="str">
        <f>IF('Cylinder Detail'!V242=0,"",'Cylinder Detail'!V242)</f>
        <v/>
      </c>
      <c r="O240" s="17" t="str">
        <f>IF('Cylinder Detail'!Z242=0,"",_xlfn.TEXTAFTER('Cylinder Detail'!Z242, ", "))</f>
        <v/>
      </c>
      <c r="P240" s="17" t="str">
        <f>IF('Cylinder Detail'!AA242=0,"",'Cylinder Detail'!AA242)</f>
        <v/>
      </c>
      <c r="Q240" s="19" t="str">
        <f>IF('Cylinder Detail'!W242=0,"",'Cylinder Detail'!W242)</f>
        <v/>
      </c>
      <c r="R240" s="19" t="str">
        <f>IF('Cylinder Detail'!Y242=0,"",'Cylinder Detail'!Y242)</f>
        <v/>
      </c>
      <c r="S240" s="21" t="str">
        <f>IF('Cylinder Detail'!X242=0,"",'Cylinder Detail'!X242)</f>
        <v/>
      </c>
      <c r="T240" s="21" t="str">
        <f>IF('Cylinder Detail'!F242=0,"",'Cylinder Detail'!F242)</f>
        <v/>
      </c>
      <c r="U240" s="21" t="str">
        <f>IF('Cylinder Detail'!R242=0,"",'Cylinder Detail'!R242)</f>
        <v/>
      </c>
      <c r="V240" s="21" t="str">
        <f>IF('Cylinder Detail'!Q242=0,"",'Cylinder Detail'!Q242)</f>
        <v/>
      </c>
      <c r="W240" s="21" t="str">
        <f>IF('Cylinder Detail'!E242=0,"","+" &amp; 'Cylinder Detail'!E242)</f>
        <v/>
      </c>
      <c r="X240" s="21" t="str">
        <f t="shared" si="56"/>
        <v/>
      </c>
      <c r="Y240" s="21" t="str">
        <f>IF('Cylinder Detail'!S242=0,"",'Cylinder Detail'!S242)</f>
        <v/>
      </c>
      <c r="Z240" s="21" t="str">
        <f>IF('Cylinder Detail'!T242=0,"",'Cylinder Detail'!T242)</f>
        <v/>
      </c>
      <c r="AA240" s="21" t="str">
        <f>IF('Cylinder Detail'!H242=0,"",'Cylinder Detail'!H242)</f>
        <v/>
      </c>
      <c r="AB240" s="21" t="str">
        <f>IF('Cylinder Detail'!I242=0,"",'Cylinder Detail'!I242)</f>
        <v/>
      </c>
      <c r="AC240" s="22" t="str">
        <f>IF('Cylinder Detail'!AB242=0,"",'Cylinder Detail'!AB242)</f>
        <v/>
      </c>
      <c r="AD240" s="25" t="str">
        <f>IF('Sensor Detail'!F242=0,"","=" &amp; 'Sensor Detail'!F242)</f>
        <v/>
      </c>
      <c r="AE240" s="25" t="str">
        <f>IF('Sensor Detail'!H242=0,"",'Sensor Detail'!H242)</f>
        <v/>
      </c>
      <c r="AF240" s="27" t="str">
        <f>IF('Sensor Detail'!G242=0,"","-" &amp; 'Sensor Detail'!G242)</f>
        <v/>
      </c>
      <c r="AG240" s="27" t="str">
        <f>IF('Sensor Detail'!I242=0,"",'Sensor Detail'!I242)</f>
        <v/>
      </c>
      <c r="AH240" s="27" t="str">
        <f>IF('Sensor Detail'!E242=0,"","+" &amp; 'Sensor Detail'!E242)</f>
        <v/>
      </c>
      <c r="AI240" s="27" t="str">
        <f t="shared" si="57"/>
        <v/>
      </c>
      <c r="AJ240" s="27" t="str">
        <f>IF('Sensor Detail'!J242=0,"",'Sensor Detail'!J242)</f>
        <v/>
      </c>
      <c r="AK240" s="27" t="str">
        <f>IF('Sensor Detail'!K242=0,"",'Sensor Detail'!K242)</f>
        <v/>
      </c>
      <c r="AL240" s="27" t="str">
        <f>IF('Sensor Detail'!L242=0,"",'Sensor Detail'!L242)</f>
        <v/>
      </c>
      <c r="AM240" s="27" t="str">
        <f>IF('Sensor Detail'!M242=0,"",'Sensor Detail'!M242)</f>
        <v/>
      </c>
      <c r="AN240" s="27" t="str">
        <f>IF('Sensor Detail'!N242=0,"",'Sensor Detail'!N242)</f>
        <v/>
      </c>
      <c r="AO240" s="27" t="str">
        <f>IF('Sensor Detail'!O242=0,"",'Sensor Detail'!O242)</f>
        <v/>
      </c>
      <c r="AP240" s="15" t="str">
        <f t="shared" si="58"/>
        <v/>
      </c>
      <c r="AQ240" s="15" t="str">
        <f t="shared" si="59"/>
        <v/>
      </c>
    </row>
    <row r="241" spans="1:43">
      <c r="A241" s="13" t="str">
        <f t="shared" si="45"/>
        <v/>
      </c>
      <c r="B241" s="13" t="str">
        <f t="shared" si="46"/>
        <v/>
      </c>
      <c r="C241" s="15" t="str">
        <f t="shared" si="47"/>
        <v/>
      </c>
      <c r="D241" s="15" t="str">
        <f t="shared" si="48"/>
        <v/>
      </c>
      <c r="E241" s="15" t="str">
        <f t="shared" si="49"/>
        <v/>
      </c>
      <c r="F241" s="15" t="str">
        <f t="shared" si="50"/>
        <v/>
      </c>
      <c r="G241" s="15" t="str">
        <f t="shared" si="51"/>
        <v/>
      </c>
      <c r="H241" s="15" t="str">
        <f t="shared" si="52"/>
        <v/>
      </c>
      <c r="I241" s="15" t="str">
        <f t="shared" si="53"/>
        <v/>
      </c>
      <c r="J241" s="15" t="str">
        <f t="shared" si="54"/>
        <v/>
      </c>
      <c r="K241" s="13" t="str">
        <f>IF('Cylinder Detail'!U243=0,"",'Cylinder Detail'!U243)</f>
        <v/>
      </c>
      <c r="L241" s="13" t="str">
        <f>IF('Cylinder Detail'!Z243=0,"",_xlfn.TEXTBEFORE('Cylinder Detail'!Z243, ","))</f>
        <v/>
      </c>
      <c r="M241" s="13" t="str">
        <f t="shared" si="55"/>
        <v/>
      </c>
      <c r="N241" s="17" t="str">
        <f>IF('Cylinder Detail'!V243=0,"",'Cylinder Detail'!V243)</f>
        <v/>
      </c>
      <c r="O241" s="17" t="str">
        <f>IF('Cylinder Detail'!Z243=0,"",_xlfn.TEXTAFTER('Cylinder Detail'!Z243, ", "))</f>
        <v/>
      </c>
      <c r="P241" s="17" t="str">
        <f>IF('Cylinder Detail'!AA243=0,"",'Cylinder Detail'!AA243)</f>
        <v/>
      </c>
      <c r="Q241" s="19" t="str">
        <f>IF('Cylinder Detail'!W243=0,"",'Cylinder Detail'!W243)</f>
        <v/>
      </c>
      <c r="R241" s="19" t="str">
        <f>IF('Cylinder Detail'!Y243=0,"",'Cylinder Detail'!Y243)</f>
        <v/>
      </c>
      <c r="S241" s="21" t="str">
        <f>IF('Cylinder Detail'!X243=0,"",'Cylinder Detail'!X243)</f>
        <v/>
      </c>
      <c r="T241" s="21" t="str">
        <f>IF('Cylinder Detail'!F243=0,"",'Cylinder Detail'!F243)</f>
        <v/>
      </c>
      <c r="U241" s="21" t="str">
        <f>IF('Cylinder Detail'!R243=0,"",'Cylinder Detail'!R243)</f>
        <v/>
      </c>
      <c r="V241" s="21" t="str">
        <f>IF('Cylinder Detail'!Q243=0,"",'Cylinder Detail'!Q243)</f>
        <v/>
      </c>
      <c r="W241" s="21" t="str">
        <f>IF('Cylinder Detail'!E243=0,"","+" &amp; 'Cylinder Detail'!E243)</f>
        <v/>
      </c>
      <c r="X241" s="21" t="str">
        <f t="shared" si="56"/>
        <v/>
      </c>
      <c r="Y241" s="21" t="str">
        <f>IF('Cylinder Detail'!S243=0,"",'Cylinder Detail'!S243)</f>
        <v/>
      </c>
      <c r="Z241" s="21" t="str">
        <f>IF('Cylinder Detail'!T243=0,"",'Cylinder Detail'!T243)</f>
        <v/>
      </c>
      <c r="AA241" s="21" t="str">
        <f>IF('Cylinder Detail'!H243=0,"",'Cylinder Detail'!H243)</f>
        <v/>
      </c>
      <c r="AB241" s="21" t="str">
        <f>IF('Cylinder Detail'!I243=0,"",'Cylinder Detail'!I243)</f>
        <v/>
      </c>
      <c r="AC241" s="22" t="str">
        <f>IF('Cylinder Detail'!AB243=0,"",'Cylinder Detail'!AB243)</f>
        <v/>
      </c>
      <c r="AD241" s="25" t="str">
        <f>IF('Sensor Detail'!F243=0,"","=" &amp; 'Sensor Detail'!F243)</f>
        <v/>
      </c>
      <c r="AE241" s="25" t="str">
        <f>IF('Sensor Detail'!H243=0,"",'Sensor Detail'!H243)</f>
        <v/>
      </c>
      <c r="AF241" s="27" t="str">
        <f>IF('Sensor Detail'!G243=0,"","-" &amp; 'Sensor Detail'!G243)</f>
        <v/>
      </c>
      <c r="AG241" s="27" t="str">
        <f>IF('Sensor Detail'!I243=0,"",'Sensor Detail'!I243)</f>
        <v/>
      </c>
      <c r="AH241" s="27" t="str">
        <f>IF('Sensor Detail'!E243=0,"","+" &amp; 'Sensor Detail'!E243)</f>
        <v/>
      </c>
      <c r="AI241" s="27" t="str">
        <f t="shared" si="57"/>
        <v/>
      </c>
      <c r="AJ241" s="27" t="str">
        <f>IF('Sensor Detail'!J243=0,"",'Sensor Detail'!J243)</f>
        <v/>
      </c>
      <c r="AK241" s="27" t="str">
        <f>IF('Sensor Detail'!K243=0,"",'Sensor Detail'!K243)</f>
        <v/>
      </c>
      <c r="AL241" s="27" t="str">
        <f>IF('Sensor Detail'!L243=0,"",'Sensor Detail'!L243)</f>
        <v/>
      </c>
      <c r="AM241" s="27" t="str">
        <f>IF('Sensor Detail'!M243=0,"",'Sensor Detail'!M243)</f>
        <v/>
      </c>
      <c r="AN241" s="27" t="str">
        <f>IF('Sensor Detail'!N243=0,"",'Sensor Detail'!N243)</f>
        <v/>
      </c>
      <c r="AO241" s="27" t="str">
        <f>IF('Sensor Detail'!O243=0,"",'Sensor Detail'!O243)</f>
        <v/>
      </c>
      <c r="AP241" s="15" t="str">
        <f t="shared" si="58"/>
        <v/>
      </c>
      <c r="AQ241" s="15" t="str">
        <f t="shared" si="59"/>
        <v/>
      </c>
    </row>
    <row r="242" spans="1:43">
      <c r="A242" s="13" t="str">
        <f t="shared" si="45"/>
        <v/>
      </c>
      <c r="B242" s="13" t="str">
        <f t="shared" si="46"/>
        <v/>
      </c>
      <c r="C242" s="15" t="str">
        <f t="shared" si="47"/>
        <v/>
      </c>
      <c r="D242" s="15" t="str">
        <f t="shared" si="48"/>
        <v/>
      </c>
      <c r="E242" s="15" t="str">
        <f t="shared" si="49"/>
        <v/>
      </c>
      <c r="F242" s="15" t="str">
        <f t="shared" si="50"/>
        <v/>
      </c>
      <c r="G242" s="15" t="str">
        <f t="shared" si="51"/>
        <v/>
      </c>
      <c r="H242" s="15" t="str">
        <f t="shared" si="52"/>
        <v/>
      </c>
      <c r="I242" s="15" t="str">
        <f t="shared" si="53"/>
        <v/>
      </c>
      <c r="J242" s="15" t="str">
        <f t="shared" si="54"/>
        <v/>
      </c>
      <c r="K242" s="13" t="str">
        <f>IF('Cylinder Detail'!U244=0,"",'Cylinder Detail'!U244)</f>
        <v/>
      </c>
      <c r="L242" s="13" t="str">
        <f>IF('Cylinder Detail'!Z244=0,"",_xlfn.TEXTBEFORE('Cylinder Detail'!Z244, ","))</f>
        <v/>
      </c>
      <c r="M242" s="13" t="str">
        <f t="shared" si="55"/>
        <v/>
      </c>
      <c r="N242" s="17" t="str">
        <f>IF('Cylinder Detail'!V244=0,"",'Cylinder Detail'!V244)</f>
        <v/>
      </c>
      <c r="O242" s="17" t="str">
        <f>IF('Cylinder Detail'!Z244=0,"",_xlfn.TEXTAFTER('Cylinder Detail'!Z244, ", "))</f>
        <v/>
      </c>
      <c r="P242" s="17" t="str">
        <f>IF('Cylinder Detail'!AA244=0,"",'Cylinder Detail'!AA244)</f>
        <v/>
      </c>
      <c r="Q242" s="19" t="str">
        <f>IF('Cylinder Detail'!W244=0,"",'Cylinder Detail'!W244)</f>
        <v/>
      </c>
      <c r="R242" s="19" t="str">
        <f>IF('Cylinder Detail'!Y244=0,"",'Cylinder Detail'!Y244)</f>
        <v/>
      </c>
      <c r="S242" s="21" t="str">
        <f>IF('Cylinder Detail'!X244=0,"",'Cylinder Detail'!X244)</f>
        <v/>
      </c>
      <c r="T242" s="21" t="str">
        <f>IF('Cylinder Detail'!F244=0,"",'Cylinder Detail'!F244)</f>
        <v/>
      </c>
      <c r="U242" s="21" t="str">
        <f>IF('Cylinder Detail'!R244=0,"",'Cylinder Detail'!R244)</f>
        <v/>
      </c>
      <c r="V242" s="21" t="str">
        <f>IF('Cylinder Detail'!Q244=0,"",'Cylinder Detail'!Q244)</f>
        <v/>
      </c>
      <c r="W242" s="21" t="str">
        <f>IF('Cylinder Detail'!E244=0,"","+" &amp; 'Cylinder Detail'!E244)</f>
        <v/>
      </c>
      <c r="X242" s="21" t="str">
        <f t="shared" si="56"/>
        <v/>
      </c>
      <c r="Y242" s="21" t="str">
        <f>IF('Cylinder Detail'!S244=0,"",'Cylinder Detail'!S244)</f>
        <v/>
      </c>
      <c r="Z242" s="21" t="str">
        <f>IF('Cylinder Detail'!T244=0,"",'Cylinder Detail'!T244)</f>
        <v/>
      </c>
      <c r="AA242" s="21" t="str">
        <f>IF('Cylinder Detail'!H244=0,"",'Cylinder Detail'!H244)</f>
        <v/>
      </c>
      <c r="AB242" s="21" t="str">
        <f>IF('Cylinder Detail'!I244=0,"",'Cylinder Detail'!I244)</f>
        <v/>
      </c>
      <c r="AC242" s="22" t="str">
        <f>IF('Cylinder Detail'!AB244=0,"",'Cylinder Detail'!AB244)</f>
        <v/>
      </c>
      <c r="AD242" s="25" t="str">
        <f>IF('Sensor Detail'!F244=0,"","=" &amp; 'Sensor Detail'!F244)</f>
        <v/>
      </c>
      <c r="AE242" s="25" t="str">
        <f>IF('Sensor Detail'!H244=0,"",'Sensor Detail'!H244)</f>
        <v/>
      </c>
      <c r="AF242" s="27" t="str">
        <f>IF('Sensor Detail'!G244=0,"","-" &amp; 'Sensor Detail'!G244)</f>
        <v/>
      </c>
      <c r="AG242" s="27" t="str">
        <f>IF('Sensor Detail'!I244=0,"",'Sensor Detail'!I244)</f>
        <v/>
      </c>
      <c r="AH242" s="27" t="str">
        <f>IF('Sensor Detail'!E244=0,"","+" &amp; 'Sensor Detail'!E244)</f>
        <v/>
      </c>
      <c r="AI242" s="27" t="str">
        <f t="shared" si="57"/>
        <v/>
      </c>
      <c r="AJ242" s="27" t="str">
        <f>IF('Sensor Detail'!J244=0,"",'Sensor Detail'!J244)</f>
        <v/>
      </c>
      <c r="AK242" s="27" t="str">
        <f>IF('Sensor Detail'!K244=0,"",'Sensor Detail'!K244)</f>
        <v/>
      </c>
      <c r="AL242" s="27" t="str">
        <f>IF('Sensor Detail'!L244=0,"",'Sensor Detail'!L244)</f>
        <v/>
      </c>
      <c r="AM242" s="27" t="str">
        <f>IF('Sensor Detail'!M244=0,"",'Sensor Detail'!M244)</f>
        <v/>
      </c>
      <c r="AN242" s="27" t="str">
        <f>IF('Sensor Detail'!N244=0,"",'Sensor Detail'!N244)</f>
        <v/>
      </c>
      <c r="AO242" s="27" t="str">
        <f>IF('Sensor Detail'!O244=0,"",'Sensor Detail'!O244)</f>
        <v/>
      </c>
      <c r="AP242" s="15" t="str">
        <f t="shared" si="58"/>
        <v/>
      </c>
      <c r="AQ242" s="15" t="str">
        <f t="shared" si="59"/>
        <v/>
      </c>
    </row>
    <row r="243" spans="1:43">
      <c r="A243" s="13" t="str">
        <f t="shared" si="45"/>
        <v/>
      </c>
      <c r="B243" s="13" t="str">
        <f t="shared" si="46"/>
        <v/>
      </c>
      <c r="C243" s="15" t="str">
        <f t="shared" si="47"/>
        <v/>
      </c>
      <c r="D243" s="15" t="str">
        <f t="shared" si="48"/>
        <v/>
      </c>
      <c r="E243" s="15" t="str">
        <f t="shared" si="49"/>
        <v/>
      </c>
      <c r="F243" s="15" t="str">
        <f t="shared" si="50"/>
        <v/>
      </c>
      <c r="G243" s="15" t="str">
        <f t="shared" si="51"/>
        <v/>
      </c>
      <c r="H243" s="15" t="str">
        <f t="shared" si="52"/>
        <v/>
      </c>
      <c r="I243" s="15" t="str">
        <f t="shared" si="53"/>
        <v/>
      </c>
      <c r="J243" s="15" t="str">
        <f t="shared" si="54"/>
        <v/>
      </c>
      <c r="K243" s="13" t="str">
        <f>IF('Cylinder Detail'!U245=0,"",'Cylinder Detail'!U245)</f>
        <v/>
      </c>
      <c r="L243" s="13" t="str">
        <f>IF('Cylinder Detail'!Z245=0,"",_xlfn.TEXTBEFORE('Cylinder Detail'!Z245, ","))</f>
        <v/>
      </c>
      <c r="M243" s="13" t="str">
        <f t="shared" si="55"/>
        <v/>
      </c>
      <c r="N243" s="17" t="str">
        <f>IF('Cylinder Detail'!V245=0,"",'Cylinder Detail'!V245)</f>
        <v/>
      </c>
      <c r="O243" s="17" t="str">
        <f>IF('Cylinder Detail'!Z245=0,"",_xlfn.TEXTAFTER('Cylinder Detail'!Z245, ", "))</f>
        <v/>
      </c>
      <c r="P243" s="17" t="str">
        <f>IF('Cylinder Detail'!AA245=0,"",'Cylinder Detail'!AA245)</f>
        <v/>
      </c>
      <c r="Q243" s="19" t="str">
        <f>IF('Cylinder Detail'!W245=0,"",'Cylinder Detail'!W245)</f>
        <v/>
      </c>
      <c r="R243" s="19" t="str">
        <f>IF('Cylinder Detail'!Y245=0,"",'Cylinder Detail'!Y245)</f>
        <v/>
      </c>
      <c r="S243" s="21" t="str">
        <f>IF('Cylinder Detail'!X245=0,"",'Cylinder Detail'!X245)</f>
        <v/>
      </c>
      <c r="T243" s="21" t="str">
        <f>IF('Cylinder Detail'!F245=0,"",'Cylinder Detail'!F245)</f>
        <v/>
      </c>
      <c r="U243" s="21" t="str">
        <f>IF('Cylinder Detail'!R245=0,"",'Cylinder Detail'!R245)</f>
        <v/>
      </c>
      <c r="V243" s="21" t="str">
        <f>IF('Cylinder Detail'!Q245=0,"",'Cylinder Detail'!Q245)</f>
        <v/>
      </c>
      <c r="W243" s="21" t="str">
        <f>IF('Cylinder Detail'!E245=0,"","+" &amp; 'Cylinder Detail'!E245)</f>
        <v/>
      </c>
      <c r="X243" s="21" t="str">
        <f t="shared" si="56"/>
        <v/>
      </c>
      <c r="Y243" s="21" t="str">
        <f>IF('Cylinder Detail'!S245=0,"",'Cylinder Detail'!S245)</f>
        <v/>
      </c>
      <c r="Z243" s="21" t="str">
        <f>IF('Cylinder Detail'!T245=0,"",'Cylinder Detail'!T245)</f>
        <v/>
      </c>
      <c r="AA243" s="21" t="str">
        <f>IF('Cylinder Detail'!H245=0,"",'Cylinder Detail'!H245)</f>
        <v/>
      </c>
      <c r="AB243" s="21" t="str">
        <f>IF('Cylinder Detail'!I245=0,"",'Cylinder Detail'!I245)</f>
        <v/>
      </c>
      <c r="AC243" s="22" t="str">
        <f>IF('Cylinder Detail'!AB245=0,"",'Cylinder Detail'!AB245)</f>
        <v/>
      </c>
      <c r="AD243" s="25" t="str">
        <f>IF('Sensor Detail'!F245=0,"","=" &amp; 'Sensor Detail'!F245)</f>
        <v/>
      </c>
      <c r="AE243" s="25" t="str">
        <f>IF('Sensor Detail'!H245=0,"",'Sensor Detail'!H245)</f>
        <v/>
      </c>
      <c r="AF243" s="27" t="str">
        <f>IF('Sensor Detail'!G245=0,"","-" &amp; 'Sensor Detail'!G245)</f>
        <v/>
      </c>
      <c r="AG243" s="27" t="str">
        <f>IF('Sensor Detail'!I245=0,"",'Sensor Detail'!I245)</f>
        <v/>
      </c>
      <c r="AH243" s="27" t="str">
        <f>IF('Sensor Detail'!E245=0,"","+" &amp; 'Sensor Detail'!E245)</f>
        <v/>
      </c>
      <c r="AI243" s="27" t="str">
        <f t="shared" si="57"/>
        <v/>
      </c>
      <c r="AJ243" s="27" t="str">
        <f>IF('Sensor Detail'!J245=0,"",'Sensor Detail'!J245)</f>
        <v/>
      </c>
      <c r="AK243" s="27" t="str">
        <f>IF('Sensor Detail'!K245=0,"",'Sensor Detail'!K245)</f>
        <v/>
      </c>
      <c r="AL243" s="27" t="str">
        <f>IF('Sensor Detail'!L245=0,"",'Sensor Detail'!L245)</f>
        <v/>
      </c>
      <c r="AM243" s="27" t="str">
        <f>IF('Sensor Detail'!M245=0,"",'Sensor Detail'!M245)</f>
        <v/>
      </c>
      <c r="AN243" s="27" t="str">
        <f>IF('Sensor Detail'!N245=0,"",'Sensor Detail'!N245)</f>
        <v/>
      </c>
      <c r="AO243" s="27" t="str">
        <f>IF('Sensor Detail'!O245=0,"",'Sensor Detail'!O245)</f>
        <v/>
      </c>
      <c r="AP243" s="15" t="str">
        <f t="shared" si="58"/>
        <v/>
      </c>
      <c r="AQ243" s="15" t="str">
        <f t="shared" si="59"/>
        <v/>
      </c>
    </row>
    <row r="244" spans="1:43">
      <c r="A244" s="13" t="str">
        <f t="shared" si="45"/>
        <v/>
      </c>
      <c r="B244" s="13" t="str">
        <f t="shared" si="46"/>
        <v/>
      </c>
      <c r="C244" s="15" t="str">
        <f t="shared" si="47"/>
        <v/>
      </c>
      <c r="D244" s="15" t="str">
        <f t="shared" si="48"/>
        <v/>
      </c>
      <c r="E244" s="15" t="str">
        <f t="shared" si="49"/>
        <v/>
      </c>
      <c r="F244" s="15" t="str">
        <f t="shared" si="50"/>
        <v/>
      </c>
      <c r="G244" s="15" t="str">
        <f t="shared" si="51"/>
        <v/>
      </c>
      <c r="H244" s="15" t="str">
        <f t="shared" si="52"/>
        <v/>
      </c>
      <c r="I244" s="15" t="str">
        <f t="shared" si="53"/>
        <v/>
      </c>
      <c r="J244" s="15" t="str">
        <f t="shared" si="54"/>
        <v/>
      </c>
      <c r="K244" s="13" t="str">
        <f>IF('Cylinder Detail'!U246=0,"",'Cylinder Detail'!U246)</f>
        <v/>
      </c>
      <c r="L244" s="13" t="str">
        <f>IF('Cylinder Detail'!Z246=0,"",_xlfn.TEXTBEFORE('Cylinder Detail'!Z246, ","))</f>
        <v/>
      </c>
      <c r="M244" s="13" t="str">
        <f t="shared" si="55"/>
        <v/>
      </c>
      <c r="N244" s="17" t="str">
        <f>IF('Cylinder Detail'!V246=0,"",'Cylinder Detail'!V246)</f>
        <v/>
      </c>
      <c r="O244" s="17" t="str">
        <f>IF('Cylinder Detail'!Z246=0,"",_xlfn.TEXTAFTER('Cylinder Detail'!Z246, ", "))</f>
        <v/>
      </c>
      <c r="P244" s="17" t="str">
        <f>IF('Cylinder Detail'!AA246=0,"",'Cylinder Detail'!AA246)</f>
        <v/>
      </c>
      <c r="Q244" s="19" t="str">
        <f>IF('Cylinder Detail'!W246=0,"",'Cylinder Detail'!W246)</f>
        <v/>
      </c>
      <c r="R244" s="19" t="str">
        <f>IF('Cylinder Detail'!Y246=0,"",'Cylinder Detail'!Y246)</f>
        <v/>
      </c>
      <c r="S244" s="21" t="str">
        <f>IF('Cylinder Detail'!X246=0,"",'Cylinder Detail'!X246)</f>
        <v/>
      </c>
      <c r="T244" s="21" t="str">
        <f>IF('Cylinder Detail'!F246=0,"",'Cylinder Detail'!F246)</f>
        <v/>
      </c>
      <c r="U244" s="21" t="str">
        <f>IF('Cylinder Detail'!R246=0,"",'Cylinder Detail'!R246)</f>
        <v/>
      </c>
      <c r="V244" s="21" t="str">
        <f>IF('Cylinder Detail'!Q246=0,"",'Cylinder Detail'!Q246)</f>
        <v/>
      </c>
      <c r="W244" s="21" t="str">
        <f>IF('Cylinder Detail'!E246=0,"","+" &amp; 'Cylinder Detail'!E246)</f>
        <v/>
      </c>
      <c r="X244" s="21" t="str">
        <f t="shared" si="56"/>
        <v/>
      </c>
      <c r="Y244" s="21" t="str">
        <f>IF('Cylinder Detail'!S246=0,"",'Cylinder Detail'!S246)</f>
        <v/>
      </c>
      <c r="Z244" s="21" t="str">
        <f>IF('Cylinder Detail'!T246=0,"",'Cylinder Detail'!T246)</f>
        <v/>
      </c>
      <c r="AA244" s="21" t="str">
        <f>IF('Cylinder Detail'!H246=0,"",'Cylinder Detail'!H246)</f>
        <v/>
      </c>
      <c r="AB244" s="21" t="str">
        <f>IF('Cylinder Detail'!I246=0,"",'Cylinder Detail'!I246)</f>
        <v/>
      </c>
      <c r="AC244" s="22" t="str">
        <f>IF('Cylinder Detail'!AB246=0,"",'Cylinder Detail'!AB246)</f>
        <v/>
      </c>
      <c r="AD244" s="25" t="str">
        <f>IF('Sensor Detail'!F246=0,"","=" &amp; 'Sensor Detail'!F246)</f>
        <v/>
      </c>
      <c r="AE244" s="25" t="str">
        <f>IF('Sensor Detail'!H246=0,"",'Sensor Detail'!H246)</f>
        <v/>
      </c>
      <c r="AF244" s="27" t="str">
        <f>IF('Sensor Detail'!G246=0,"","-" &amp; 'Sensor Detail'!G246)</f>
        <v/>
      </c>
      <c r="AG244" s="27" t="str">
        <f>IF('Sensor Detail'!I246=0,"",'Sensor Detail'!I246)</f>
        <v/>
      </c>
      <c r="AH244" s="27" t="str">
        <f>IF('Sensor Detail'!E246=0,"","+" &amp; 'Sensor Detail'!E246)</f>
        <v/>
      </c>
      <c r="AI244" s="27" t="str">
        <f t="shared" si="57"/>
        <v/>
      </c>
      <c r="AJ244" s="27" t="str">
        <f>IF('Sensor Detail'!J246=0,"",'Sensor Detail'!J246)</f>
        <v/>
      </c>
      <c r="AK244" s="27" t="str">
        <f>IF('Sensor Detail'!K246=0,"",'Sensor Detail'!K246)</f>
        <v/>
      </c>
      <c r="AL244" s="27" t="str">
        <f>IF('Sensor Detail'!L246=0,"",'Sensor Detail'!L246)</f>
        <v/>
      </c>
      <c r="AM244" s="27" t="str">
        <f>IF('Sensor Detail'!M246=0,"",'Sensor Detail'!M246)</f>
        <v/>
      </c>
      <c r="AN244" s="27" t="str">
        <f>IF('Sensor Detail'!N246=0,"",'Sensor Detail'!N246)</f>
        <v/>
      </c>
      <c r="AO244" s="27" t="str">
        <f>IF('Sensor Detail'!O246=0,"",'Sensor Detail'!O246)</f>
        <v/>
      </c>
      <c r="AP244" s="15" t="str">
        <f t="shared" si="58"/>
        <v/>
      </c>
      <c r="AQ244" s="15" t="str">
        <f t="shared" si="59"/>
        <v/>
      </c>
    </row>
    <row r="245" spans="1:43">
      <c r="A245" s="13" t="str">
        <f t="shared" si="45"/>
        <v/>
      </c>
      <c r="B245" s="13" t="str">
        <f t="shared" si="46"/>
        <v/>
      </c>
      <c r="C245" s="15" t="str">
        <f t="shared" si="47"/>
        <v/>
      </c>
      <c r="D245" s="15" t="str">
        <f t="shared" si="48"/>
        <v/>
      </c>
      <c r="E245" s="15" t="str">
        <f t="shared" si="49"/>
        <v/>
      </c>
      <c r="F245" s="15" t="str">
        <f t="shared" si="50"/>
        <v/>
      </c>
      <c r="G245" s="15" t="str">
        <f t="shared" si="51"/>
        <v/>
      </c>
      <c r="H245" s="15" t="str">
        <f t="shared" si="52"/>
        <v/>
      </c>
      <c r="I245" s="15" t="str">
        <f t="shared" si="53"/>
        <v/>
      </c>
      <c r="J245" s="15" t="str">
        <f t="shared" si="54"/>
        <v/>
      </c>
      <c r="K245" s="13" t="str">
        <f>IF('Cylinder Detail'!U247=0,"",'Cylinder Detail'!U247)</f>
        <v/>
      </c>
      <c r="L245" s="13" t="str">
        <f>IF('Cylinder Detail'!Z247=0,"",_xlfn.TEXTBEFORE('Cylinder Detail'!Z247, ","))</f>
        <v/>
      </c>
      <c r="M245" s="13" t="str">
        <f t="shared" si="55"/>
        <v/>
      </c>
      <c r="N245" s="17" t="str">
        <f>IF('Cylinder Detail'!V247=0,"",'Cylinder Detail'!V247)</f>
        <v/>
      </c>
      <c r="O245" s="17" t="str">
        <f>IF('Cylinder Detail'!Z247=0,"",_xlfn.TEXTAFTER('Cylinder Detail'!Z247, ", "))</f>
        <v/>
      </c>
      <c r="P245" s="17" t="str">
        <f>IF('Cylinder Detail'!AA247=0,"",'Cylinder Detail'!AA247)</f>
        <v/>
      </c>
      <c r="Q245" s="19" t="str">
        <f>IF('Cylinder Detail'!W247=0,"",'Cylinder Detail'!W247)</f>
        <v/>
      </c>
      <c r="R245" s="19" t="str">
        <f>IF('Cylinder Detail'!Y247=0,"",'Cylinder Detail'!Y247)</f>
        <v/>
      </c>
      <c r="S245" s="21" t="str">
        <f>IF('Cylinder Detail'!X247=0,"",'Cylinder Detail'!X247)</f>
        <v/>
      </c>
      <c r="T245" s="21" t="str">
        <f>IF('Cylinder Detail'!F247=0,"",'Cylinder Detail'!F247)</f>
        <v/>
      </c>
      <c r="U245" s="21" t="str">
        <f>IF('Cylinder Detail'!R247=0,"",'Cylinder Detail'!R247)</f>
        <v/>
      </c>
      <c r="V245" s="21" t="str">
        <f>IF('Cylinder Detail'!Q247=0,"",'Cylinder Detail'!Q247)</f>
        <v/>
      </c>
      <c r="W245" s="21" t="str">
        <f>IF('Cylinder Detail'!E247=0,"","+" &amp; 'Cylinder Detail'!E247)</f>
        <v/>
      </c>
      <c r="X245" s="21" t="str">
        <f t="shared" si="56"/>
        <v/>
      </c>
      <c r="Y245" s="21" t="str">
        <f>IF('Cylinder Detail'!S247=0,"",'Cylinder Detail'!S247)</f>
        <v/>
      </c>
      <c r="Z245" s="21" t="str">
        <f>IF('Cylinder Detail'!T247=0,"",'Cylinder Detail'!T247)</f>
        <v/>
      </c>
      <c r="AA245" s="21" t="str">
        <f>IF('Cylinder Detail'!H247=0,"",'Cylinder Detail'!H247)</f>
        <v/>
      </c>
      <c r="AB245" s="21" t="str">
        <f>IF('Cylinder Detail'!I247=0,"",'Cylinder Detail'!I247)</f>
        <v/>
      </c>
      <c r="AC245" s="22" t="str">
        <f>IF('Cylinder Detail'!AB247=0,"",'Cylinder Detail'!AB247)</f>
        <v/>
      </c>
      <c r="AD245" s="25" t="str">
        <f>IF('Sensor Detail'!F247=0,"","=" &amp; 'Sensor Detail'!F247)</f>
        <v/>
      </c>
      <c r="AE245" s="25" t="str">
        <f>IF('Sensor Detail'!H247=0,"",'Sensor Detail'!H247)</f>
        <v/>
      </c>
      <c r="AF245" s="27" t="str">
        <f>IF('Sensor Detail'!G247=0,"","-" &amp; 'Sensor Detail'!G247)</f>
        <v/>
      </c>
      <c r="AG245" s="27" t="str">
        <f>IF('Sensor Detail'!I247=0,"",'Sensor Detail'!I247)</f>
        <v/>
      </c>
      <c r="AH245" s="27" t="str">
        <f>IF('Sensor Detail'!E247=0,"","+" &amp; 'Sensor Detail'!E247)</f>
        <v/>
      </c>
      <c r="AI245" s="27" t="str">
        <f t="shared" si="57"/>
        <v/>
      </c>
      <c r="AJ245" s="27" t="str">
        <f>IF('Sensor Detail'!J247=0,"",'Sensor Detail'!J247)</f>
        <v/>
      </c>
      <c r="AK245" s="27" t="str">
        <f>IF('Sensor Detail'!K247=0,"",'Sensor Detail'!K247)</f>
        <v/>
      </c>
      <c r="AL245" s="27" t="str">
        <f>IF('Sensor Detail'!L247=0,"",'Sensor Detail'!L247)</f>
        <v/>
      </c>
      <c r="AM245" s="27" t="str">
        <f>IF('Sensor Detail'!M247=0,"",'Sensor Detail'!M247)</f>
        <v/>
      </c>
      <c r="AN245" s="27" t="str">
        <f>IF('Sensor Detail'!N247=0,"",'Sensor Detail'!N247)</f>
        <v/>
      </c>
      <c r="AO245" s="27" t="str">
        <f>IF('Sensor Detail'!O247=0,"",'Sensor Detail'!O247)</f>
        <v/>
      </c>
      <c r="AP245" s="15" t="str">
        <f t="shared" si="58"/>
        <v/>
      </c>
      <c r="AQ245" s="15" t="str">
        <f t="shared" si="59"/>
        <v/>
      </c>
    </row>
    <row r="246" spans="1:43">
      <c r="A246" s="13" t="str">
        <f t="shared" si="45"/>
        <v/>
      </c>
      <c r="B246" s="13" t="str">
        <f t="shared" si="46"/>
        <v/>
      </c>
      <c r="C246" s="15" t="str">
        <f t="shared" si="47"/>
        <v/>
      </c>
      <c r="D246" s="15" t="str">
        <f t="shared" si="48"/>
        <v/>
      </c>
      <c r="E246" s="15" t="str">
        <f t="shared" si="49"/>
        <v/>
      </c>
      <c r="F246" s="15" t="str">
        <f t="shared" si="50"/>
        <v/>
      </c>
      <c r="G246" s="15" t="str">
        <f t="shared" si="51"/>
        <v/>
      </c>
      <c r="H246" s="15" t="str">
        <f t="shared" si="52"/>
        <v/>
      </c>
      <c r="I246" s="15" t="str">
        <f t="shared" si="53"/>
        <v/>
      </c>
      <c r="J246" s="15" t="str">
        <f t="shared" si="54"/>
        <v/>
      </c>
      <c r="K246" s="13" t="str">
        <f>IF('Cylinder Detail'!U248=0,"",'Cylinder Detail'!U248)</f>
        <v/>
      </c>
      <c r="L246" s="13" t="str">
        <f>IF('Cylinder Detail'!Z248=0,"",_xlfn.TEXTBEFORE('Cylinder Detail'!Z248, ","))</f>
        <v/>
      </c>
      <c r="M246" s="13" t="str">
        <f t="shared" si="55"/>
        <v/>
      </c>
      <c r="N246" s="17" t="str">
        <f>IF('Cylinder Detail'!V248=0,"",'Cylinder Detail'!V248)</f>
        <v/>
      </c>
      <c r="O246" s="17" t="str">
        <f>IF('Cylinder Detail'!Z248=0,"",_xlfn.TEXTAFTER('Cylinder Detail'!Z248, ", "))</f>
        <v/>
      </c>
      <c r="P246" s="17" t="str">
        <f>IF('Cylinder Detail'!AA248=0,"",'Cylinder Detail'!AA248)</f>
        <v/>
      </c>
      <c r="Q246" s="19" t="str">
        <f>IF('Cylinder Detail'!W248=0,"",'Cylinder Detail'!W248)</f>
        <v/>
      </c>
      <c r="R246" s="19" t="str">
        <f>IF('Cylinder Detail'!Y248=0,"",'Cylinder Detail'!Y248)</f>
        <v/>
      </c>
      <c r="S246" s="21" t="str">
        <f>IF('Cylinder Detail'!X248=0,"",'Cylinder Detail'!X248)</f>
        <v/>
      </c>
      <c r="T246" s="21" t="str">
        <f>IF('Cylinder Detail'!F248=0,"",'Cylinder Detail'!F248)</f>
        <v/>
      </c>
      <c r="U246" s="21" t="str">
        <f>IF('Cylinder Detail'!R248=0,"",'Cylinder Detail'!R248)</f>
        <v/>
      </c>
      <c r="V246" s="21" t="str">
        <f>IF('Cylinder Detail'!Q248=0,"",'Cylinder Detail'!Q248)</f>
        <v/>
      </c>
      <c r="W246" s="21" t="str">
        <f>IF('Cylinder Detail'!E248=0,"","+" &amp; 'Cylinder Detail'!E248)</f>
        <v/>
      </c>
      <c r="X246" s="21" t="str">
        <f t="shared" si="56"/>
        <v/>
      </c>
      <c r="Y246" s="21" t="str">
        <f>IF('Cylinder Detail'!S248=0,"",'Cylinder Detail'!S248)</f>
        <v/>
      </c>
      <c r="Z246" s="21" t="str">
        <f>IF('Cylinder Detail'!T248=0,"",'Cylinder Detail'!T248)</f>
        <v/>
      </c>
      <c r="AA246" s="21" t="str">
        <f>IF('Cylinder Detail'!H248=0,"",'Cylinder Detail'!H248)</f>
        <v/>
      </c>
      <c r="AB246" s="21" t="str">
        <f>IF('Cylinder Detail'!I248=0,"",'Cylinder Detail'!I248)</f>
        <v/>
      </c>
      <c r="AC246" s="22" t="str">
        <f>IF('Cylinder Detail'!AB248=0,"",'Cylinder Detail'!AB248)</f>
        <v/>
      </c>
      <c r="AD246" s="25" t="str">
        <f>IF('Sensor Detail'!F248=0,"","=" &amp; 'Sensor Detail'!F248)</f>
        <v/>
      </c>
      <c r="AE246" s="25" t="str">
        <f>IF('Sensor Detail'!H248=0,"",'Sensor Detail'!H248)</f>
        <v/>
      </c>
      <c r="AF246" s="27" t="str">
        <f>IF('Sensor Detail'!G248=0,"","-" &amp; 'Sensor Detail'!G248)</f>
        <v/>
      </c>
      <c r="AG246" s="27" t="str">
        <f>IF('Sensor Detail'!I248=0,"",'Sensor Detail'!I248)</f>
        <v/>
      </c>
      <c r="AH246" s="27" t="str">
        <f>IF('Sensor Detail'!E248=0,"","+" &amp; 'Sensor Detail'!E248)</f>
        <v/>
      </c>
      <c r="AI246" s="27" t="str">
        <f t="shared" si="57"/>
        <v/>
      </c>
      <c r="AJ246" s="27" t="str">
        <f>IF('Sensor Detail'!J248=0,"",'Sensor Detail'!J248)</f>
        <v/>
      </c>
      <c r="AK246" s="27" t="str">
        <f>IF('Sensor Detail'!K248=0,"",'Sensor Detail'!K248)</f>
        <v/>
      </c>
      <c r="AL246" s="27" t="str">
        <f>IF('Sensor Detail'!L248=0,"",'Sensor Detail'!L248)</f>
        <v/>
      </c>
      <c r="AM246" s="27" t="str">
        <f>IF('Sensor Detail'!M248=0,"",'Sensor Detail'!M248)</f>
        <v/>
      </c>
      <c r="AN246" s="27" t="str">
        <f>IF('Sensor Detail'!N248=0,"",'Sensor Detail'!N248)</f>
        <v/>
      </c>
      <c r="AO246" s="27" t="str">
        <f>IF('Sensor Detail'!O248=0,"",'Sensor Detail'!O248)</f>
        <v/>
      </c>
      <c r="AP246" s="15" t="str">
        <f t="shared" si="58"/>
        <v/>
      </c>
      <c r="AQ246" s="15" t="str">
        <f t="shared" si="59"/>
        <v/>
      </c>
    </row>
    <row r="247" spans="1:43">
      <c r="A247" s="13" t="str">
        <f t="shared" si="45"/>
        <v/>
      </c>
      <c r="B247" s="13" t="str">
        <f t="shared" si="46"/>
        <v/>
      </c>
      <c r="C247" s="15" t="str">
        <f t="shared" si="47"/>
        <v/>
      </c>
      <c r="D247" s="15" t="str">
        <f t="shared" si="48"/>
        <v/>
      </c>
      <c r="E247" s="15" t="str">
        <f t="shared" si="49"/>
        <v/>
      </c>
      <c r="F247" s="15" t="str">
        <f t="shared" si="50"/>
        <v/>
      </c>
      <c r="G247" s="15" t="str">
        <f t="shared" si="51"/>
        <v/>
      </c>
      <c r="H247" s="15" t="str">
        <f t="shared" si="52"/>
        <v/>
      </c>
      <c r="I247" s="15" t="str">
        <f t="shared" si="53"/>
        <v/>
      </c>
      <c r="J247" s="15" t="str">
        <f t="shared" si="54"/>
        <v/>
      </c>
      <c r="K247" s="13" t="str">
        <f>IF('Cylinder Detail'!U249=0,"",'Cylinder Detail'!U249)</f>
        <v/>
      </c>
      <c r="L247" s="13" t="str">
        <f>IF('Cylinder Detail'!Z249=0,"",_xlfn.TEXTBEFORE('Cylinder Detail'!Z249, ","))</f>
        <v/>
      </c>
      <c r="M247" s="13" t="str">
        <f t="shared" si="55"/>
        <v/>
      </c>
      <c r="N247" s="17" t="str">
        <f>IF('Cylinder Detail'!V249=0,"",'Cylinder Detail'!V249)</f>
        <v/>
      </c>
      <c r="O247" s="17" t="str">
        <f>IF('Cylinder Detail'!Z249=0,"",_xlfn.TEXTAFTER('Cylinder Detail'!Z249, ", "))</f>
        <v/>
      </c>
      <c r="P247" s="17" t="str">
        <f>IF('Cylinder Detail'!AA249=0,"",'Cylinder Detail'!AA249)</f>
        <v/>
      </c>
      <c r="Q247" s="19" t="str">
        <f>IF('Cylinder Detail'!W249=0,"",'Cylinder Detail'!W249)</f>
        <v/>
      </c>
      <c r="R247" s="19" t="str">
        <f>IF('Cylinder Detail'!Y249=0,"",'Cylinder Detail'!Y249)</f>
        <v/>
      </c>
      <c r="S247" s="21" t="str">
        <f>IF('Cylinder Detail'!X249=0,"",'Cylinder Detail'!X249)</f>
        <v/>
      </c>
      <c r="T247" s="21" t="str">
        <f>IF('Cylinder Detail'!F249=0,"",'Cylinder Detail'!F249)</f>
        <v/>
      </c>
      <c r="U247" s="21" t="str">
        <f>IF('Cylinder Detail'!R249=0,"",'Cylinder Detail'!R249)</f>
        <v/>
      </c>
      <c r="V247" s="21" t="str">
        <f>IF('Cylinder Detail'!Q249=0,"",'Cylinder Detail'!Q249)</f>
        <v/>
      </c>
      <c r="W247" s="21" t="str">
        <f>IF('Cylinder Detail'!E249=0,"","+" &amp; 'Cylinder Detail'!E249)</f>
        <v/>
      </c>
      <c r="X247" s="21" t="str">
        <f t="shared" si="56"/>
        <v/>
      </c>
      <c r="Y247" s="21" t="str">
        <f>IF('Cylinder Detail'!S249=0,"",'Cylinder Detail'!S249)</f>
        <v/>
      </c>
      <c r="Z247" s="21" t="str">
        <f>IF('Cylinder Detail'!T249=0,"",'Cylinder Detail'!T249)</f>
        <v/>
      </c>
      <c r="AA247" s="21" t="str">
        <f>IF('Cylinder Detail'!H249=0,"",'Cylinder Detail'!H249)</f>
        <v/>
      </c>
      <c r="AB247" s="21" t="str">
        <f>IF('Cylinder Detail'!I249=0,"",'Cylinder Detail'!I249)</f>
        <v/>
      </c>
      <c r="AC247" s="22" t="str">
        <f>IF('Cylinder Detail'!AB249=0,"",'Cylinder Detail'!AB249)</f>
        <v/>
      </c>
      <c r="AD247" s="25" t="str">
        <f>IF('Sensor Detail'!F249=0,"","=" &amp; 'Sensor Detail'!F249)</f>
        <v/>
      </c>
      <c r="AE247" s="25" t="str">
        <f>IF('Sensor Detail'!H249=0,"",'Sensor Detail'!H249)</f>
        <v/>
      </c>
      <c r="AF247" s="27" t="str">
        <f>IF('Sensor Detail'!G249=0,"","-" &amp; 'Sensor Detail'!G249)</f>
        <v/>
      </c>
      <c r="AG247" s="27" t="str">
        <f>IF('Sensor Detail'!I249=0,"",'Sensor Detail'!I249)</f>
        <v/>
      </c>
      <c r="AH247" s="27" t="str">
        <f>IF('Sensor Detail'!E249=0,"","+" &amp; 'Sensor Detail'!E249)</f>
        <v/>
      </c>
      <c r="AI247" s="27" t="str">
        <f t="shared" si="57"/>
        <v/>
      </c>
      <c r="AJ247" s="27" t="str">
        <f>IF('Sensor Detail'!J249=0,"",'Sensor Detail'!J249)</f>
        <v/>
      </c>
      <c r="AK247" s="27" t="str">
        <f>IF('Sensor Detail'!K249=0,"",'Sensor Detail'!K249)</f>
        <v/>
      </c>
      <c r="AL247" s="27" t="str">
        <f>IF('Sensor Detail'!L249=0,"",'Sensor Detail'!L249)</f>
        <v/>
      </c>
      <c r="AM247" s="27" t="str">
        <f>IF('Sensor Detail'!M249=0,"",'Sensor Detail'!M249)</f>
        <v/>
      </c>
      <c r="AN247" s="27" t="str">
        <f>IF('Sensor Detail'!N249=0,"",'Sensor Detail'!N249)</f>
        <v/>
      </c>
      <c r="AO247" s="27" t="str">
        <f>IF('Sensor Detail'!O249=0,"",'Sensor Detail'!O249)</f>
        <v/>
      </c>
      <c r="AP247" s="15" t="str">
        <f t="shared" si="58"/>
        <v/>
      </c>
      <c r="AQ247" s="15" t="str">
        <f t="shared" si="59"/>
        <v/>
      </c>
    </row>
    <row r="248" spans="1:43">
      <c r="A248" s="13" t="str">
        <f t="shared" si="45"/>
        <v/>
      </c>
      <c r="B248" s="13" t="str">
        <f t="shared" si="46"/>
        <v/>
      </c>
      <c r="C248" s="15" t="str">
        <f t="shared" si="47"/>
        <v/>
      </c>
      <c r="D248" s="15" t="str">
        <f t="shared" si="48"/>
        <v/>
      </c>
      <c r="E248" s="15" t="str">
        <f t="shared" si="49"/>
        <v/>
      </c>
      <c r="F248" s="15" t="str">
        <f t="shared" si="50"/>
        <v/>
      </c>
      <c r="G248" s="15" t="str">
        <f t="shared" si="51"/>
        <v/>
      </c>
      <c r="H248" s="15" t="str">
        <f t="shared" si="52"/>
        <v/>
      </c>
      <c r="I248" s="15" t="str">
        <f t="shared" si="53"/>
        <v/>
      </c>
      <c r="J248" s="15" t="str">
        <f t="shared" si="54"/>
        <v/>
      </c>
      <c r="K248" s="13" t="str">
        <f>IF('Cylinder Detail'!U250=0,"",'Cylinder Detail'!U250)</f>
        <v/>
      </c>
      <c r="L248" s="13" t="str">
        <f>IF('Cylinder Detail'!Z250=0,"",_xlfn.TEXTBEFORE('Cylinder Detail'!Z250, ","))</f>
        <v/>
      </c>
      <c r="M248" s="13" t="str">
        <f t="shared" si="55"/>
        <v/>
      </c>
      <c r="N248" s="17" t="str">
        <f>IF('Cylinder Detail'!V250=0,"",'Cylinder Detail'!V250)</f>
        <v/>
      </c>
      <c r="O248" s="17" t="str">
        <f>IF('Cylinder Detail'!Z250=0,"",_xlfn.TEXTAFTER('Cylinder Detail'!Z250, ", "))</f>
        <v/>
      </c>
      <c r="P248" s="17" t="str">
        <f>IF('Cylinder Detail'!AA250=0,"",'Cylinder Detail'!AA250)</f>
        <v/>
      </c>
      <c r="Q248" s="19" t="str">
        <f>IF('Cylinder Detail'!W250=0,"",'Cylinder Detail'!W250)</f>
        <v/>
      </c>
      <c r="R248" s="19" t="str">
        <f>IF('Cylinder Detail'!Y250=0,"",'Cylinder Detail'!Y250)</f>
        <v/>
      </c>
      <c r="S248" s="21" t="str">
        <f>IF('Cylinder Detail'!X250=0,"",'Cylinder Detail'!X250)</f>
        <v/>
      </c>
      <c r="T248" s="21" t="str">
        <f>IF('Cylinder Detail'!F250=0,"",'Cylinder Detail'!F250)</f>
        <v/>
      </c>
      <c r="U248" s="21" t="str">
        <f>IF('Cylinder Detail'!R250=0,"",'Cylinder Detail'!R250)</f>
        <v/>
      </c>
      <c r="V248" s="21" t="str">
        <f>IF('Cylinder Detail'!Q250=0,"",'Cylinder Detail'!Q250)</f>
        <v/>
      </c>
      <c r="W248" s="21" t="str">
        <f>IF('Cylinder Detail'!E250=0,"","+" &amp; 'Cylinder Detail'!E250)</f>
        <v/>
      </c>
      <c r="X248" s="21" t="str">
        <f t="shared" si="56"/>
        <v/>
      </c>
      <c r="Y248" s="21" t="str">
        <f>IF('Cylinder Detail'!S250=0,"",'Cylinder Detail'!S250)</f>
        <v/>
      </c>
      <c r="Z248" s="21" t="str">
        <f>IF('Cylinder Detail'!T250=0,"",'Cylinder Detail'!T250)</f>
        <v/>
      </c>
      <c r="AA248" s="21" t="str">
        <f>IF('Cylinder Detail'!H250=0,"",'Cylinder Detail'!H250)</f>
        <v/>
      </c>
      <c r="AB248" s="21" t="str">
        <f>IF('Cylinder Detail'!I250=0,"",'Cylinder Detail'!I250)</f>
        <v/>
      </c>
      <c r="AC248" s="22" t="str">
        <f>IF('Cylinder Detail'!AB250=0,"",'Cylinder Detail'!AB250)</f>
        <v/>
      </c>
      <c r="AD248" s="25" t="str">
        <f>IF('Sensor Detail'!F250=0,"","=" &amp; 'Sensor Detail'!F250)</f>
        <v/>
      </c>
      <c r="AE248" s="25" t="str">
        <f>IF('Sensor Detail'!H250=0,"",'Sensor Detail'!H250)</f>
        <v/>
      </c>
      <c r="AF248" s="27" t="str">
        <f>IF('Sensor Detail'!G250=0,"","-" &amp; 'Sensor Detail'!G250)</f>
        <v/>
      </c>
      <c r="AG248" s="27" t="str">
        <f>IF('Sensor Detail'!I250=0,"",'Sensor Detail'!I250)</f>
        <v/>
      </c>
      <c r="AH248" s="27" t="str">
        <f>IF('Sensor Detail'!E250=0,"","+" &amp; 'Sensor Detail'!E250)</f>
        <v/>
      </c>
      <c r="AI248" s="27" t="str">
        <f t="shared" si="57"/>
        <v/>
      </c>
      <c r="AJ248" s="27" t="str">
        <f>IF('Sensor Detail'!J250=0,"",'Sensor Detail'!J250)</f>
        <v/>
      </c>
      <c r="AK248" s="27" t="str">
        <f>IF('Sensor Detail'!K250=0,"",'Sensor Detail'!K250)</f>
        <v/>
      </c>
      <c r="AL248" s="27" t="str">
        <f>IF('Sensor Detail'!L250=0,"",'Sensor Detail'!L250)</f>
        <v/>
      </c>
      <c r="AM248" s="27" t="str">
        <f>IF('Sensor Detail'!M250=0,"",'Sensor Detail'!M250)</f>
        <v/>
      </c>
      <c r="AN248" s="27" t="str">
        <f>IF('Sensor Detail'!N250=0,"",'Sensor Detail'!N250)</f>
        <v/>
      </c>
      <c r="AO248" s="27" t="str">
        <f>IF('Sensor Detail'!O250=0,"",'Sensor Detail'!O250)</f>
        <v/>
      </c>
      <c r="AP248" s="15" t="str">
        <f t="shared" si="58"/>
        <v/>
      </c>
      <c r="AQ248" s="15" t="str">
        <f t="shared" si="59"/>
        <v/>
      </c>
    </row>
    <row r="249" spans="1:43">
      <c r="A249" s="13" t="str">
        <f t="shared" si="45"/>
        <v/>
      </c>
      <c r="B249" s="13" t="str">
        <f t="shared" si="46"/>
        <v/>
      </c>
      <c r="C249" s="15" t="str">
        <f t="shared" si="47"/>
        <v/>
      </c>
      <c r="D249" s="15" t="str">
        <f t="shared" si="48"/>
        <v/>
      </c>
      <c r="E249" s="15" t="str">
        <f t="shared" si="49"/>
        <v/>
      </c>
      <c r="F249" s="15" t="str">
        <f t="shared" si="50"/>
        <v/>
      </c>
      <c r="G249" s="15" t="str">
        <f t="shared" si="51"/>
        <v/>
      </c>
      <c r="H249" s="15" t="str">
        <f t="shared" si="52"/>
        <v/>
      </c>
      <c r="I249" s="15" t="str">
        <f t="shared" si="53"/>
        <v/>
      </c>
      <c r="J249" s="15" t="str">
        <f t="shared" si="54"/>
        <v/>
      </c>
      <c r="K249" s="13" t="str">
        <f>IF('Cylinder Detail'!U251=0,"",'Cylinder Detail'!U251)</f>
        <v/>
      </c>
      <c r="L249" s="13" t="str">
        <f>IF('Cylinder Detail'!Z251=0,"",_xlfn.TEXTBEFORE('Cylinder Detail'!Z251, ","))</f>
        <v/>
      </c>
      <c r="M249" s="13" t="str">
        <f t="shared" si="55"/>
        <v/>
      </c>
      <c r="N249" s="17" t="str">
        <f>IF('Cylinder Detail'!V251=0,"",'Cylinder Detail'!V251)</f>
        <v/>
      </c>
      <c r="O249" s="17" t="str">
        <f>IF('Cylinder Detail'!Z251=0,"",_xlfn.TEXTAFTER('Cylinder Detail'!Z251, ", "))</f>
        <v/>
      </c>
      <c r="P249" s="17" t="str">
        <f>IF('Cylinder Detail'!AA251=0,"",'Cylinder Detail'!AA251)</f>
        <v/>
      </c>
      <c r="Q249" s="19" t="str">
        <f>IF('Cylinder Detail'!W251=0,"",'Cylinder Detail'!W251)</f>
        <v/>
      </c>
      <c r="R249" s="19" t="str">
        <f>IF('Cylinder Detail'!Y251=0,"",'Cylinder Detail'!Y251)</f>
        <v/>
      </c>
      <c r="S249" s="21" t="str">
        <f>IF('Cylinder Detail'!X251=0,"",'Cylinder Detail'!X251)</f>
        <v/>
      </c>
      <c r="T249" s="21" t="str">
        <f>IF('Cylinder Detail'!F251=0,"",'Cylinder Detail'!F251)</f>
        <v/>
      </c>
      <c r="U249" s="21" t="str">
        <f>IF('Cylinder Detail'!R251=0,"",'Cylinder Detail'!R251)</f>
        <v/>
      </c>
      <c r="V249" s="21" t="str">
        <f>IF('Cylinder Detail'!Q251=0,"",'Cylinder Detail'!Q251)</f>
        <v/>
      </c>
      <c r="W249" s="21" t="str">
        <f>IF('Cylinder Detail'!E251=0,"","+" &amp; 'Cylinder Detail'!E251)</f>
        <v/>
      </c>
      <c r="X249" s="21" t="str">
        <f t="shared" si="56"/>
        <v/>
      </c>
      <c r="Y249" s="21" t="str">
        <f>IF('Cylinder Detail'!S251=0,"",'Cylinder Detail'!S251)</f>
        <v/>
      </c>
      <c r="Z249" s="21" t="str">
        <f>IF('Cylinder Detail'!T251=0,"",'Cylinder Detail'!T251)</f>
        <v/>
      </c>
      <c r="AA249" s="21" t="str">
        <f>IF('Cylinder Detail'!H251=0,"",'Cylinder Detail'!H251)</f>
        <v/>
      </c>
      <c r="AB249" s="21" t="str">
        <f>IF('Cylinder Detail'!I251=0,"",'Cylinder Detail'!I251)</f>
        <v/>
      </c>
      <c r="AC249" s="22" t="str">
        <f>IF('Cylinder Detail'!AB251=0,"",'Cylinder Detail'!AB251)</f>
        <v/>
      </c>
      <c r="AD249" s="25" t="str">
        <f>IF('Sensor Detail'!F251=0,"","=" &amp; 'Sensor Detail'!F251)</f>
        <v/>
      </c>
      <c r="AE249" s="25" t="str">
        <f>IF('Sensor Detail'!H251=0,"",'Sensor Detail'!H251)</f>
        <v/>
      </c>
      <c r="AF249" s="27" t="str">
        <f>IF('Sensor Detail'!G251=0,"","-" &amp; 'Sensor Detail'!G251)</f>
        <v/>
      </c>
      <c r="AG249" s="27" t="str">
        <f>IF('Sensor Detail'!I251=0,"",'Sensor Detail'!I251)</f>
        <v/>
      </c>
      <c r="AH249" s="27" t="str">
        <f>IF('Sensor Detail'!E251=0,"","+" &amp; 'Sensor Detail'!E251)</f>
        <v/>
      </c>
      <c r="AI249" s="27" t="str">
        <f t="shared" si="57"/>
        <v/>
      </c>
      <c r="AJ249" s="27" t="str">
        <f>IF('Sensor Detail'!J251=0,"",'Sensor Detail'!J251)</f>
        <v/>
      </c>
      <c r="AK249" s="27" t="str">
        <f>IF('Sensor Detail'!K251=0,"",'Sensor Detail'!K251)</f>
        <v/>
      </c>
      <c r="AL249" s="27" t="str">
        <f>IF('Sensor Detail'!L251=0,"",'Sensor Detail'!L251)</f>
        <v/>
      </c>
      <c r="AM249" s="27" t="str">
        <f>IF('Sensor Detail'!M251=0,"",'Sensor Detail'!M251)</f>
        <v/>
      </c>
      <c r="AN249" s="27" t="str">
        <f>IF('Sensor Detail'!N251=0,"",'Sensor Detail'!N251)</f>
        <v/>
      </c>
      <c r="AO249" s="27" t="str">
        <f>IF('Sensor Detail'!O251=0,"",'Sensor Detail'!O251)</f>
        <v/>
      </c>
      <c r="AP249" s="15" t="str">
        <f t="shared" si="58"/>
        <v/>
      </c>
      <c r="AQ249" s="15" t="str">
        <f t="shared" si="59"/>
        <v/>
      </c>
    </row>
    <row r="250" spans="1:43">
      <c r="A250" s="13" t="str">
        <f t="shared" si="45"/>
        <v/>
      </c>
      <c r="B250" s="13" t="str">
        <f t="shared" si="46"/>
        <v/>
      </c>
      <c r="C250" s="15" t="str">
        <f t="shared" si="47"/>
        <v/>
      </c>
      <c r="D250" s="15" t="str">
        <f t="shared" si="48"/>
        <v/>
      </c>
      <c r="E250" s="15" t="str">
        <f t="shared" si="49"/>
        <v/>
      </c>
      <c r="F250" s="15" t="str">
        <f t="shared" si="50"/>
        <v/>
      </c>
      <c r="G250" s="15" t="str">
        <f t="shared" si="51"/>
        <v/>
      </c>
      <c r="H250" s="15" t="str">
        <f t="shared" si="52"/>
        <v/>
      </c>
      <c r="I250" s="15" t="str">
        <f t="shared" si="53"/>
        <v/>
      </c>
      <c r="J250" s="15" t="str">
        <f t="shared" si="54"/>
        <v/>
      </c>
      <c r="K250" s="13" t="str">
        <f>IF('Cylinder Detail'!U252=0,"",'Cylinder Detail'!U252)</f>
        <v/>
      </c>
      <c r="L250" s="13" t="str">
        <f>IF('Cylinder Detail'!Z252=0,"",_xlfn.TEXTBEFORE('Cylinder Detail'!Z252, ","))</f>
        <v/>
      </c>
      <c r="M250" s="13" t="str">
        <f t="shared" si="55"/>
        <v/>
      </c>
      <c r="N250" s="17" t="str">
        <f>IF('Cylinder Detail'!V252=0,"",'Cylinder Detail'!V252)</f>
        <v/>
      </c>
      <c r="O250" s="17" t="str">
        <f>IF('Cylinder Detail'!Z252=0,"",_xlfn.TEXTAFTER('Cylinder Detail'!Z252, ", "))</f>
        <v/>
      </c>
      <c r="P250" s="17" t="str">
        <f>IF('Cylinder Detail'!AA252=0,"",'Cylinder Detail'!AA252)</f>
        <v/>
      </c>
      <c r="Q250" s="19" t="str">
        <f>IF('Cylinder Detail'!W252=0,"",'Cylinder Detail'!W252)</f>
        <v/>
      </c>
      <c r="R250" s="19" t="str">
        <f>IF('Cylinder Detail'!Y252=0,"",'Cylinder Detail'!Y252)</f>
        <v/>
      </c>
      <c r="S250" s="21" t="str">
        <f>IF('Cylinder Detail'!X252=0,"",'Cylinder Detail'!X252)</f>
        <v/>
      </c>
      <c r="T250" s="21" t="str">
        <f>IF('Cylinder Detail'!F252=0,"",'Cylinder Detail'!F252)</f>
        <v/>
      </c>
      <c r="U250" s="21" t="str">
        <f>IF('Cylinder Detail'!R252=0,"",'Cylinder Detail'!R252)</f>
        <v/>
      </c>
      <c r="V250" s="21" t="str">
        <f>IF('Cylinder Detail'!Q252=0,"",'Cylinder Detail'!Q252)</f>
        <v/>
      </c>
      <c r="W250" s="21" t="str">
        <f>IF('Cylinder Detail'!E252=0,"","+" &amp; 'Cylinder Detail'!E252)</f>
        <v/>
      </c>
      <c r="X250" s="21" t="str">
        <f t="shared" si="56"/>
        <v/>
      </c>
      <c r="Y250" s="21" t="str">
        <f>IF('Cylinder Detail'!S252=0,"",'Cylinder Detail'!S252)</f>
        <v/>
      </c>
      <c r="Z250" s="21" t="str">
        <f>IF('Cylinder Detail'!T252=0,"",'Cylinder Detail'!T252)</f>
        <v/>
      </c>
      <c r="AA250" s="21" t="str">
        <f>IF('Cylinder Detail'!H252=0,"",'Cylinder Detail'!H252)</f>
        <v/>
      </c>
      <c r="AB250" s="21" t="str">
        <f>IF('Cylinder Detail'!I252=0,"",'Cylinder Detail'!I252)</f>
        <v/>
      </c>
      <c r="AC250" s="22" t="str">
        <f>IF('Cylinder Detail'!AB252=0,"",'Cylinder Detail'!AB252)</f>
        <v/>
      </c>
      <c r="AD250" s="25" t="str">
        <f>IF('Sensor Detail'!F252=0,"","=" &amp; 'Sensor Detail'!F252)</f>
        <v/>
      </c>
      <c r="AE250" s="25" t="str">
        <f>IF('Sensor Detail'!H252=0,"",'Sensor Detail'!H252)</f>
        <v/>
      </c>
      <c r="AF250" s="27" t="str">
        <f>IF('Sensor Detail'!G252=0,"","-" &amp; 'Sensor Detail'!G252)</f>
        <v/>
      </c>
      <c r="AG250" s="27" t="str">
        <f>IF('Sensor Detail'!I252=0,"",'Sensor Detail'!I252)</f>
        <v/>
      </c>
      <c r="AH250" s="27" t="str">
        <f>IF('Sensor Detail'!E252=0,"","+" &amp; 'Sensor Detail'!E252)</f>
        <v/>
      </c>
      <c r="AI250" s="27" t="str">
        <f t="shared" si="57"/>
        <v/>
      </c>
      <c r="AJ250" s="27" t="str">
        <f>IF('Sensor Detail'!J252=0,"",'Sensor Detail'!J252)</f>
        <v/>
      </c>
      <c r="AK250" s="27" t="str">
        <f>IF('Sensor Detail'!K252=0,"",'Sensor Detail'!K252)</f>
        <v/>
      </c>
      <c r="AL250" s="27" t="str">
        <f>IF('Sensor Detail'!L252=0,"",'Sensor Detail'!L252)</f>
        <v/>
      </c>
      <c r="AM250" s="27" t="str">
        <f>IF('Sensor Detail'!M252=0,"",'Sensor Detail'!M252)</f>
        <v/>
      </c>
      <c r="AN250" s="27" t="str">
        <f>IF('Sensor Detail'!N252=0,"",'Sensor Detail'!N252)</f>
        <v/>
      </c>
      <c r="AO250" s="27" t="str">
        <f>IF('Sensor Detail'!O252=0,"",'Sensor Detail'!O252)</f>
        <v/>
      </c>
      <c r="AP250" s="15" t="str">
        <f t="shared" si="58"/>
        <v/>
      </c>
      <c r="AQ250" s="15" t="str">
        <f t="shared" si="59"/>
        <v/>
      </c>
    </row>
    <row r="251" spans="1:43">
      <c r="A251" s="13" t="str">
        <f t="shared" si="45"/>
        <v/>
      </c>
      <c r="B251" s="13" t="str">
        <f t="shared" si="46"/>
        <v/>
      </c>
      <c r="C251" s="15" t="str">
        <f t="shared" si="47"/>
        <v/>
      </c>
      <c r="D251" s="15" t="str">
        <f t="shared" si="48"/>
        <v/>
      </c>
      <c r="E251" s="15" t="str">
        <f t="shared" si="49"/>
        <v/>
      </c>
      <c r="F251" s="15" t="str">
        <f t="shared" si="50"/>
        <v/>
      </c>
      <c r="G251" s="15" t="str">
        <f t="shared" si="51"/>
        <v/>
      </c>
      <c r="H251" s="15" t="str">
        <f t="shared" si="52"/>
        <v/>
      </c>
      <c r="I251" s="15" t="str">
        <f t="shared" si="53"/>
        <v/>
      </c>
      <c r="J251" s="15" t="str">
        <f t="shared" si="54"/>
        <v/>
      </c>
      <c r="K251" s="13" t="str">
        <f>IF('Cylinder Detail'!U253=0,"",'Cylinder Detail'!U253)</f>
        <v/>
      </c>
      <c r="L251" s="13" t="str">
        <f>IF('Cylinder Detail'!Z253=0,"",_xlfn.TEXTBEFORE('Cylinder Detail'!Z253, ","))</f>
        <v/>
      </c>
      <c r="M251" s="13" t="str">
        <f t="shared" si="55"/>
        <v/>
      </c>
      <c r="N251" s="17" t="str">
        <f>IF('Cylinder Detail'!V253=0,"",'Cylinder Detail'!V253)</f>
        <v/>
      </c>
      <c r="O251" s="17" t="str">
        <f>IF('Cylinder Detail'!Z253=0,"",_xlfn.TEXTAFTER('Cylinder Detail'!Z253, ", "))</f>
        <v/>
      </c>
      <c r="P251" s="17" t="str">
        <f>IF('Cylinder Detail'!AA253=0,"",'Cylinder Detail'!AA253)</f>
        <v/>
      </c>
      <c r="Q251" s="19" t="str">
        <f>IF('Cylinder Detail'!W253=0,"",'Cylinder Detail'!W253)</f>
        <v/>
      </c>
      <c r="R251" s="19" t="str">
        <f>IF('Cylinder Detail'!Y253=0,"",'Cylinder Detail'!Y253)</f>
        <v/>
      </c>
      <c r="S251" s="21" t="str">
        <f>IF('Cylinder Detail'!X253=0,"",'Cylinder Detail'!X253)</f>
        <v/>
      </c>
      <c r="T251" s="21" t="str">
        <f>IF('Cylinder Detail'!F253=0,"",'Cylinder Detail'!F253)</f>
        <v/>
      </c>
      <c r="U251" s="21" t="str">
        <f>IF('Cylinder Detail'!R253=0,"",'Cylinder Detail'!R253)</f>
        <v/>
      </c>
      <c r="V251" s="21" t="str">
        <f>IF('Cylinder Detail'!Q253=0,"",'Cylinder Detail'!Q253)</f>
        <v/>
      </c>
      <c r="W251" s="21" t="str">
        <f>IF('Cylinder Detail'!E253=0,"","+" &amp; 'Cylinder Detail'!E253)</f>
        <v/>
      </c>
      <c r="X251" s="21" t="str">
        <f t="shared" si="56"/>
        <v/>
      </c>
      <c r="Y251" s="21" t="str">
        <f>IF('Cylinder Detail'!S253=0,"",'Cylinder Detail'!S253)</f>
        <v/>
      </c>
      <c r="Z251" s="21" t="str">
        <f>IF('Cylinder Detail'!T253=0,"",'Cylinder Detail'!T253)</f>
        <v/>
      </c>
      <c r="AA251" s="21" t="str">
        <f>IF('Cylinder Detail'!H253=0,"",'Cylinder Detail'!H253)</f>
        <v/>
      </c>
      <c r="AB251" s="21" t="str">
        <f>IF('Cylinder Detail'!I253=0,"",'Cylinder Detail'!I253)</f>
        <v/>
      </c>
      <c r="AC251" s="22" t="str">
        <f>IF('Cylinder Detail'!AB253=0,"",'Cylinder Detail'!AB253)</f>
        <v/>
      </c>
      <c r="AD251" s="25" t="str">
        <f>IF('Sensor Detail'!F253=0,"","=" &amp; 'Sensor Detail'!F253)</f>
        <v/>
      </c>
      <c r="AE251" s="25" t="str">
        <f>IF('Sensor Detail'!H253=0,"",'Sensor Detail'!H253)</f>
        <v/>
      </c>
      <c r="AF251" s="27" t="str">
        <f>IF('Sensor Detail'!G253=0,"","-" &amp; 'Sensor Detail'!G253)</f>
        <v/>
      </c>
      <c r="AG251" s="27" t="str">
        <f>IF('Sensor Detail'!I253=0,"",'Sensor Detail'!I253)</f>
        <v/>
      </c>
      <c r="AH251" s="27" t="str">
        <f>IF('Sensor Detail'!E253=0,"","+" &amp; 'Sensor Detail'!E253)</f>
        <v/>
      </c>
      <c r="AI251" s="27" t="str">
        <f t="shared" si="57"/>
        <v/>
      </c>
      <c r="AJ251" s="27" t="str">
        <f>IF('Sensor Detail'!J253=0,"",'Sensor Detail'!J253)</f>
        <v/>
      </c>
      <c r="AK251" s="27" t="str">
        <f>IF('Sensor Detail'!K253=0,"",'Sensor Detail'!K253)</f>
        <v/>
      </c>
      <c r="AL251" s="27" t="str">
        <f>IF('Sensor Detail'!L253=0,"",'Sensor Detail'!L253)</f>
        <v/>
      </c>
      <c r="AM251" s="27" t="str">
        <f>IF('Sensor Detail'!M253=0,"",'Sensor Detail'!M253)</f>
        <v/>
      </c>
      <c r="AN251" s="27" t="str">
        <f>IF('Sensor Detail'!N253=0,"",'Sensor Detail'!N253)</f>
        <v/>
      </c>
      <c r="AO251" s="27" t="str">
        <f>IF('Sensor Detail'!O253=0,"",'Sensor Detail'!O253)</f>
        <v/>
      </c>
      <c r="AP251" s="15" t="str">
        <f t="shared" si="58"/>
        <v/>
      </c>
      <c r="AQ251" s="15" t="str">
        <f t="shared" si="59"/>
        <v/>
      </c>
    </row>
    <row r="252" spans="1:43">
      <c r="A252" s="13" t="str">
        <f t="shared" si="45"/>
        <v/>
      </c>
      <c r="B252" s="13" t="str">
        <f t="shared" si="46"/>
        <v/>
      </c>
      <c r="C252" s="15" t="str">
        <f t="shared" si="47"/>
        <v/>
      </c>
      <c r="D252" s="15" t="str">
        <f t="shared" si="48"/>
        <v/>
      </c>
      <c r="E252" s="15" t="str">
        <f t="shared" si="49"/>
        <v/>
      </c>
      <c r="F252" s="15" t="str">
        <f t="shared" si="50"/>
        <v/>
      </c>
      <c r="G252" s="15" t="str">
        <f t="shared" si="51"/>
        <v/>
      </c>
      <c r="H252" s="15" t="str">
        <f t="shared" si="52"/>
        <v/>
      </c>
      <c r="I252" s="15" t="str">
        <f t="shared" si="53"/>
        <v/>
      </c>
      <c r="J252" s="15" t="str">
        <f t="shared" si="54"/>
        <v/>
      </c>
      <c r="K252" s="13" t="str">
        <f>IF('Cylinder Detail'!U254=0,"",'Cylinder Detail'!U254)</f>
        <v/>
      </c>
      <c r="L252" s="13" t="str">
        <f>IF('Cylinder Detail'!Z254=0,"",_xlfn.TEXTBEFORE('Cylinder Detail'!Z254, ","))</f>
        <v/>
      </c>
      <c r="M252" s="13" t="str">
        <f t="shared" si="55"/>
        <v/>
      </c>
      <c r="N252" s="17" t="str">
        <f>IF('Cylinder Detail'!V254=0,"",'Cylinder Detail'!V254)</f>
        <v/>
      </c>
      <c r="O252" s="17" t="str">
        <f>IF('Cylinder Detail'!Z254=0,"",_xlfn.TEXTAFTER('Cylinder Detail'!Z254, ", "))</f>
        <v/>
      </c>
      <c r="P252" s="17" t="str">
        <f>IF('Cylinder Detail'!AA254=0,"",'Cylinder Detail'!AA254)</f>
        <v/>
      </c>
      <c r="Q252" s="19" t="str">
        <f>IF('Cylinder Detail'!W254=0,"",'Cylinder Detail'!W254)</f>
        <v/>
      </c>
      <c r="R252" s="19" t="str">
        <f>IF('Cylinder Detail'!Y254=0,"",'Cylinder Detail'!Y254)</f>
        <v/>
      </c>
      <c r="S252" s="21" t="str">
        <f>IF('Cylinder Detail'!X254=0,"",'Cylinder Detail'!X254)</f>
        <v/>
      </c>
      <c r="T252" s="21" t="str">
        <f>IF('Cylinder Detail'!F254=0,"",'Cylinder Detail'!F254)</f>
        <v/>
      </c>
      <c r="U252" s="21" t="str">
        <f>IF('Cylinder Detail'!R254=0,"",'Cylinder Detail'!R254)</f>
        <v/>
      </c>
      <c r="V252" s="21" t="str">
        <f>IF('Cylinder Detail'!Q254=0,"",'Cylinder Detail'!Q254)</f>
        <v/>
      </c>
      <c r="W252" s="21" t="str">
        <f>IF('Cylinder Detail'!E254=0,"","+" &amp; 'Cylinder Detail'!E254)</f>
        <v/>
      </c>
      <c r="X252" s="21" t="str">
        <f t="shared" si="56"/>
        <v/>
      </c>
      <c r="Y252" s="21" t="str">
        <f>IF('Cylinder Detail'!S254=0,"",'Cylinder Detail'!S254)</f>
        <v/>
      </c>
      <c r="Z252" s="21" t="str">
        <f>IF('Cylinder Detail'!T254=0,"",'Cylinder Detail'!T254)</f>
        <v/>
      </c>
      <c r="AA252" s="21" t="str">
        <f>IF('Cylinder Detail'!H254=0,"",'Cylinder Detail'!H254)</f>
        <v/>
      </c>
      <c r="AB252" s="21" t="str">
        <f>IF('Cylinder Detail'!I254=0,"",'Cylinder Detail'!I254)</f>
        <v/>
      </c>
      <c r="AC252" s="22" t="str">
        <f>IF('Cylinder Detail'!AB254=0,"",'Cylinder Detail'!AB254)</f>
        <v/>
      </c>
      <c r="AD252" s="25" t="str">
        <f>IF('Sensor Detail'!F254=0,"","=" &amp; 'Sensor Detail'!F254)</f>
        <v/>
      </c>
      <c r="AE252" s="25" t="str">
        <f>IF('Sensor Detail'!H254=0,"",'Sensor Detail'!H254)</f>
        <v/>
      </c>
      <c r="AF252" s="27" t="str">
        <f>IF('Sensor Detail'!G254=0,"","-" &amp; 'Sensor Detail'!G254)</f>
        <v/>
      </c>
      <c r="AG252" s="27" t="str">
        <f>IF('Sensor Detail'!I254=0,"",'Sensor Detail'!I254)</f>
        <v/>
      </c>
      <c r="AH252" s="27" t="str">
        <f>IF('Sensor Detail'!E254=0,"","+" &amp; 'Sensor Detail'!E254)</f>
        <v/>
      </c>
      <c r="AI252" s="27" t="str">
        <f t="shared" si="57"/>
        <v/>
      </c>
      <c r="AJ252" s="27" t="str">
        <f>IF('Sensor Detail'!J254=0,"",'Sensor Detail'!J254)</f>
        <v/>
      </c>
      <c r="AK252" s="27" t="str">
        <f>IF('Sensor Detail'!K254=0,"",'Sensor Detail'!K254)</f>
        <v/>
      </c>
      <c r="AL252" s="27" t="str">
        <f>IF('Sensor Detail'!L254=0,"",'Sensor Detail'!L254)</f>
        <v/>
      </c>
      <c r="AM252" s="27" t="str">
        <f>IF('Sensor Detail'!M254=0,"",'Sensor Detail'!M254)</f>
        <v/>
      </c>
      <c r="AN252" s="27" t="str">
        <f>IF('Sensor Detail'!N254=0,"",'Sensor Detail'!N254)</f>
        <v/>
      </c>
      <c r="AO252" s="27" t="str">
        <f>IF('Sensor Detail'!O254=0,"",'Sensor Detail'!O254)</f>
        <v/>
      </c>
      <c r="AP252" s="15" t="str">
        <f t="shared" si="58"/>
        <v/>
      </c>
      <c r="AQ252" s="15" t="str">
        <f t="shared" si="59"/>
        <v/>
      </c>
    </row>
    <row r="253" spans="1:43">
      <c r="A253" s="13" t="str">
        <f t="shared" si="45"/>
        <v/>
      </c>
      <c r="B253" s="13" t="str">
        <f t="shared" si="46"/>
        <v/>
      </c>
      <c r="C253" s="15" t="str">
        <f t="shared" si="47"/>
        <v/>
      </c>
      <c r="D253" s="15" t="str">
        <f t="shared" si="48"/>
        <v/>
      </c>
      <c r="E253" s="15" t="str">
        <f t="shared" si="49"/>
        <v/>
      </c>
      <c r="F253" s="15" t="str">
        <f t="shared" si="50"/>
        <v/>
      </c>
      <c r="G253" s="15" t="str">
        <f t="shared" si="51"/>
        <v/>
      </c>
      <c r="H253" s="15" t="str">
        <f t="shared" si="52"/>
        <v/>
      </c>
      <c r="I253" s="15" t="str">
        <f t="shared" si="53"/>
        <v/>
      </c>
      <c r="J253" s="15" t="str">
        <f t="shared" si="54"/>
        <v/>
      </c>
      <c r="K253" s="13" t="str">
        <f>IF('Cylinder Detail'!U255=0,"",'Cylinder Detail'!U255)</f>
        <v/>
      </c>
      <c r="L253" s="13" t="str">
        <f>IF('Cylinder Detail'!Z255=0,"",_xlfn.TEXTBEFORE('Cylinder Detail'!Z255, ","))</f>
        <v/>
      </c>
      <c r="M253" s="13" t="str">
        <f t="shared" si="55"/>
        <v/>
      </c>
      <c r="N253" s="17" t="str">
        <f>IF('Cylinder Detail'!V255=0,"",'Cylinder Detail'!V255)</f>
        <v/>
      </c>
      <c r="O253" s="17" t="str">
        <f>IF('Cylinder Detail'!Z255=0,"",_xlfn.TEXTAFTER('Cylinder Detail'!Z255, ", "))</f>
        <v/>
      </c>
      <c r="P253" s="17" t="str">
        <f>IF('Cylinder Detail'!AA255=0,"",'Cylinder Detail'!AA255)</f>
        <v/>
      </c>
      <c r="Q253" s="19" t="str">
        <f>IF('Cylinder Detail'!W255=0,"",'Cylinder Detail'!W255)</f>
        <v/>
      </c>
      <c r="R253" s="19" t="str">
        <f>IF('Cylinder Detail'!Y255=0,"",'Cylinder Detail'!Y255)</f>
        <v/>
      </c>
      <c r="S253" s="21" t="str">
        <f>IF('Cylinder Detail'!X255=0,"",'Cylinder Detail'!X255)</f>
        <v/>
      </c>
      <c r="T253" s="21" t="str">
        <f>IF('Cylinder Detail'!F255=0,"",'Cylinder Detail'!F255)</f>
        <v/>
      </c>
      <c r="U253" s="21" t="str">
        <f>IF('Cylinder Detail'!R255=0,"",'Cylinder Detail'!R255)</f>
        <v/>
      </c>
      <c r="V253" s="21" t="str">
        <f>IF('Cylinder Detail'!Q255=0,"",'Cylinder Detail'!Q255)</f>
        <v/>
      </c>
      <c r="W253" s="21" t="str">
        <f>IF('Cylinder Detail'!E255=0,"","+" &amp; 'Cylinder Detail'!E255)</f>
        <v/>
      </c>
      <c r="X253" s="21" t="str">
        <f t="shared" si="56"/>
        <v/>
      </c>
      <c r="Y253" s="21" t="str">
        <f>IF('Cylinder Detail'!S255=0,"",'Cylinder Detail'!S255)</f>
        <v/>
      </c>
      <c r="Z253" s="21" t="str">
        <f>IF('Cylinder Detail'!T255=0,"",'Cylinder Detail'!T255)</f>
        <v/>
      </c>
      <c r="AA253" s="21" t="str">
        <f>IF('Cylinder Detail'!H255=0,"",'Cylinder Detail'!H255)</f>
        <v/>
      </c>
      <c r="AB253" s="21" t="str">
        <f>IF('Cylinder Detail'!I255=0,"",'Cylinder Detail'!I255)</f>
        <v/>
      </c>
      <c r="AC253" s="22" t="str">
        <f>IF('Cylinder Detail'!AB255=0,"",'Cylinder Detail'!AB255)</f>
        <v/>
      </c>
      <c r="AD253" s="25" t="str">
        <f>IF('Sensor Detail'!F255=0,"","=" &amp; 'Sensor Detail'!F255)</f>
        <v/>
      </c>
      <c r="AE253" s="25" t="str">
        <f>IF('Sensor Detail'!H255=0,"",'Sensor Detail'!H255)</f>
        <v/>
      </c>
      <c r="AF253" s="27" t="str">
        <f>IF('Sensor Detail'!G255=0,"","-" &amp; 'Sensor Detail'!G255)</f>
        <v/>
      </c>
      <c r="AG253" s="27" t="str">
        <f>IF('Sensor Detail'!I255=0,"",'Sensor Detail'!I255)</f>
        <v/>
      </c>
      <c r="AH253" s="27" t="str">
        <f>IF('Sensor Detail'!E255=0,"","+" &amp; 'Sensor Detail'!E255)</f>
        <v/>
      </c>
      <c r="AI253" s="27" t="str">
        <f t="shared" si="57"/>
        <v/>
      </c>
      <c r="AJ253" s="27" t="str">
        <f>IF('Sensor Detail'!J255=0,"",'Sensor Detail'!J255)</f>
        <v/>
      </c>
      <c r="AK253" s="27" t="str">
        <f>IF('Sensor Detail'!K255=0,"",'Sensor Detail'!K255)</f>
        <v/>
      </c>
      <c r="AL253" s="27" t="str">
        <f>IF('Sensor Detail'!L255=0,"",'Sensor Detail'!L255)</f>
        <v/>
      </c>
      <c r="AM253" s="27" t="str">
        <f>IF('Sensor Detail'!M255=0,"",'Sensor Detail'!M255)</f>
        <v/>
      </c>
      <c r="AN253" s="27" t="str">
        <f>IF('Sensor Detail'!N255=0,"",'Sensor Detail'!N255)</f>
        <v/>
      </c>
      <c r="AO253" s="27" t="str">
        <f>IF('Sensor Detail'!O255=0,"",'Sensor Detail'!O255)</f>
        <v/>
      </c>
      <c r="AP253" s="15" t="str">
        <f t="shared" si="58"/>
        <v/>
      </c>
      <c r="AQ253" s="15" t="str">
        <f t="shared" si="59"/>
        <v/>
      </c>
    </row>
    <row r="254" spans="1:43">
      <c r="A254" s="13" t="str">
        <f t="shared" si="45"/>
        <v/>
      </c>
      <c r="B254" s="13" t="str">
        <f t="shared" si="46"/>
        <v/>
      </c>
      <c r="C254" s="15" t="str">
        <f t="shared" si="47"/>
        <v/>
      </c>
      <c r="D254" s="15" t="str">
        <f t="shared" si="48"/>
        <v/>
      </c>
      <c r="E254" s="15" t="str">
        <f t="shared" si="49"/>
        <v/>
      </c>
      <c r="F254" s="15" t="str">
        <f t="shared" si="50"/>
        <v/>
      </c>
      <c r="G254" s="15" t="str">
        <f t="shared" si="51"/>
        <v/>
      </c>
      <c r="H254" s="15" t="str">
        <f t="shared" si="52"/>
        <v/>
      </c>
      <c r="I254" s="15" t="str">
        <f t="shared" si="53"/>
        <v/>
      </c>
      <c r="J254" s="15" t="str">
        <f t="shared" si="54"/>
        <v/>
      </c>
      <c r="K254" s="13" t="str">
        <f>IF('Cylinder Detail'!U256=0,"",'Cylinder Detail'!U256)</f>
        <v/>
      </c>
      <c r="L254" s="13" t="str">
        <f>IF('Cylinder Detail'!Z256=0,"",_xlfn.TEXTBEFORE('Cylinder Detail'!Z256, ","))</f>
        <v/>
      </c>
      <c r="M254" s="13" t="str">
        <f t="shared" si="55"/>
        <v/>
      </c>
      <c r="N254" s="17" t="str">
        <f>IF('Cylinder Detail'!V256=0,"",'Cylinder Detail'!V256)</f>
        <v/>
      </c>
      <c r="O254" s="17" t="str">
        <f>IF('Cylinder Detail'!Z256=0,"",_xlfn.TEXTAFTER('Cylinder Detail'!Z256, ", "))</f>
        <v/>
      </c>
      <c r="P254" s="17" t="str">
        <f>IF('Cylinder Detail'!AA256=0,"",'Cylinder Detail'!AA256)</f>
        <v/>
      </c>
      <c r="Q254" s="19" t="str">
        <f>IF('Cylinder Detail'!W256=0,"",'Cylinder Detail'!W256)</f>
        <v/>
      </c>
      <c r="R254" s="19" t="str">
        <f>IF('Cylinder Detail'!Y256=0,"",'Cylinder Detail'!Y256)</f>
        <v/>
      </c>
      <c r="S254" s="21" t="str">
        <f>IF('Cylinder Detail'!X256=0,"",'Cylinder Detail'!X256)</f>
        <v/>
      </c>
      <c r="T254" s="21" t="str">
        <f>IF('Cylinder Detail'!F256=0,"",'Cylinder Detail'!F256)</f>
        <v/>
      </c>
      <c r="U254" s="21" t="str">
        <f>IF('Cylinder Detail'!R256=0,"",'Cylinder Detail'!R256)</f>
        <v/>
      </c>
      <c r="V254" s="21" t="str">
        <f>IF('Cylinder Detail'!Q256=0,"",'Cylinder Detail'!Q256)</f>
        <v/>
      </c>
      <c r="W254" s="21" t="str">
        <f>IF('Cylinder Detail'!E256=0,"","+" &amp; 'Cylinder Detail'!E256)</f>
        <v/>
      </c>
      <c r="X254" s="21" t="str">
        <f t="shared" si="56"/>
        <v/>
      </c>
      <c r="Y254" s="21" t="str">
        <f>IF('Cylinder Detail'!S256=0,"",'Cylinder Detail'!S256)</f>
        <v/>
      </c>
      <c r="Z254" s="21" t="str">
        <f>IF('Cylinder Detail'!T256=0,"",'Cylinder Detail'!T256)</f>
        <v/>
      </c>
      <c r="AA254" s="21" t="str">
        <f>IF('Cylinder Detail'!H256=0,"",'Cylinder Detail'!H256)</f>
        <v/>
      </c>
      <c r="AB254" s="21" t="str">
        <f>IF('Cylinder Detail'!I256=0,"",'Cylinder Detail'!I256)</f>
        <v/>
      </c>
      <c r="AC254" s="22" t="str">
        <f>IF('Cylinder Detail'!AB256=0,"",'Cylinder Detail'!AB256)</f>
        <v/>
      </c>
      <c r="AD254" s="25" t="str">
        <f>IF('Sensor Detail'!F256=0,"","=" &amp; 'Sensor Detail'!F256)</f>
        <v/>
      </c>
      <c r="AE254" s="25" t="str">
        <f>IF('Sensor Detail'!H256=0,"",'Sensor Detail'!H256)</f>
        <v/>
      </c>
      <c r="AF254" s="27" t="str">
        <f>IF('Sensor Detail'!G256=0,"","-" &amp; 'Sensor Detail'!G256)</f>
        <v/>
      </c>
      <c r="AG254" s="27" t="str">
        <f>IF('Sensor Detail'!I256=0,"",'Sensor Detail'!I256)</f>
        <v/>
      </c>
      <c r="AH254" s="27" t="str">
        <f>IF('Sensor Detail'!E256=0,"","+" &amp; 'Sensor Detail'!E256)</f>
        <v/>
      </c>
      <c r="AI254" s="27" t="str">
        <f t="shared" si="57"/>
        <v/>
      </c>
      <c r="AJ254" s="27" t="str">
        <f>IF('Sensor Detail'!J256=0,"",'Sensor Detail'!J256)</f>
        <v/>
      </c>
      <c r="AK254" s="27" t="str">
        <f>IF('Sensor Detail'!K256=0,"",'Sensor Detail'!K256)</f>
        <v/>
      </c>
      <c r="AL254" s="27" t="str">
        <f>IF('Sensor Detail'!L256=0,"",'Sensor Detail'!L256)</f>
        <v/>
      </c>
      <c r="AM254" s="27" t="str">
        <f>IF('Sensor Detail'!M256=0,"",'Sensor Detail'!M256)</f>
        <v/>
      </c>
      <c r="AN254" s="27" t="str">
        <f>IF('Sensor Detail'!N256=0,"",'Sensor Detail'!N256)</f>
        <v/>
      </c>
      <c r="AO254" s="27" t="str">
        <f>IF('Sensor Detail'!O256=0,"",'Sensor Detail'!O256)</f>
        <v/>
      </c>
      <c r="AP254" s="15" t="str">
        <f t="shared" si="58"/>
        <v/>
      </c>
      <c r="AQ254" s="15" t="str">
        <f t="shared" si="59"/>
        <v/>
      </c>
    </row>
    <row r="255" spans="1:43">
      <c r="A255" s="13" t="str">
        <f t="shared" si="45"/>
        <v/>
      </c>
      <c r="B255" s="13" t="str">
        <f t="shared" si="46"/>
        <v/>
      </c>
      <c r="C255" s="15" t="str">
        <f t="shared" si="47"/>
        <v/>
      </c>
      <c r="D255" s="15" t="str">
        <f t="shared" si="48"/>
        <v/>
      </c>
      <c r="E255" s="15" t="str">
        <f t="shared" si="49"/>
        <v/>
      </c>
      <c r="F255" s="15" t="str">
        <f t="shared" si="50"/>
        <v/>
      </c>
      <c r="G255" s="15" t="str">
        <f t="shared" si="51"/>
        <v/>
      </c>
      <c r="H255" s="15" t="str">
        <f t="shared" si="52"/>
        <v/>
      </c>
      <c r="I255" s="15" t="str">
        <f t="shared" si="53"/>
        <v/>
      </c>
      <c r="J255" s="15" t="str">
        <f t="shared" si="54"/>
        <v/>
      </c>
      <c r="K255" s="13" t="str">
        <f>IF('Cylinder Detail'!U257=0,"",'Cylinder Detail'!U257)</f>
        <v/>
      </c>
      <c r="L255" s="13" t="str">
        <f>IF('Cylinder Detail'!Z257=0,"",_xlfn.TEXTBEFORE('Cylinder Detail'!Z257, ","))</f>
        <v/>
      </c>
      <c r="M255" s="13" t="str">
        <f t="shared" si="55"/>
        <v/>
      </c>
      <c r="N255" s="17" t="str">
        <f>IF('Cylinder Detail'!V257=0,"",'Cylinder Detail'!V257)</f>
        <v/>
      </c>
      <c r="O255" s="17" t="str">
        <f>IF('Cylinder Detail'!Z257=0,"",_xlfn.TEXTAFTER('Cylinder Detail'!Z257, ", "))</f>
        <v/>
      </c>
      <c r="P255" s="17" t="str">
        <f>IF('Cylinder Detail'!AA257=0,"",'Cylinder Detail'!AA257)</f>
        <v/>
      </c>
      <c r="Q255" s="19" t="str">
        <f>IF('Cylinder Detail'!W257=0,"",'Cylinder Detail'!W257)</f>
        <v/>
      </c>
      <c r="R255" s="19" t="str">
        <f>IF('Cylinder Detail'!Y257=0,"",'Cylinder Detail'!Y257)</f>
        <v/>
      </c>
      <c r="S255" s="21" t="str">
        <f>IF('Cylinder Detail'!X257=0,"",'Cylinder Detail'!X257)</f>
        <v/>
      </c>
      <c r="T255" s="21" t="str">
        <f>IF('Cylinder Detail'!F257=0,"",'Cylinder Detail'!F257)</f>
        <v/>
      </c>
      <c r="U255" s="21" t="str">
        <f>IF('Cylinder Detail'!R257=0,"",'Cylinder Detail'!R257)</f>
        <v/>
      </c>
      <c r="V255" s="21" t="str">
        <f>IF('Cylinder Detail'!Q257=0,"",'Cylinder Detail'!Q257)</f>
        <v/>
      </c>
      <c r="W255" s="21" t="str">
        <f>IF('Cylinder Detail'!E257=0,"","+" &amp; 'Cylinder Detail'!E257)</f>
        <v/>
      </c>
      <c r="X255" s="21" t="str">
        <f t="shared" si="56"/>
        <v/>
      </c>
      <c r="Y255" s="21" t="str">
        <f>IF('Cylinder Detail'!S257=0,"",'Cylinder Detail'!S257)</f>
        <v/>
      </c>
      <c r="Z255" s="21" t="str">
        <f>IF('Cylinder Detail'!T257=0,"",'Cylinder Detail'!T257)</f>
        <v/>
      </c>
      <c r="AA255" s="21" t="str">
        <f>IF('Cylinder Detail'!H257=0,"",'Cylinder Detail'!H257)</f>
        <v/>
      </c>
      <c r="AB255" s="21" t="str">
        <f>IF('Cylinder Detail'!I257=0,"",'Cylinder Detail'!I257)</f>
        <v/>
      </c>
      <c r="AC255" s="22" t="str">
        <f>IF('Cylinder Detail'!AB257=0,"",'Cylinder Detail'!AB257)</f>
        <v/>
      </c>
      <c r="AD255" s="25" t="str">
        <f>IF('Sensor Detail'!F257=0,"","=" &amp; 'Sensor Detail'!F257)</f>
        <v/>
      </c>
      <c r="AE255" s="25" t="str">
        <f>IF('Sensor Detail'!H257=0,"",'Sensor Detail'!H257)</f>
        <v/>
      </c>
      <c r="AF255" s="27" t="str">
        <f>IF('Sensor Detail'!G257=0,"","-" &amp; 'Sensor Detail'!G257)</f>
        <v/>
      </c>
      <c r="AG255" s="27" t="str">
        <f>IF('Sensor Detail'!I257=0,"",'Sensor Detail'!I257)</f>
        <v/>
      </c>
      <c r="AH255" s="27" t="str">
        <f>IF('Sensor Detail'!E257=0,"","+" &amp; 'Sensor Detail'!E257)</f>
        <v/>
      </c>
      <c r="AI255" s="27" t="str">
        <f t="shared" si="57"/>
        <v/>
      </c>
      <c r="AJ255" s="27" t="str">
        <f>IF('Sensor Detail'!J257=0,"",'Sensor Detail'!J257)</f>
        <v/>
      </c>
      <c r="AK255" s="27" t="str">
        <f>IF('Sensor Detail'!K257=0,"",'Sensor Detail'!K257)</f>
        <v/>
      </c>
      <c r="AL255" s="27" t="str">
        <f>IF('Sensor Detail'!L257=0,"",'Sensor Detail'!L257)</f>
        <v/>
      </c>
      <c r="AM255" s="27" t="str">
        <f>IF('Sensor Detail'!M257=0,"",'Sensor Detail'!M257)</f>
        <v/>
      </c>
      <c r="AN255" s="27" t="str">
        <f>IF('Sensor Detail'!N257=0,"",'Sensor Detail'!N257)</f>
        <v/>
      </c>
      <c r="AO255" s="27" t="str">
        <f>IF('Sensor Detail'!O257=0,"",'Sensor Detail'!O257)</f>
        <v/>
      </c>
      <c r="AP255" s="15" t="str">
        <f t="shared" si="58"/>
        <v/>
      </c>
      <c r="AQ255" s="15" t="str">
        <f t="shared" si="59"/>
        <v/>
      </c>
    </row>
    <row r="256" spans="1:43">
      <c r="A256" s="13" t="str">
        <f t="shared" si="45"/>
        <v/>
      </c>
      <c r="B256" s="13" t="str">
        <f t="shared" si="46"/>
        <v/>
      </c>
      <c r="C256" s="15" t="str">
        <f t="shared" si="47"/>
        <v/>
      </c>
      <c r="D256" s="15" t="str">
        <f t="shared" si="48"/>
        <v/>
      </c>
      <c r="E256" s="15" t="str">
        <f t="shared" si="49"/>
        <v/>
      </c>
      <c r="F256" s="15" t="str">
        <f t="shared" si="50"/>
        <v/>
      </c>
      <c r="G256" s="15" t="str">
        <f t="shared" si="51"/>
        <v/>
      </c>
      <c r="H256" s="15" t="str">
        <f t="shared" si="52"/>
        <v/>
      </c>
      <c r="I256" s="15" t="str">
        <f t="shared" si="53"/>
        <v/>
      </c>
      <c r="J256" s="15" t="str">
        <f t="shared" si="54"/>
        <v/>
      </c>
      <c r="K256" s="13" t="str">
        <f>IF('Cylinder Detail'!U258=0,"",'Cylinder Detail'!U258)</f>
        <v/>
      </c>
      <c r="L256" s="13" t="str">
        <f>IF('Cylinder Detail'!Z258=0,"",_xlfn.TEXTBEFORE('Cylinder Detail'!Z258, ","))</f>
        <v/>
      </c>
      <c r="M256" s="13" t="str">
        <f t="shared" si="55"/>
        <v/>
      </c>
      <c r="N256" s="17" t="str">
        <f>IF('Cylinder Detail'!V258=0,"",'Cylinder Detail'!V258)</f>
        <v/>
      </c>
      <c r="O256" s="17" t="str">
        <f>IF('Cylinder Detail'!Z258=0,"",_xlfn.TEXTAFTER('Cylinder Detail'!Z258, ", "))</f>
        <v/>
      </c>
      <c r="P256" s="17" t="str">
        <f>IF('Cylinder Detail'!AA258=0,"",'Cylinder Detail'!AA258)</f>
        <v/>
      </c>
      <c r="Q256" s="19" t="str">
        <f>IF('Cylinder Detail'!W258=0,"",'Cylinder Detail'!W258)</f>
        <v/>
      </c>
      <c r="R256" s="19" t="str">
        <f>IF('Cylinder Detail'!Y258=0,"",'Cylinder Detail'!Y258)</f>
        <v/>
      </c>
      <c r="S256" s="21" t="str">
        <f>IF('Cylinder Detail'!X258=0,"",'Cylinder Detail'!X258)</f>
        <v/>
      </c>
      <c r="T256" s="21" t="str">
        <f>IF('Cylinder Detail'!F258=0,"",'Cylinder Detail'!F258)</f>
        <v/>
      </c>
      <c r="U256" s="21" t="str">
        <f>IF('Cylinder Detail'!R258=0,"",'Cylinder Detail'!R258)</f>
        <v/>
      </c>
      <c r="V256" s="21" t="str">
        <f>IF('Cylinder Detail'!Q258=0,"",'Cylinder Detail'!Q258)</f>
        <v/>
      </c>
      <c r="W256" s="21" t="str">
        <f>IF('Cylinder Detail'!E258=0,"","+" &amp; 'Cylinder Detail'!E258)</f>
        <v/>
      </c>
      <c r="X256" s="21" t="str">
        <f t="shared" si="56"/>
        <v/>
      </c>
      <c r="Y256" s="21" t="str">
        <f>IF('Cylinder Detail'!S258=0,"",'Cylinder Detail'!S258)</f>
        <v/>
      </c>
      <c r="Z256" s="21" t="str">
        <f>IF('Cylinder Detail'!T258=0,"",'Cylinder Detail'!T258)</f>
        <v/>
      </c>
      <c r="AA256" s="21" t="str">
        <f>IF('Cylinder Detail'!H258=0,"",'Cylinder Detail'!H258)</f>
        <v/>
      </c>
      <c r="AB256" s="21" t="str">
        <f>IF('Cylinder Detail'!I258=0,"",'Cylinder Detail'!I258)</f>
        <v/>
      </c>
      <c r="AC256" s="22" t="str">
        <f>IF('Cylinder Detail'!AB258=0,"",'Cylinder Detail'!AB258)</f>
        <v/>
      </c>
      <c r="AD256" s="25" t="str">
        <f>IF('Sensor Detail'!F258=0,"","=" &amp; 'Sensor Detail'!F258)</f>
        <v/>
      </c>
      <c r="AE256" s="25" t="str">
        <f>IF('Sensor Detail'!H258=0,"",'Sensor Detail'!H258)</f>
        <v/>
      </c>
      <c r="AF256" s="27" t="str">
        <f>IF('Sensor Detail'!G258=0,"","-" &amp; 'Sensor Detail'!G258)</f>
        <v/>
      </c>
      <c r="AG256" s="27" t="str">
        <f>IF('Sensor Detail'!I258=0,"",'Sensor Detail'!I258)</f>
        <v/>
      </c>
      <c r="AH256" s="27" t="str">
        <f>IF('Sensor Detail'!E258=0,"","+" &amp; 'Sensor Detail'!E258)</f>
        <v/>
      </c>
      <c r="AI256" s="27" t="str">
        <f t="shared" si="57"/>
        <v/>
      </c>
      <c r="AJ256" s="27" t="str">
        <f>IF('Sensor Detail'!J258=0,"",'Sensor Detail'!J258)</f>
        <v/>
      </c>
      <c r="AK256" s="27" t="str">
        <f>IF('Sensor Detail'!K258=0,"",'Sensor Detail'!K258)</f>
        <v/>
      </c>
      <c r="AL256" s="27" t="str">
        <f>IF('Sensor Detail'!L258=0,"",'Sensor Detail'!L258)</f>
        <v/>
      </c>
      <c r="AM256" s="27" t="str">
        <f>IF('Sensor Detail'!M258=0,"",'Sensor Detail'!M258)</f>
        <v/>
      </c>
      <c r="AN256" s="27" t="str">
        <f>IF('Sensor Detail'!N258=0,"",'Sensor Detail'!N258)</f>
        <v/>
      </c>
      <c r="AO256" s="27" t="str">
        <f>IF('Sensor Detail'!O258=0,"",'Sensor Detail'!O258)</f>
        <v/>
      </c>
      <c r="AP256" s="15" t="str">
        <f t="shared" si="58"/>
        <v/>
      </c>
      <c r="AQ256" s="15" t="str">
        <f t="shared" si="59"/>
        <v/>
      </c>
    </row>
    <row r="257" spans="1:43">
      <c r="A257" s="13" t="str">
        <f t="shared" si="45"/>
        <v/>
      </c>
      <c r="B257" s="13" t="str">
        <f t="shared" si="46"/>
        <v/>
      </c>
      <c r="C257" s="15" t="str">
        <f t="shared" si="47"/>
        <v/>
      </c>
      <c r="D257" s="15" t="str">
        <f t="shared" si="48"/>
        <v/>
      </c>
      <c r="E257" s="15" t="str">
        <f t="shared" si="49"/>
        <v/>
      </c>
      <c r="F257" s="15" t="str">
        <f t="shared" si="50"/>
        <v/>
      </c>
      <c r="G257" s="15" t="str">
        <f t="shared" si="51"/>
        <v/>
      </c>
      <c r="H257" s="15" t="str">
        <f t="shared" si="52"/>
        <v/>
      </c>
      <c r="I257" s="15" t="str">
        <f t="shared" si="53"/>
        <v/>
      </c>
      <c r="J257" s="15" t="str">
        <f t="shared" si="54"/>
        <v/>
      </c>
      <c r="K257" s="13" t="str">
        <f>IF('Cylinder Detail'!U259=0,"",'Cylinder Detail'!U259)</f>
        <v/>
      </c>
      <c r="L257" s="13" t="str">
        <f>IF('Cylinder Detail'!Z259=0,"",_xlfn.TEXTBEFORE('Cylinder Detail'!Z259, ","))</f>
        <v/>
      </c>
      <c r="M257" s="13" t="str">
        <f t="shared" si="55"/>
        <v/>
      </c>
      <c r="N257" s="17" t="str">
        <f>IF('Cylinder Detail'!V259=0,"",'Cylinder Detail'!V259)</f>
        <v/>
      </c>
      <c r="O257" s="17" t="str">
        <f>IF('Cylinder Detail'!Z259=0,"",_xlfn.TEXTAFTER('Cylinder Detail'!Z259, ", "))</f>
        <v/>
      </c>
      <c r="P257" s="17" t="str">
        <f>IF('Cylinder Detail'!AA259=0,"",'Cylinder Detail'!AA259)</f>
        <v/>
      </c>
      <c r="Q257" s="19" t="str">
        <f>IF('Cylinder Detail'!W259=0,"",'Cylinder Detail'!W259)</f>
        <v/>
      </c>
      <c r="R257" s="19" t="str">
        <f>IF('Cylinder Detail'!Y259=0,"",'Cylinder Detail'!Y259)</f>
        <v/>
      </c>
      <c r="S257" s="21" t="str">
        <f>IF('Cylinder Detail'!X259=0,"",'Cylinder Detail'!X259)</f>
        <v/>
      </c>
      <c r="T257" s="21" t="str">
        <f>IF('Cylinder Detail'!F259=0,"",'Cylinder Detail'!F259)</f>
        <v/>
      </c>
      <c r="U257" s="21" t="str">
        <f>IF('Cylinder Detail'!R259=0,"",'Cylinder Detail'!R259)</f>
        <v/>
      </c>
      <c r="V257" s="21" t="str">
        <f>IF('Cylinder Detail'!Q259=0,"",'Cylinder Detail'!Q259)</f>
        <v/>
      </c>
      <c r="W257" s="21" t="str">
        <f>IF('Cylinder Detail'!E259=0,"","+" &amp; 'Cylinder Detail'!E259)</f>
        <v/>
      </c>
      <c r="X257" s="21" t="str">
        <f t="shared" si="56"/>
        <v/>
      </c>
      <c r="Y257" s="21" t="str">
        <f>IF('Cylinder Detail'!S259=0,"",'Cylinder Detail'!S259)</f>
        <v/>
      </c>
      <c r="Z257" s="21" t="str">
        <f>IF('Cylinder Detail'!T259=0,"",'Cylinder Detail'!T259)</f>
        <v/>
      </c>
      <c r="AA257" s="21" t="str">
        <f>IF('Cylinder Detail'!H259=0,"",'Cylinder Detail'!H259)</f>
        <v/>
      </c>
      <c r="AB257" s="21" t="str">
        <f>IF('Cylinder Detail'!I259=0,"",'Cylinder Detail'!I259)</f>
        <v/>
      </c>
      <c r="AC257" s="22" t="str">
        <f>IF('Cylinder Detail'!AB259=0,"",'Cylinder Detail'!AB259)</f>
        <v/>
      </c>
      <c r="AD257" s="25" t="str">
        <f>IF('Sensor Detail'!F259=0,"","=" &amp; 'Sensor Detail'!F259)</f>
        <v/>
      </c>
      <c r="AE257" s="25" t="str">
        <f>IF('Sensor Detail'!H259=0,"",'Sensor Detail'!H259)</f>
        <v/>
      </c>
      <c r="AF257" s="27" t="str">
        <f>IF('Sensor Detail'!G259=0,"","-" &amp; 'Sensor Detail'!G259)</f>
        <v/>
      </c>
      <c r="AG257" s="27" t="str">
        <f>IF('Sensor Detail'!I259=0,"",'Sensor Detail'!I259)</f>
        <v/>
      </c>
      <c r="AH257" s="27" t="str">
        <f>IF('Sensor Detail'!E259=0,"","+" &amp; 'Sensor Detail'!E259)</f>
        <v/>
      </c>
      <c r="AI257" s="27" t="str">
        <f t="shared" si="57"/>
        <v/>
      </c>
      <c r="AJ257" s="27" t="str">
        <f>IF('Sensor Detail'!J259=0,"",'Sensor Detail'!J259)</f>
        <v/>
      </c>
      <c r="AK257" s="27" t="str">
        <f>IF('Sensor Detail'!K259=0,"",'Sensor Detail'!K259)</f>
        <v/>
      </c>
      <c r="AL257" s="27" t="str">
        <f>IF('Sensor Detail'!L259=0,"",'Sensor Detail'!L259)</f>
        <v/>
      </c>
      <c r="AM257" s="27" t="str">
        <f>IF('Sensor Detail'!M259=0,"",'Sensor Detail'!M259)</f>
        <v/>
      </c>
      <c r="AN257" s="27" t="str">
        <f>IF('Sensor Detail'!N259=0,"",'Sensor Detail'!N259)</f>
        <v/>
      </c>
      <c r="AO257" s="27" t="str">
        <f>IF('Sensor Detail'!O259=0,"",'Sensor Detail'!O259)</f>
        <v/>
      </c>
      <c r="AP257" s="15" t="str">
        <f t="shared" si="58"/>
        <v/>
      </c>
      <c r="AQ257" s="15" t="str">
        <f t="shared" si="59"/>
        <v/>
      </c>
    </row>
    <row r="258" spans="1:43">
      <c r="A258" s="13" t="str">
        <f t="shared" si="45"/>
        <v/>
      </c>
      <c r="B258" s="13" t="str">
        <f t="shared" si="46"/>
        <v/>
      </c>
      <c r="C258" s="15" t="str">
        <f t="shared" si="47"/>
        <v/>
      </c>
      <c r="D258" s="15" t="str">
        <f t="shared" si="48"/>
        <v/>
      </c>
      <c r="E258" s="15" t="str">
        <f t="shared" si="49"/>
        <v/>
      </c>
      <c r="F258" s="15" t="str">
        <f t="shared" si="50"/>
        <v/>
      </c>
      <c r="G258" s="15" t="str">
        <f t="shared" si="51"/>
        <v/>
      </c>
      <c r="H258" s="15" t="str">
        <f t="shared" si="52"/>
        <v/>
      </c>
      <c r="I258" s="15" t="str">
        <f t="shared" si="53"/>
        <v/>
      </c>
      <c r="J258" s="15" t="str">
        <f t="shared" si="54"/>
        <v/>
      </c>
      <c r="K258" s="13" t="str">
        <f>IF('Cylinder Detail'!U260=0,"",'Cylinder Detail'!U260)</f>
        <v/>
      </c>
      <c r="L258" s="13" t="str">
        <f>IF('Cylinder Detail'!Z260=0,"",_xlfn.TEXTBEFORE('Cylinder Detail'!Z260, ","))</f>
        <v/>
      </c>
      <c r="M258" s="13" t="str">
        <f t="shared" si="55"/>
        <v/>
      </c>
      <c r="N258" s="17" t="str">
        <f>IF('Cylinder Detail'!V260=0,"",'Cylinder Detail'!V260)</f>
        <v/>
      </c>
      <c r="O258" s="17" t="str">
        <f>IF('Cylinder Detail'!Z260=0,"",_xlfn.TEXTAFTER('Cylinder Detail'!Z260, ", "))</f>
        <v/>
      </c>
      <c r="P258" s="17" t="str">
        <f>IF('Cylinder Detail'!AA260=0,"",'Cylinder Detail'!AA260)</f>
        <v/>
      </c>
      <c r="Q258" s="19" t="str">
        <f>IF('Cylinder Detail'!W260=0,"",'Cylinder Detail'!W260)</f>
        <v/>
      </c>
      <c r="R258" s="19" t="str">
        <f>IF('Cylinder Detail'!Y260=0,"",'Cylinder Detail'!Y260)</f>
        <v/>
      </c>
      <c r="S258" s="21" t="str">
        <f>IF('Cylinder Detail'!X260=0,"",'Cylinder Detail'!X260)</f>
        <v/>
      </c>
      <c r="T258" s="21" t="str">
        <f>IF('Cylinder Detail'!F260=0,"",'Cylinder Detail'!F260)</f>
        <v/>
      </c>
      <c r="U258" s="21" t="str">
        <f>IF('Cylinder Detail'!R260=0,"",'Cylinder Detail'!R260)</f>
        <v/>
      </c>
      <c r="V258" s="21" t="str">
        <f>IF('Cylinder Detail'!Q260=0,"",'Cylinder Detail'!Q260)</f>
        <v/>
      </c>
      <c r="W258" s="21" t="str">
        <f>IF('Cylinder Detail'!E260=0,"","+" &amp; 'Cylinder Detail'!E260)</f>
        <v/>
      </c>
      <c r="X258" s="21" t="str">
        <f t="shared" si="56"/>
        <v/>
      </c>
      <c r="Y258" s="21" t="str">
        <f>IF('Cylinder Detail'!S260=0,"",'Cylinder Detail'!S260)</f>
        <v/>
      </c>
      <c r="Z258" s="21" t="str">
        <f>IF('Cylinder Detail'!T260=0,"",'Cylinder Detail'!T260)</f>
        <v/>
      </c>
      <c r="AA258" s="21" t="str">
        <f>IF('Cylinder Detail'!H260=0,"",'Cylinder Detail'!H260)</f>
        <v/>
      </c>
      <c r="AB258" s="21" t="str">
        <f>IF('Cylinder Detail'!I260=0,"",'Cylinder Detail'!I260)</f>
        <v/>
      </c>
      <c r="AC258" s="22" t="str">
        <f>IF('Cylinder Detail'!AB260=0,"",'Cylinder Detail'!AB260)</f>
        <v/>
      </c>
      <c r="AD258" s="25" t="str">
        <f>IF('Sensor Detail'!F260=0,"","=" &amp; 'Sensor Detail'!F260)</f>
        <v/>
      </c>
      <c r="AE258" s="25" t="str">
        <f>IF('Sensor Detail'!H260=0,"",'Sensor Detail'!H260)</f>
        <v/>
      </c>
      <c r="AF258" s="27" t="str">
        <f>IF('Sensor Detail'!G260=0,"","-" &amp; 'Sensor Detail'!G260)</f>
        <v/>
      </c>
      <c r="AG258" s="27" t="str">
        <f>IF('Sensor Detail'!I260=0,"",'Sensor Detail'!I260)</f>
        <v/>
      </c>
      <c r="AH258" s="27" t="str">
        <f>IF('Sensor Detail'!E260=0,"","+" &amp; 'Sensor Detail'!E260)</f>
        <v/>
      </c>
      <c r="AI258" s="27" t="str">
        <f t="shared" si="57"/>
        <v/>
      </c>
      <c r="AJ258" s="27" t="str">
        <f>IF('Sensor Detail'!J260=0,"",'Sensor Detail'!J260)</f>
        <v/>
      </c>
      <c r="AK258" s="27" t="str">
        <f>IF('Sensor Detail'!K260=0,"",'Sensor Detail'!K260)</f>
        <v/>
      </c>
      <c r="AL258" s="27" t="str">
        <f>IF('Sensor Detail'!L260=0,"",'Sensor Detail'!L260)</f>
        <v/>
      </c>
      <c r="AM258" s="27" t="str">
        <f>IF('Sensor Detail'!M260=0,"",'Sensor Detail'!M260)</f>
        <v/>
      </c>
      <c r="AN258" s="27" t="str">
        <f>IF('Sensor Detail'!N260=0,"",'Sensor Detail'!N260)</f>
        <v/>
      </c>
      <c r="AO258" s="27" t="str">
        <f>IF('Sensor Detail'!O260=0,"",'Sensor Detail'!O260)</f>
        <v/>
      </c>
      <c r="AP258" s="15" t="str">
        <f t="shared" si="58"/>
        <v/>
      </c>
      <c r="AQ258" s="15" t="str">
        <f t="shared" si="59"/>
        <v/>
      </c>
    </row>
    <row r="259" spans="1:43">
      <c r="A259" s="13" t="str">
        <f t="shared" ref="A259:A322" si="60">IF(K259 = "","",Integrator)</f>
        <v/>
      </c>
      <c r="B259" s="13" t="str">
        <f t="shared" ref="B259:B322" si="61">IF(K259 = "","",IntegratorResponsibleEngineer)</f>
        <v/>
      </c>
      <c r="C259" s="15" t="str">
        <f t="shared" ref="C259:C322" si="62">IF(K259 = "","","++" &amp; Shop)</f>
        <v/>
      </c>
      <c r="D259" s="15" t="str">
        <f t="shared" ref="D259:D322" si="63">IF(K259 = "","","++" &amp; Line)</f>
        <v/>
      </c>
      <c r="E259" s="15" t="str">
        <f t="shared" ref="E259:E322" si="64">IF(K259 = "","",LineDescription)</f>
        <v/>
      </c>
      <c r="F259" s="15" t="str">
        <f t="shared" ref="F259:F322" si="65">IF(K259 = "","","+" &amp; Station)</f>
        <v/>
      </c>
      <c r="G259" s="15" t="str">
        <f t="shared" ref="G259:G322" si="66">IF(K259 = "","",StationDescription)</f>
        <v/>
      </c>
      <c r="H259" s="15" t="str">
        <f t="shared" ref="H259:H322" si="67">IF(K259 = "","",IF(System = "", "", "+" &amp; System) &amp; IF(Tool = "", "", "+" &amp; Tool))</f>
        <v/>
      </c>
      <c r="I259" s="15" t="str">
        <f t="shared" ref="I259:I322" si="68">IF(K259 = "","",ToolDescription)</f>
        <v/>
      </c>
      <c r="J259" s="15" t="str">
        <f t="shared" ref="J259:J322" si="69">IF(K259 = "","",ToolType)</f>
        <v/>
      </c>
      <c r="K259" s="13" t="str">
        <f>IF('Cylinder Detail'!U261=0,"",'Cylinder Detail'!U261)</f>
        <v/>
      </c>
      <c r="L259" s="13" t="str">
        <f>IF('Cylinder Detail'!Z261=0,"",_xlfn.TEXTBEFORE('Cylinder Detail'!Z261, ","))</f>
        <v/>
      </c>
      <c r="M259" s="13" t="str">
        <f t="shared" ref="M259:M322" si="70">IF(K259 = "","",ManifoldConnection)</f>
        <v/>
      </c>
      <c r="N259" s="17" t="str">
        <f>IF('Cylinder Detail'!V261=0,"",'Cylinder Detail'!V261)</f>
        <v/>
      </c>
      <c r="O259" s="17" t="str">
        <f>IF('Cylinder Detail'!Z261=0,"",_xlfn.TEXTAFTER('Cylinder Detail'!Z261, ", "))</f>
        <v/>
      </c>
      <c r="P259" s="17" t="str">
        <f>IF('Cylinder Detail'!AA261=0,"",'Cylinder Detail'!AA261)</f>
        <v/>
      </c>
      <c r="Q259" s="19" t="str">
        <f>IF('Cylinder Detail'!W261=0,"",'Cylinder Detail'!W261)</f>
        <v/>
      </c>
      <c r="R259" s="19" t="str">
        <f>IF('Cylinder Detail'!Y261=0,"",'Cylinder Detail'!Y261)</f>
        <v/>
      </c>
      <c r="S259" s="21" t="str">
        <f>IF('Cylinder Detail'!X261=0,"",'Cylinder Detail'!X261)</f>
        <v/>
      </c>
      <c r="T259" s="21" t="str">
        <f>IF('Cylinder Detail'!F261=0,"",'Cylinder Detail'!F261)</f>
        <v/>
      </c>
      <c r="U259" s="21" t="str">
        <f>IF('Cylinder Detail'!R261=0,"",'Cylinder Detail'!R261)</f>
        <v/>
      </c>
      <c r="V259" s="21" t="str">
        <f>IF('Cylinder Detail'!Q261=0,"",'Cylinder Detail'!Q261)</f>
        <v/>
      </c>
      <c r="W259" s="21" t="str">
        <f>IF('Cylinder Detail'!E261=0,"","+" &amp; 'Cylinder Detail'!E261)</f>
        <v/>
      </c>
      <c r="X259" s="21" t="str">
        <f t="shared" ref="X259:X322" si="71">IF(W259 = "", "","Unit ") &amp;W259</f>
        <v/>
      </c>
      <c r="Y259" s="21" t="str">
        <f>IF('Cylinder Detail'!S261=0,"",'Cylinder Detail'!S261)</f>
        <v/>
      </c>
      <c r="Z259" s="21" t="str">
        <f>IF('Cylinder Detail'!T261=0,"",'Cylinder Detail'!T261)</f>
        <v/>
      </c>
      <c r="AA259" s="21" t="str">
        <f>IF('Cylinder Detail'!H261=0,"",'Cylinder Detail'!H261)</f>
        <v/>
      </c>
      <c r="AB259" s="21" t="str">
        <f>IF('Cylinder Detail'!I261=0,"",'Cylinder Detail'!I261)</f>
        <v/>
      </c>
      <c r="AC259" s="22" t="str">
        <f>IF('Cylinder Detail'!AB261=0,"",'Cylinder Detail'!AB261)</f>
        <v/>
      </c>
      <c r="AD259" s="25" t="str">
        <f>IF('Sensor Detail'!F261=0,"","=" &amp; 'Sensor Detail'!F261)</f>
        <v/>
      </c>
      <c r="AE259" s="25" t="str">
        <f>IF('Sensor Detail'!H261=0,"",'Sensor Detail'!H261)</f>
        <v/>
      </c>
      <c r="AF259" s="27" t="str">
        <f>IF('Sensor Detail'!G261=0,"","-" &amp; 'Sensor Detail'!G261)</f>
        <v/>
      </c>
      <c r="AG259" s="27" t="str">
        <f>IF('Sensor Detail'!I261=0,"",'Sensor Detail'!I261)</f>
        <v/>
      </c>
      <c r="AH259" s="27" t="str">
        <f>IF('Sensor Detail'!E261=0,"","+" &amp; 'Sensor Detail'!E261)</f>
        <v/>
      </c>
      <c r="AI259" s="27" t="str">
        <f t="shared" ref="AI259:AI322" si="72">IF(AH259 = "", "","Unit ") &amp;AH259</f>
        <v/>
      </c>
      <c r="AJ259" s="27" t="str">
        <f>IF('Sensor Detail'!J261=0,"",'Sensor Detail'!J261)</f>
        <v/>
      </c>
      <c r="AK259" s="27" t="str">
        <f>IF('Sensor Detail'!K261=0,"",'Sensor Detail'!K261)</f>
        <v/>
      </c>
      <c r="AL259" s="27" t="str">
        <f>IF('Sensor Detail'!L261=0,"",'Sensor Detail'!L261)</f>
        <v/>
      </c>
      <c r="AM259" s="27" t="str">
        <f>IF('Sensor Detail'!M261=0,"",'Sensor Detail'!M261)</f>
        <v/>
      </c>
      <c r="AN259" s="27" t="str">
        <f>IF('Sensor Detail'!N261=0,"",'Sensor Detail'!N261)</f>
        <v/>
      </c>
      <c r="AO259" s="27" t="str">
        <f>IF('Sensor Detail'!O261=0,"",'Sensor Detail'!O261)</f>
        <v/>
      </c>
      <c r="AP259" s="15" t="str">
        <f t="shared" ref="AP259:AP322" si="73">IF(K259 = "","",System)</f>
        <v/>
      </c>
      <c r="AQ259" s="15" t="str">
        <f t="shared" ref="AQ259:AQ322" si="74">IF(K259 = "","",SystemDescription)</f>
        <v/>
      </c>
    </row>
    <row r="260" spans="1:43">
      <c r="A260" s="13" t="str">
        <f t="shared" si="60"/>
        <v/>
      </c>
      <c r="B260" s="13" t="str">
        <f t="shared" si="61"/>
        <v/>
      </c>
      <c r="C260" s="15" t="str">
        <f t="shared" si="62"/>
        <v/>
      </c>
      <c r="D260" s="15" t="str">
        <f t="shared" si="63"/>
        <v/>
      </c>
      <c r="E260" s="15" t="str">
        <f t="shared" si="64"/>
        <v/>
      </c>
      <c r="F260" s="15" t="str">
        <f t="shared" si="65"/>
        <v/>
      </c>
      <c r="G260" s="15" t="str">
        <f t="shared" si="66"/>
        <v/>
      </c>
      <c r="H260" s="15" t="str">
        <f t="shared" si="67"/>
        <v/>
      </c>
      <c r="I260" s="15" t="str">
        <f t="shared" si="68"/>
        <v/>
      </c>
      <c r="J260" s="15" t="str">
        <f t="shared" si="69"/>
        <v/>
      </c>
      <c r="K260" s="13" t="str">
        <f>IF('Cylinder Detail'!U262=0,"",'Cylinder Detail'!U262)</f>
        <v/>
      </c>
      <c r="L260" s="13" t="str">
        <f>IF('Cylinder Detail'!Z262=0,"",_xlfn.TEXTBEFORE('Cylinder Detail'!Z262, ","))</f>
        <v/>
      </c>
      <c r="M260" s="13" t="str">
        <f t="shared" si="70"/>
        <v/>
      </c>
      <c r="N260" s="17" t="str">
        <f>IF('Cylinder Detail'!V262=0,"",'Cylinder Detail'!V262)</f>
        <v/>
      </c>
      <c r="O260" s="17" t="str">
        <f>IF('Cylinder Detail'!Z262=0,"",_xlfn.TEXTAFTER('Cylinder Detail'!Z262, ", "))</f>
        <v/>
      </c>
      <c r="P260" s="17" t="str">
        <f>IF('Cylinder Detail'!AA262=0,"",'Cylinder Detail'!AA262)</f>
        <v/>
      </c>
      <c r="Q260" s="19" t="str">
        <f>IF('Cylinder Detail'!W262=0,"",'Cylinder Detail'!W262)</f>
        <v/>
      </c>
      <c r="R260" s="19" t="str">
        <f>IF('Cylinder Detail'!Y262=0,"",'Cylinder Detail'!Y262)</f>
        <v/>
      </c>
      <c r="S260" s="21" t="str">
        <f>IF('Cylinder Detail'!X262=0,"",'Cylinder Detail'!X262)</f>
        <v/>
      </c>
      <c r="T260" s="21" t="str">
        <f>IF('Cylinder Detail'!F262=0,"",'Cylinder Detail'!F262)</f>
        <v/>
      </c>
      <c r="U260" s="21" t="str">
        <f>IF('Cylinder Detail'!R262=0,"",'Cylinder Detail'!R262)</f>
        <v/>
      </c>
      <c r="V260" s="21" t="str">
        <f>IF('Cylinder Detail'!Q262=0,"",'Cylinder Detail'!Q262)</f>
        <v/>
      </c>
      <c r="W260" s="21" t="str">
        <f>IF('Cylinder Detail'!E262=0,"","+" &amp; 'Cylinder Detail'!E262)</f>
        <v/>
      </c>
      <c r="X260" s="21" t="str">
        <f t="shared" si="71"/>
        <v/>
      </c>
      <c r="Y260" s="21" t="str">
        <f>IF('Cylinder Detail'!S262=0,"",'Cylinder Detail'!S262)</f>
        <v/>
      </c>
      <c r="Z260" s="21" t="str">
        <f>IF('Cylinder Detail'!T262=0,"",'Cylinder Detail'!T262)</f>
        <v/>
      </c>
      <c r="AA260" s="21" t="str">
        <f>IF('Cylinder Detail'!H262=0,"",'Cylinder Detail'!H262)</f>
        <v/>
      </c>
      <c r="AB260" s="21" t="str">
        <f>IF('Cylinder Detail'!I262=0,"",'Cylinder Detail'!I262)</f>
        <v/>
      </c>
      <c r="AC260" s="22" t="str">
        <f>IF('Cylinder Detail'!AB262=0,"",'Cylinder Detail'!AB262)</f>
        <v/>
      </c>
      <c r="AD260" s="25" t="str">
        <f>IF('Sensor Detail'!F262=0,"","=" &amp; 'Sensor Detail'!F262)</f>
        <v/>
      </c>
      <c r="AE260" s="25" t="str">
        <f>IF('Sensor Detail'!H262=0,"",'Sensor Detail'!H262)</f>
        <v/>
      </c>
      <c r="AF260" s="27" t="str">
        <f>IF('Sensor Detail'!G262=0,"","-" &amp; 'Sensor Detail'!G262)</f>
        <v/>
      </c>
      <c r="AG260" s="27" t="str">
        <f>IF('Sensor Detail'!I262=0,"",'Sensor Detail'!I262)</f>
        <v/>
      </c>
      <c r="AH260" s="27" t="str">
        <f>IF('Sensor Detail'!E262=0,"","+" &amp; 'Sensor Detail'!E262)</f>
        <v/>
      </c>
      <c r="AI260" s="27" t="str">
        <f t="shared" si="72"/>
        <v/>
      </c>
      <c r="AJ260" s="27" t="str">
        <f>IF('Sensor Detail'!J262=0,"",'Sensor Detail'!J262)</f>
        <v/>
      </c>
      <c r="AK260" s="27" t="str">
        <f>IF('Sensor Detail'!K262=0,"",'Sensor Detail'!K262)</f>
        <v/>
      </c>
      <c r="AL260" s="27" t="str">
        <f>IF('Sensor Detail'!L262=0,"",'Sensor Detail'!L262)</f>
        <v/>
      </c>
      <c r="AM260" s="27" t="str">
        <f>IF('Sensor Detail'!M262=0,"",'Sensor Detail'!M262)</f>
        <v/>
      </c>
      <c r="AN260" s="27" t="str">
        <f>IF('Sensor Detail'!N262=0,"",'Sensor Detail'!N262)</f>
        <v/>
      </c>
      <c r="AO260" s="27" t="str">
        <f>IF('Sensor Detail'!O262=0,"",'Sensor Detail'!O262)</f>
        <v/>
      </c>
      <c r="AP260" s="15" t="str">
        <f t="shared" si="73"/>
        <v/>
      </c>
      <c r="AQ260" s="15" t="str">
        <f t="shared" si="74"/>
        <v/>
      </c>
    </row>
    <row r="261" spans="1:43">
      <c r="A261" s="13" t="str">
        <f t="shared" si="60"/>
        <v/>
      </c>
      <c r="B261" s="13" t="str">
        <f t="shared" si="61"/>
        <v/>
      </c>
      <c r="C261" s="15" t="str">
        <f t="shared" si="62"/>
        <v/>
      </c>
      <c r="D261" s="15" t="str">
        <f t="shared" si="63"/>
        <v/>
      </c>
      <c r="E261" s="15" t="str">
        <f t="shared" si="64"/>
        <v/>
      </c>
      <c r="F261" s="15" t="str">
        <f t="shared" si="65"/>
        <v/>
      </c>
      <c r="G261" s="15" t="str">
        <f t="shared" si="66"/>
        <v/>
      </c>
      <c r="H261" s="15" t="str">
        <f t="shared" si="67"/>
        <v/>
      </c>
      <c r="I261" s="15" t="str">
        <f t="shared" si="68"/>
        <v/>
      </c>
      <c r="J261" s="15" t="str">
        <f t="shared" si="69"/>
        <v/>
      </c>
      <c r="K261" s="13" t="str">
        <f>IF('Cylinder Detail'!U263=0,"",'Cylinder Detail'!U263)</f>
        <v/>
      </c>
      <c r="L261" s="13" t="str">
        <f>IF('Cylinder Detail'!Z263=0,"",_xlfn.TEXTBEFORE('Cylinder Detail'!Z263, ","))</f>
        <v/>
      </c>
      <c r="M261" s="13" t="str">
        <f t="shared" si="70"/>
        <v/>
      </c>
      <c r="N261" s="17" t="str">
        <f>IF('Cylinder Detail'!V263=0,"",'Cylinder Detail'!V263)</f>
        <v/>
      </c>
      <c r="O261" s="17" t="str">
        <f>IF('Cylinder Detail'!Z263=0,"",_xlfn.TEXTAFTER('Cylinder Detail'!Z263, ", "))</f>
        <v/>
      </c>
      <c r="P261" s="17" t="str">
        <f>IF('Cylinder Detail'!AA263=0,"",'Cylinder Detail'!AA263)</f>
        <v/>
      </c>
      <c r="Q261" s="19" t="str">
        <f>IF('Cylinder Detail'!W263=0,"",'Cylinder Detail'!W263)</f>
        <v/>
      </c>
      <c r="R261" s="19" t="str">
        <f>IF('Cylinder Detail'!Y263=0,"",'Cylinder Detail'!Y263)</f>
        <v/>
      </c>
      <c r="S261" s="21" t="str">
        <f>IF('Cylinder Detail'!X263=0,"",'Cylinder Detail'!X263)</f>
        <v/>
      </c>
      <c r="T261" s="21" t="str">
        <f>IF('Cylinder Detail'!F263=0,"",'Cylinder Detail'!F263)</f>
        <v/>
      </c>
      <c r="U261" s="21" t="str">
        <f>IF('Cylinder Detail'!R263=0,"",'Cylinder Detail'!R263)</f>
        <v/>
      </c>
      <c r="V261" s="21" t="str">
        <f>IF('Cylinder Detail'!Q263=0,"",'Cylinder Detail'!Q263)</f>
        <v/>
      </c>
      <c r="W261" s="21" t="str">
        <f>IF('Cylinder Detail'!E263=0,"","+" &amp; 'Cylinder Detail'!E263)</f>
        <v/>
      </c>
      <c r="X261" s="21" t="str">
        <f t="shared" si="71"/>
        <v/>
      </c>
      <c r="Y261" s="21" t="str">
        <f>IF('Cylinder Detail'!S263=0,"",'Cylinder Detail'!S263)</f>
        <v/>
      </c>
      <c r="Z261" s="21" t="str">
        <f>IF('Cylinder Detail'!T263=0,"",'Cylinder Detail'!T263)</f>
        <v/>
      </c>
      <c r="AA261" s="21" t="str">
        <f>IF('Cylinder Detail'!H263=0,"",'Cylinder Detail'!H263)</f>
        <v/>
      </c>
      <c r="AB261" s="21" t="str">
        <f>IF('Cylinder Detail'!I263=0,"",'Cylinder Detail'!I263)</f>
        <v/>
      </c>
      <c r="AC261" s="22" t="str">
        <f>IF('Cylinder Detail'!AB263=0,"",'Cylinder Detail'!AB263)</f>
        <v/>
      </c>
      <c r="AD261" s="25" t="str">
        <f>IF('Sensor Detail'!F263=0,"","=" &amp; 'Sensor Detail'!F263)</f>
        <v/>
      </c>
      <c r="AE261" s="25" t="str">
        <f>IF('Sensor Detail'!H263=0,"",'Sensor Detail'!H263)</f>
        <v/>
      </c>
      <c r="AF261" s="27" t="str">
        <f>IF('Sensor Detail'!G263=0,"","-" &amp; 'Sensor Detail'!G263)</f>
        <v/>
      </c>
      <c r="AG261" s="27" t="str">
        <f>IF('Sensor Detail'!I263=0,"",'Sensor Detail'!I263)</f>
        <v/>
      </c>
      <c r="AH261" s="27" t="str">
        <f>IF('Sensor Detail'!E263=0,"","+" &amp; 'Sensor Detail'!E263)</f>
        <v/>
      </c>
      <c r="AI261" s="27" t="str">
        <f t="shared" si="72"/>
        <v/>
      </c>
      <c r="AJ261" s="27" t="str">
        <f>IF('Sensor Detail'!J263=0,"",'Sensor Detail'!J263)</f>
        <v/>
      </c>
      <c r="AK261" s="27" t="str">
        <f>IF('Sensor Detail'!K263=0,"",'Sensor Detail'!K263)</f>
        <v/>
      </c>
      <c r="AL261" s="27" t="str">
        <f>IF('Sensor Detail'!L263=0,"",'Sensor Detail'!L263)</f>
        <v/>
      </c>
      <c r="AM261" s="27" t="str">
        <f>IF('Sensor Detail'!M263=0,"",'Sensor Detail'!M263)</f>
        <v/>
      </c>
      <c r="AN261" s="27" t="str">
        <f>IF('Sensor Detail'!N263=0,"",'Sensor Detail'!N263)</f>
        <v/>
      </c>
      <c r="AO261" s="27" t="str">
        <f>IF('Sensor Detail'!O263=0,"",'Sensor Detail'!O263)</f>
        <v/>
      </c>
      <c r="AP261" s="15" t="str">
        <f t="shared" si="73"/>
        <v/>
      </c>
      <c r="AQ261" s="15" t="str">
        <f t="shared" si="74"/>
        <v/>
      </c>
    </row>
    <row r="262" spans="1:43">
      <c r="A262" s="13" t="str">
        <f t="shared" si="60"/>
        <v/>
      </c>
      <c r="B262" s="13" t="str">
        <f t="shared" si="61"/>
        <v/>
      </c>
      <c r="C262" s="15" t="str">
        <f t="shared" si="62"/>
        <v/>
      </c>
      <c r="D262" s="15" t="str">
        <f t="shared" si="63"/>
        <v/>
      </c>
      <c r="E262" s="15" t="str">
        <f t="shared" si="64"/>
        <v/>
      </c>
      <c r="F262" s="15" t="str">
        <f t="shared" si="65"/>
        <v/>
      </c>
      <c r="G262" s="15" t="str">
        <f t="shared" si="66"/>
        <v/>
      </c>
      <c r="H262" s="15" t="str">
        <f t="shared" si="67"/>
        <v/>
      </c>
      <c r="I262" s="15" t="str">
        <f t="shared" si="68"/>
        <v/>
      </c>
      <c r="J262" s="15" t="str">
        <f t="shared" si="69"/>
        <v/>
      </c>
      <c r="K262" s="13" t="str">
        <f>IF('Cylinder Detail'!U264=0,"",'Cylinder Detail'!U264)</f>
        <v/>
      </c>
      <c r="L262" s="13" t="str">
        <f>IF('Cylinder Detail'!Z264=0,"",_xlfn.TEXTBEFORE('Cylinder Detail'!Z264, ","))</f>
        <v/>
      </c>
      <c r="M262" s="13" t="str">
        <f t="shared" si="70"/>
        <v/>
      </c>
      <c r="N262" s="17" t="str">
        <f>IF('Cylinder Detail'!V264=0,"",'Cylinder Detail'!V264)</f>
        <v/>
      </c>
      <c r="O262" s="17" t="str">
        <f>IF('Cylinder Detail'!Z264=0,"",_xlfn.TEXTAFTER('Cylinder Detail'!Z264, ", "))</f>
        <v/>
      </c>
      <c r="P262" s="17" t="str">
        <f>IF('Cylinder Detail'!AA264=0,"",'Cylinder Detail'!AA264)</f>
        <v/>
      </c>
      <c r="Q262" s="19" t="str">
        <f>IF('Cylinder Detail'!W264=0,"",'Cylinder Detail'!W264)</f>
        <v/>
      </c>
      <c r="R262" s="19" t="str">
        <f>IF('Cylinder Detail'!Y264=0,"",'Cylinder Detail'!Y264)</f>
        <v/>
      </c>
      <c r="S262" s="21" t="str">
        <f>IF('Cylinder Detail'!X264=0,"",'Cylinder Detail'!X264)</f>
        <v/>
      </c>
      <c r="T262" s="21" t="str">
        <f>IF('Cylinder Detail'!F264=0,"",'Cylinder Detail'!F264)</f>
        <v/>
      </c>
      <c r="U262" s="21" t="str">
        <f>IF('Cylinder Detail'!R264=0,"",'Cylinder Detail'!R264)</f>
        <v/>
      </c>
      <c r="V262" s="21" t="str">
        <f>IF('Cylinder Detail'!Q264=0,"",'Cylinder Detail'!Q264)</f>
        <v/>
      </c>
      <c r="W262" s="21" t="str">
        <f>IF('Cylinder Detail'!E264=0,"","+" &amp; 'Cylinder Detail'!E264)</f>
        <v/>
      </c>
      <c r="X262" s="21" t="str">
        <f t="shared" si="71"/>
        <v/>
      </c>
      <c r="Y262" s="21" t="str">
        <f>IF('Cylinder Detail'!S264=0,"",'Cylinder Detail'!S264)</f>
        <v/>
      </c>
      <c r="Z262" s="21" t="str">
        <f>IF('Cylinder Detail'!T264=0,"",'Cylinder Detail'!T264)</f>
        <v/>
      </c>
      <c r="AA262" s="21" t="str">
        <f>IF('Cylinder Detail'!H264=0,"",'Cylinder Detail'!H264)</f>
        <v/>
      </c>
      <c r="AB262" s="21" t="str">
        <f>IF('Cylinder Detail'!I264=0,"",'Cylinder Detail'!I264)</f>
        <v/>
      </c>
      <c r="AC262" s="22" t="str">
        <f>IF('Cylinder Detail'!AB264=0,"",'Cylinder Detail'!AB264)</f>
        <v/>
      </c>
      <c r="AD262" s="25" t="str">
        <f>IF('Sensor Detail'!F264=0,"","=" &amp; 'Sensor Detail'!F264)</f>
        <v/>
      </c>
      <c r="AE262" s="25" t="str">
        <f>IF('Sensor Detail'!H264=0,"",'Sensor Detail'!H264)</f>
        <v/>
      </c>
      <c r="AF262" s="27" t="str">
        <f>IF('Sensor Detail'!G264=0,"","-" &amp; 'Sensor Detail'!G264)</f>
        <v/>
      </c>
      <c r="AG262" s="27" t="str">
        <f>IF('Sensor Detail'!I264=0,"",'Sensor Detail'!I264)</f>
        <v/>
      </c>
      <c r="AH262" s="27" t="str">
        <f>IF('Sensor Detail'!E264=0,"","+" &amp; 'Sensor Detail'!E264)</f>
        <v/>
      </c>
      <c r="AI262" s="27" t="str">
        <f t="shared" si="72"/>
        <v/>
      </c>
      <c r="AJ262" s="27" t="str">
        <f>IF('Sensor Detail'!J264=0,"",'Sensor Detail'!J264)</f>
        <v/>
      </c>
      <c r="AK262" s="27" t="str">
        <f>IF('Sensor Detail'!K264=0,"",'Sensor Detail'!K264)</f>
        <v/>
      </c>
      <c r="AL262" s="27" t="str">
        <f>IF('Sensor Detail'!L264=0,"",'Sensor Detail'!L264)</f>
        <v/>
      </c>
      <c r="AM262" s="27" t="str">
        <f>IF('Sensor Detail'!M264=0,"",'Sensor Detail'!M264)</f>
        <v/>
      </c>
      <c r="AN262" s="27" t="str">
        <f>IF('Sensor Detail'!N264=0,"",'Sensor Detail'!N264)</f>
        <v/>
      </c>
      <c r="AO262" s="27" t="str">
        <f>IF('Sensor Detail'!O264=0,"",'Sensor Detail'!O264)</f>
        <v/>
      </c>
      <c r="AP262" s="15" t="str">
        <f t="shared" si="73"/>
        <v/>
      </c>
      <c r="AQ262" s="15" t="str">
        <f t="shared" si="74"/>
        <v/>
      </c>
    </row>
    <row r="263" spans="1:43">
      <c r="A263" s="13" t="str">
        <f t="shared" si="60"/>
        <v/>
      </c>
      <c r="B263" s="13" t="str">
        <f t="shared" si="61"/>
        <v/>
      </c>
      <c r="C263" s="15" t="str">
        <f t="shared" si="62"/>
        <v/>
      </c>
      <c r="D263" s="15" t="str">
        <f t="shared" si="63"/>
        <v/>
      </c>
      <c r="E263" s="15" t="str">
        <f t="shared" si="64"/>
        <v/>
      </c>
      <c r="F263" s="15" t="str">
        <f t="shared" si="65"/>
        <v/>
      </c>
      <c r="G263" s="15" t="str">
        <f t="shared" si="66"/>
        <v/>
      </c>
      <c r="H263" s="15" t="str">
        <f t="shared" si="67"/>
        <v/>
      </c>
      <c r="I263" s="15" t="str">
        <f t="shared" si="68"/>
        <v/>
      </c>
      <c r="J263" s="15" t="str">
        <f t="shared" si="69"/>
        <v/>
      </c>
      <c r="K263" s="13" t="str">
        <f>IF('Cylinder Detail'!U265=0,"",'Cylinder Detail'!U265)</f>
        <v/>
      </c>
      <c r="L263" s="13" t="str">
        <f>IF('Cylinder Detail'!Z265=0,"",_xlfn.TEXTBEFORE('Cylinder Detail'!Z265, ","))</f>
        <v/>
      </c>
      <c r="M263" s="13" t="str">
        <f t="shared" si="70"/>
        <v/>
      </c>
      <c r="N263" s="17" t="str">
        <f>IF('Cylinder Detail'!V265=0,"",'Cylinder Detail'!V265)</f>
        <v/>
      </c>
      <c r="O263" s="17" t="str">
        <f>IF('Cylinder Detail'!Z265=0,"",_xlfn.TEXTAFTER('Cylinder Detail'!Z265, ", "))</f>
        <v/>
      </c>
      <c r="P263" s="17" t="str">
        <f>IF('Cylinder Detail'!AA265=0,"",'Cylinder Detail'!AA265)</f>
        <v/>
      </c>
      <c r="Q263" s="19" t="str">
        <f>IF('Cylinder Detail'!W265=0,"",'Cylinder Detail'!W265)</f>
        <v/>
      </c>
      <c r="R263" s="19" t="str">
        <f>IF('Cylinder Detail'!Y265=0,"",'Cylinder Detail'!Y265)</f>
        <v/>
      </c>
      <c r="S263" s="21" t="str">
        <f>IF('Cylinder Detail'!X265=0,"",'Cylinder Detail'!X265)</f>
        <v/>
      </c>
      <c r="T263" s="21" t="str">
        <f>IF('Cylinder Detail'!F265=0,"",'Cylinder Detail'!F265)</f>
        <v/>
      </c>
      <c r="U263" s="21" t="str">
        <f>IF('Cylinder Detail'!R265=0,"",'Cylinder Detail'!R265)</f>
        <v/>
      </c>
      <c r="V263" s="21" t="str">
        <f>IF('Cylinder Detail'!Q265=0,"",'Cylinder Detail'!Q265)</f>
        <v/>
      </c>
      <c r="W263" s="21" t="str">
        <f>IF('Cylinder Detail'!E265=0,"","+" &amp; 'Cylinder Detail'!E265)</f>
        <v/>
      </c>
      <c r="X263" s="21" t="str">
        <f t="shared" si="71"/>
        <v/>
      </c>
      <c r="Y263" s="21" t="str">
        <f>IF('Cylinder Detail'!S265=0,"",'Cylinder Detail'!S265)</f>
        <v/>
      </c>
      <c r="Z263" s="21" t="str">
        <f>IF('Cylinder Detail'!T265=0,"",'Cylinder Detail'!T265)</f>
        <v/>
      </c>
      <c r="AA263" s="21" t="str">
        <f>IF('Cylinder Detail'!H265=0,"",'Cylinder Detail'!H265)</f>
        <v/>
      </c>
      <c r="AB263" s="21" t="str">
        <f>IF('Cylinder Detail'!I265=0,"",'Cylinder Detail'!I265)</f>
        <v/>
      </c>
      <c r="AC263" s="22" t="str">
        <f>IF('Cylinder Detail'!AB265=0,"",'Cylinder Detail'!AB265)</f>
        <v/>
      </c>
      <c r="AD263" s="25" t="str">
        <f>IF('Sensor Detail'!F265=0,"","=" &amp; 'Sensor Detail'!F265)</f>
        <v/>
      </c>
      <c r="AE263" s="25" t="str">
        <f>IF('Sensor Detail'!H265=0,"",'Sensor Detail'!H265)</f>
        <v/>
      </c>
      <c r="AF263" s="27" t="str">
        <f>IF('Sensor Detail'!G265=0,"","-" &amp; 'Sensor Detail'!G265)</f>
        <v/>
      </c>
      <c r="AG263" s="27" t="str">
        <f>IF('Sensor Detail'!I265=0,"",'Sensor Detail'!I265)</f>
        <v/>
      </c>
      <c r="AH263" s="27" t="str">
        <f>IF('Sensor Detail'!E265=0,"","+" &amp; 'Sensor Detail'!E265)</f>
        <v/>
      </c>
      <c r="AI263" s="27" t="str">
        <f t="shared" si="72"/>
        <v/>
      </c>
      <c r="AJ263" s="27" t="str">
        <f>IF('Sensor Detail'!J265=0,"",'Sensor Detail'!J265)</f>
        <v/>
      </c>
      <c r="AK263" s="27" t="str">
        <f>IF('Sensor Detail'!K265=0,"",'Sensor Detail'!K265)</f>
        <v/>
      </c>
      <c r="AL263" s="27" t="str">
        <f>IF('Sensor Detail'!L265=0,"",'Sensor Detail'!L265)</f>
        <v/>
      </c>
      <c r="AM263" s="27" t="str">
        <f>IF('Sensor Detail'!M265=0,"",'Sensor Detail'!M265)</f>
        <v/>
      </c>
      <c r="AN263" s="27" t="str">
        <f>IF('Sensor Detail'!N265=0,"",'Sensor Detail'!N265)</f>
        <v/>
      </c>
      <c r="AO263" s="27" t="str">
        <f>IF('Sensor Detail'!O265=0,"",'Sensor Detail'!O265)</f>
        <v/>
      </c>
      <c r="AP263" s="15" t="str">
        <f t="shared" si="73"/>
        <v/>
      </c>
      <c r="AQ263" s="15" t="str">
        <f t="shared" si="74"/>
        <v/>
      </c>
    </row>
    <row r="264" spans="1:43">
      <c r="A264" s="13" t="str">
        <f t="shared" si="60"/>
        <v/>
      </c>
      <c r="B264" s="13" t="str">
        <f t="shared" si="61"/>
        <v/>
      </c>
      <c r="C264" s="15" t="str">
        <f t="shared" si="62"/>
        <v/>
      </c>
      <c r="D264" s="15" t="str">
        <f t="shared" si="63"/>
        <v/>
      </c>
      <c r="E264" s="15" t="str">
        <f t="shared" si="64"/>
        <v/>
      </c>
      <c r="F264" s="15" t="str">
        <f t="shared" si="65"/>
        <v/>
      </c>
      <c r="G264" s="15" t="str">
        <f t="shared" si="66"/>
        <v/>
      </c>
      <c r="H264" s="15" t="str">
        <f t="shared" si="67"/>
        <v/>
      </c>
      <c r="I264" s="15" t="str">
        <f t="shared" si="68"/>
        <v/>
      </c>
      <c r="J264" s="15" t="str">
        <f t="shared" si="69"/>
        <v/>
      </c>
      <c r="K264" s="13" t="str">
        <f>IF('Cylinder Detail'!U266=0,"",'Cylinder Detail'!U266)</f>
        <v/>
      </c>
      <c r="L264" s="13" t="str">
        <f>IF('Cylinder Detail'!Z266=0,"",_xlfn.TEXTBEFORE('Cylinder Detail'!Z266, ","))</f>
        <v/>
      </c>
      <c r="M264" s="13" t="str">
        <f t="shared" si="70"/>
        <v/>
      </c>
      <c r="N264" s="17" t="str">
        <f>IF('Cylinder Detail'!V266=0,"",'Cylinder Detail'!V266)</f>
        <v/>
      </c>
      <c r="O264" s="17" t="str">
        <f>IF('Cylinder Detail'!Z266=0,"",_xlfn.TEXTAFTER('Cylinder Detail'!Z266, ", "))</f>
        <v/>
      </c>
      <c r="P264" s="17" t="str">
        <f>IF('Cylinder Detail'!AA266=0,"",'Cylinder Detail'!AA266)</f>
        <v/>
      </c>
      <c r="Q264" s="19" t="str">
        <f>IF('Cylinder Detail'!W266=0,"",'Cylinder Detail'!W266)</f>
        <v/>
      </c>
      <c r="R264" s="19" t="str">
        <f>IF('Cylinder Detail'!Y266=0,"",'Cylinder Detail'!Y266)</f>
        <v/>
      </c>
      <c r="S264" s="21" t="str">
        <f>IF('Cylinder Detail'!X266=0,"",'Cylinder Detail'!X266)</f>
        <v/>
      </c>
      <c r="T264" s="21" t="str">
        <f>IF('Cylinder Detail'!F266=0,"",'Cylinder Detail'!F266)</f>
        <v/>
      </c>
      <c r="U264" s="21" t="str">
        <f>IF('Cylinder Detail'!R266=0,"",'Cylinder Detail'!R266)</f>
        <v/>
      </c>
      <c r="V264" s="21" t="str">
        <f>IF('Cylinder Detail'!Q266=0,"",'Cylinder Detail'!Q266)</f>
        <v/>
      </c>
      <c r="W264" s="21" t="str">
        <f>IF('Cylinder Detail'!E266=0,"","+" &amp; 'Cylinder Detail'!E266)</f>
        <v/>
      </c>
      <c r="X264" s="21" t="str">
        <f t="shared" si="71"/>
        <v/>
      </c>
      <c r="Y264" s="21" t="str">
        <f>IF('Cylinder Detail'!S266=0,"",'Cylinder Detail'!S266)</f>
        <v/>
      </c>
      <c r="Z264" s="21" t="str">
        <f>IF('Cylinder Detail'!T266=0,"",'Cylinder Detail'!T266)</f>
        <v/>
      </c>
      <c r="AA264" s="21" t="str">
        <f>IF('Cylinder Detail'!H266=0,"",'Cylinder Detail'!H266)</f>
        <v/>
      </c>
      <c r="AB264" s="21" t="str">
        <f>IF('Cylinder Detail'!I266=0,"",'Cylinder Detail'!I266)</f>
        <v/>
      </c>
      <c r="AC264" s="22" t="str">
        <f>IF('Cylinder Detail'!AB266=0,"",'Cylinder Detail'!AB266)</f>
        <v/>
      </c>
      <c r="AD264" s="25" t="str">
        <f>IF('Sensor Detail'!F266=0,"","=" &amp; 'Sensor Detail'!F266)</f>
        <v/>
      </c>
      <c r="AE264" s="25" t="str">
        <f>IF('Sensor Detail'!H266=0,"",'Sensor Detail'!H266)</f>
        <v/>
      </c>
      <c r="AF264" s="27" t="str">
        <f>IF('Sensor Detail'!G266=0,"","-" &amp; 'Sensor Detail'!G266)</f>
        <v/>
      </c>
      <c r="AG264" s="27" t="str">
        <f>IF('Sensor Detail'!I266=0,"",'Sensor Detail'!I266)</f>
        <v/>
      </c>
      <c r="AH264" s="27" t="str">
        <f>IF('Sensor Detail'!E266=0,"","+" &amp; 'Sensor Detail'!E266)</f>
        <v/>
      </c>
      <c r="AI264" s="27" t="str">
        <f t="shared" si="72"/>
        <v/>
      </c>
      <c r="AJ264" s="27" t="str">
        <f>IF('Sensor Detail'!J266=0,"",'Sensor Detail'!J266)</f>
        <v/>
      </c>
      <c r="AK264" s="27" t="str">
        <f>IF('Sensor Detail'!K266=0,"",'Sensor Detail'!K266)</f>
        <v/>
      </c>
      <c r="AL264" s="27" t="str">
        <f>IF('Sensor Detail'!L266=0,"",'Sensor Detail'!L266)</f>
        <v/>
      </c>
      <c r="AM264" s="27" t="str">
        <f>IF('Sensor Detail'!M266=0,"",'Sensor Detail'!M266)</f>
        <v/>
      </c>
      <c r="AN264" s="27" t="str">
        <f>IF('Sensor Detail'!N266=0,"",'Sensor Detail'!N266)</f>
        <v/>
      </c>
      <c r="AO264" s="27" t="str">
        <f>IF('Sensor Detail'!O266=0,"",'Sensor Detail'!O266)</f>
        <v/>
      </c>
      <c r="AP264" s="15" t="str">
        <f t="shared" si="73"/>
        <v/>
      </c>
      <c r="AQ264" s="15" t="str">
        <f t="shared" si="74"/>
        <v/>
      </c>
    </row>
    <row r="265" spans="1:43">
      <c r="A265" s="13" t="str">
        <f t="shared" si="60"/>
        <v/>
      </c>
      <c r="B265" s="13" t="str">
        <f t="shared" si="61"/>
        <v/>
      </c>
      <c r="C265" s="15" t="str">
        <f t="shared" si="62"/>
        <v/>
      </c>
      <c r="D265" s="15" t="str">
        <f t="shared" si="63"/>
        <v/>
      </c>
      <c r="E265" s="15" t="str">
        <f t="shared" si="64"/>
        <v/>
      </c>
      <c r="F265" s="15" t="str">
        <f t="shared" si="65"/>
        <v/>
      </c>
      <c r="G265" s="15" t="str">
        <f t="shared" si="66"/>
        <v/>
      </c>
      <c r="H265" s="15" t="str">
        <f t="shared" si="67"/>
        <v/>
      </c>
      <c r="I265" s="15" t="str">
        <f t="shared" si="68"/>
        <v/>
      </c>
      <c r="J265" s="15" t="str">
        <f t="shared" si="69"/>
        <v/>
      </c>
      <c r="K265" s="13" t="str">
        <f>IF('Cylinder Detail'!U267=0,"",'Cylinder Detail'!U267)</f>
        <v/>
      </c>
      <c r="L265" s="13" t="str">
        <f>IF('Cylinder Detail'!Z267=0,"",_xlfn.TEXTBEFORE('Cylinder Detail'!Z267, ","))</f>
        <v/>
      </c>
      <c r="M265" s="13" t="str">
        <f t="shared" si="70"/>
        <v/>
      </c>
      <c r="N265" s="17" t="str">
        <f>IF('Cylinder Detail'!V267=0,"",'Cylinder Detail'!V267)</f>
        <v/>
      </c>
      <c r="O265" s="17" t="str">
        <f>IF('Cylinder Detail'!Z267=0,"",_xlfn.TEXTAFTER('Cylinder Detail'!Z267, ", "))</f>
        <v/>
      </c>
      <c r="P265" s="17" t="str">
        <f>IF('Cylinder Detail'!AA267=0,"",'Cylinder Detail'!AA267)</f>
        <v/>
      </c>
      <c r="Q265" s="19" t="str">
        <f>IF('Cylinder Detail'!W267=0,"",'Cylinder Detail'!W267)</f>
        <v/>
      </c>
      <c r="R265" s="19" t="str">
        <f>IF('Cylinder Detail'!Y267=0,"",'Cylinder Detail'!Y267)</f>
        <v/>
      </c>
      <c r="S265" s="21" t="str">
        <f>IF('Cylinder Detail'!X267=0,"",'Cylinder Detail'!X267)</f>
        <v/>
      </c>
      <c r="T265" s="21" t="str">
        <f>IF('Cylinder Detail'!F267=0,"",'Cylinder Detail'!F267)</f>
        <v/>
      </c>
      <c r="U265" s="21" t="str">
        <f>IF('Cylinder Detail'!R267=0,"",'Cylinder Detail'!R267)</f>
        <v/>
      </c>
      <c r="V265" s="21" t="str">
        <f>IF('Cylinder Detail'!Q267=0,"",'Cylinder Detail'!Q267)</f>
        <v/>
      </c>
      <c r="W265" s="21" t="str">
        <f>IF('Cylinder Detail'!E267=0,"","+" &amp; 'Cylinder Detail'!E267)</f>
        <v/>
      </c>
      <c r="X265" s="21" t="str">
        <f t="shared" si="71"/>
        <v/>
      </c>
      <c r="Y265" s="21" t="str">
        <f>IF('Cylinder Detail'!S267=0,"",'Cylinder Detail'!S267)</f>
        <v/>
      </c>
      <c r="Z265" s="21" t="str">
        <f>IF('Cylinder Detail'!T267=0,"",'Cylinder Detail'!T267)</f>
        <v/>
      </c>
      <c r="AA265" s="21" t="str">
        <f>IF('Cylinder Detail'!H267=0,"",'Cylinder Detail'!H267)</f>
        <v/>
      </c>
      <c r="AB265" s="21" t="str">
        <f>IF('Cylinder Detail'!I267=0,"",'Cylinder Detail'!I267)</f>
        <v/>
      </c>
      <c r="AC265" s="22" t="str">
        <f>IF('Cylinder Detail'!AB267=0,"",'Cylinder Detail'!AB267)</f>
        <v/>
      </c>
      <c r="AD265" s="25" t="str">
        <f>IF('Sensor Detail'!F267=0,"","=" &amp; 'Sensor Detail'!F267)</f>
        <v/>
      </c>
      <c r="AE265" s="25" t="str">
        <f>IF('Sensor Detail'!H267=0,"",'Sensor Detail'!H267)</f>
        <v/>
      </c>
      <c r="AF265" s="27" t="str">
        <f>IF('Sensor Detail'!G267=0,"","-" &amp; 'Sensor Detail'!G267)</f>
        <v/>
      </c>
      <c r="AG265" s="27" t="str">
        <f>IF('Sensor Detail'!I267=0,"",'Sensor Detail'!I267)</f>
        <v/>
      </c>
      <c r="AH265" s="27" t="str">
        <f>IF('Sensor Detail'!E267=0,"","+" &amp; 'Sensor Detail'!E267)</f>
        <v/>
      </c>
      <c r="AI265" s="27" t="str">
        <f t="shared" si="72"/>
        <v/>
      </c>
      <c r="AJ265" s="27" t="str">
        <f>IF('Sensor Detail'!J267=0,"",'Sensor Detail'!J267)</f>
        <v/>
      </c>
      <c r="AK265" s="27" t="str">
        <f>IF('Sensor Detail'!K267=0,"",'Sensor Detail'!K267)</f>
        <v/>
      </c>
      <c r="AL265" s="27" t="str">
        <f>IF('Sensor Detail'!L267=0,"",'Sensor Detail'!L267)</f>
        <v/>
      </c>
      <c r="AM265" s="27" t="str">
        <f>IF('Sensor Detail'!M267=0,"",'Sensor Detail'!M267)</f>
        <v/>
      </c>
      <c r="AN265" s="27" t="str">
        <f>IF('Sensor Detail'!N267=0,"",'Sensor Detail'!N267)</f>
        <v/>
      </c>
      <c r="AO265" s="27" t="str">
        <f>IF('Sensor Detail'!O267=0,"",'Sensor Detail'!O267)</f>
        <v/>
      </c>
      <c r="AP265" s="15" t="str">
        <f t="shared" si="73"/>
        <v/>
      </c>
      <c r="AQ265" s="15" t="str">
        <f t="shared" si="74"/>
        <v/>
      </c>
    </row>
    <row r="266" spans="1:43">
      <c r="A266" s="13" t="str">
        <f t="shared" si="60"/>
        <v/>
      </c>
      <c r="B266" s="13" t="str">
        <f t="shared" si="61"/>
        <v/>
      </c>
      <c r="C266" s="15" t="str">
        <f t="shared" si="62"/>
        <v/>
      </c>
      <c r="D266" s="15" t="str">
        <f t="shared" si="63"/>
        <v/>
      </c>
      <c r="E266" s="15" t="str">
        <f t="shared" si="64"/>
        <v/>
      </c>
      <c r="F266" s="15" t="str">
        <f t="shared" si="65"/>
        <v/>
      </c>
      <c r="G266" s="15" t="str">
        <f t="shared" si="66"/>
        <v/>
      </c>
      <c r="H266" s="15" t="str">
        <f t="shared" si="67"/>
        <v/>
      </c>
      <c r="I266" s="15" t="str">
        <f t="shared" si="68"/>
        <v/>
      </c>
      <c r="J266" s="15" t="str">
        <f t="shared" si="69"/>
        <v/>
      </c>
      <c r="K266" s="13" t="str">
        <f>IF('Cylinder Detail'!U268=0,"",'Cylinder Detail'!U268)</f>
        <v/>
      </c>
      <c r="L266" s="13" t="str">
        <f>IF('Cylinder Detail'!Z268=0,"",_xlfn.TEXTBEFORE('Cylinder Detail'!Z268, ","))</f>
        <v/>
      </c>
      <c r="M266" s="13" t="str">
        <f t="shared" si="70"/>
        <v/>
      </c>
      <c r="N266" s="17" t="str">
        <f>IF('Cylinder Detail'!V268=0,"",'Cylinder Detail'!V268)</f>
        <v/>
      </c>
      <c r="O266" s="17" t="str">
        <f>IF('Cylinder Detail'!Z268=0,"",_xlfn.TEXTAFTER('Cylinder Detail'!Z268, ", "))</f>
        <v/>
      </c>
      <c r="P266" s="17" t="str">
        <f>IF('Cylinder Detail'!AA268=0,"",'Cylinder Detail'!AA268)</f>
        <v/>
      </c>
      <c r="Q266" s="19" t="str">
        <f>IF('Cylinder Detail'!W268=0,"",'Cylinder Detail'!W268)</f>
        <v/>
      </c>
      <c r="R266" s="19" t="str">
        <f>IF('Cylinder Detail'!Y268=0,"",'Cylinder Detail'!Y268)</f>
        <v/>
      </c>
      <c r="S266" s="21" t="str">
        <f>IF('Cylinder Detail'!X268=0,"",'Cylinder Detail'!X268)</f>
        <v/>
      </c>
      <c r="T266" s="21" t="str">
        <f>IF('Cylinder Detail'!F268=0,"",'Cylinder Detail'!F268)</f>
        <v/>
      </c>
      <c r="U266" s="21" t="str">
        <f>IF('Cylinder Detail'!R268=0,"",'Cylinder Detail'!R268)</f>
        <v/>
      </c>
      <c r="V266" s="21" t="str">
        <f>IF('Cylinder Detail'!Q268=0,"",'Cylinder Detail'!Q268)</f>
        <v/>
      </c>
      <c r="W266" s="21" t="str">
        <f>IF('Cylinder Detail'!E268=0,"","+" &amp; 'Cylinder Detail'!E268)</f>
        <v/>
      </c>
      <c r="X266" s="21" t="str">
        <f t="shared" si="71"/>
        <v/>
      </c>
      <c r="Y266" s="21" t="str">
        <f>IF('Cylinder Detail'!S268=0,"",'Cylinder Detail'!S268)</f>
        <v/>
      </c>
      <c r="Z266" s="21" t="str">
        <f>IF('Cylinder Detail'!T268=0,"",'Cylinder Detail'!T268)</f>
        <v/>
      </c>
      <c r="AA266" s="21" t="str">
        <f>IF('Cylinder Detail'!H268=0,"",'Cylinder Detail'!H268)</f>
        <v/>
      </c>
      <c r="AB266" s="21" t="str">
        <f>IF('Cylinder Detail'!I268=0,"",'Cylinder Detail'!I268)</f>
        <v/>
      </c>
      <c r="AC266" s="22" t="str">
        <f>IF('Cylinder Detail'!AB268=0,"",'Cylinder Detail'!AB268)</f>
        <v/>
      </c>
      <c r="AD266" s="25" t="str">
        <f>IF('Sensor Detail'!F268=0,"","=" &amp; 'Sensor Detail'!F268)</f>
        <v/>
      </c>
      <c r="AE266" s="25" t="str">
        <f>IF('Sensor Detail'!H268=0,"",'Sensor Detail'!H268)</f>
        <v/>
      </c>
      <c r="AF266" s="27" t="str">
        <f>IF('Sensor Detail'!G268=0,"","-" &amp; 'Sensor Detail'!G268)</f>
        <v/>
      </c>
      <c r="AG266" s="27" t="str">
        <f>IF('Sensor Detail'!I268=0,"",'Sensor Detail'!I268)</f>
        <v/>
      </c>
      <c r="AH266" s="27" t="str">
        <f>IF('Sensor Detail'!E268=0,"","+" &amp; 'Sensor Detail'!E268)</f>
        <v/>
      </c>
      <c r="AI266" s="27" t="str">
        <f t="shared" si="72"/>
        <v/>
      </c>
      <c r="AJ266" s="27" t="str">
        <f>IF('Sensor Detail'!J268=0,"",'Sensor Detail'!J268)</f>
        <v/>
      </c>
      <c r="AK266" s="27" t="str">
        <f>IF('Sensor Detail'!K268=0,"",'Sensor Detail'!K268)</f>
        <v/>
      </c>
      <c r="AL266" s="27" t="str">
        <f>IF('Sensor Detail'!L268=0,"",'Sensor Detail'!L268)</f>
        <v/>
      </c>
      <c r="AM266" s="27" t="str">
        <f>IF('Sensor Detail'!M268=0,"",'Sensor Detail'!M268)</f>
        <v/>
      </c>
      <c r="AN266" s="27" t="str">
        <f>IF('Sensor Detail'!N268=0,"",'Sensor Detail'!N268)</f>
        <v/>
      </c>
      <c r="AO266" s="27" t="str">
        <f>IF('Sensor Detail'!O268=0,"",'Sensor Detail'!O268)</f>
        <v/>
      </c>
      <c r="AP266" s="15" t="str">
        <f t="shared" si="73"/>
        <v/>
      </c>
      <c r="AQ266" s="15" t="str">
        <f t="shared" si="74"/>
        <v/>
      </c>
    </row>
    <row r="267" spans="1:43">
      <c r="A267" s="13" t="str">
        <f t="shared" si="60"/>
        <v/>
      </c>
      <c r="B267" s="13" t="str">
        <f t="shared" si="61"/>
        <v/>
      </c>
      <c r="C267" s="15" t="str">
        <f t="shared" si="62"/>
        <v/>
      </c>
      <c r="D267" s="15" t="str">
        <f t="shared" si="63"/>
        <v/>
      </c>
      <c r="E267" s="15" t="str">
        <f t="shared" si="64"/>
        <v/>
      </c>
      <c r="F267" s="15" t="str">
        <f t="shared" si="65"/>
        <v/>
      </c>
      <c r="G267" s="15" t="str">
        <f t="shared" si="66"/>
        <v/>
      </c>
      <c r="H267" s="15" t="str">
        <f t="shared" si="67"/>
        <v/>
      </c>
      <c r="I267" s="15" t="str">
        <f t="shared" si="68"/>
        <v/>
      </c>
      <c r="J267" s="15" t="str">
        <f t="shared" si="69"/>
        <v/>
      </c>
      <c r="K267" s="13" t="str">
        <f>IF('Cylinder Detail'!U269=0,"",'Cylinder Detail'!U269)</f>
        <v/>
      </c>
      <c r="L267" s="13" t="str">
        <f>IF('Cylinder Detail'!Z269=0,"",_xlfn.TEXTBEFORE('Cylinder Detail'!Z269, ","))</f>
        <v/>
      </c>
      <c r="M267" s="13" t="str">
        <f t="shared" si="70"/>
        <v/>
      </c>
      <c r="N267" s="17" t="str">
        <f>IF('Cylinder Detail'!V269=0,"",'Cylinder Detail'!V269)</f>
        <v/>
      </c>
      <c r="O267" s="17" t="str">
        <f>IF('Cylinder Detail'!Z269=0,"",_xlfn.TEXTAFTER('Cylinder Detail'!Z269, ", "))</f>
        <v/>
      </c>
      <c r="P267" s="17" t="str">
        <f>IF('Cylinder Detail'!AA269=0,"",'Cylinder Detail'!AA269)</f>
        <v/>
      </c>
      <c r="Q267" s="19" t="str">
        <f>IF('Cylinder Detail'!W269=0,"",'Cylinder Detail'!W269)</f>
        <v/>
      </c>
      <c r="R267" s="19" t="str">
        <f>IF('Cylinder Detail'!Y269=0,"",'Cylinder Detail'!Y269)</f>
        <v/>
      </c>
      <c r="S267" s="21" t="str">
        <f>IF('Cylinder Detail'!X269=0,"",'Cylinder Detail'!X269)</f>
        <v/>
      </c>
      <c r="T267" s="21" t="str">
        <f>IF('Cylinder Detail'!F269=0,"",'Cylinder Detail'!F269)</f>
        <v/>
      </c>
      <c r="U267" s="21" t="str">
        <f>IF('Cylinder Detail'!R269=0,"",'Cylinder Detail'!R269)</f>
        <v/>
      </c>
      <c r="V267" s="21" t="str">
        <f>IF('Cylinder Detail'!Q269=0,"",'Cylinder Detail'!Q269)</f>
        <v/>
      </c>
      <c r="W267" s="21" t="str">
        <f>IF('Cylinder Detail'!E269=0,"","+" &amp; 'Cylinder Detail'!E269)</f>
        <v/>
      </c>
      <c r="X267" s="21" t="str">
        <f t="shared" si="71"/>
        <v/>
      </c>
      <c r="Y267" s="21" t="str">
        <f>IF('Cylinder Detail'!S269=0,"",'Cylinder Detail'!S269)</f>
        <v/>
      </c>
      <c r="Z267" s="21" t="str">
        <f>IF('Cylinder Detail'!T269=0,"",'Cylinder Detail'!T269)</f>
        <v/>
      </c>
      <c r="AA267" s="21" t="str">
        <f>IF('Cylinder Detail'!H269=0,"",'Cylinder Detail'!H269)</f>
        <v/>
      </c>
      <c r="AB267" s="21" t="str">
        <f>IF('Cylinder Detail'!I269=0,"",'Cylinder Detail'!I269)</f>
        <v/>
      </c>
      <c r="AC267" s="22" t="str">
        <f>IF('Cylinder Detail'!AB269=0,"",'Cylinder Detail'!AB269)</f>
        <v/>
      </c>
      <c r="AD267" s="25" t="str">
        <f>IF('Sensor Detail'!F269=0,"","=" &amp; 'Sensor Detail'!F269)</f>
        <v/>
      </c>
      <c r="AE267" s="25" t="str">
        <f>IF('Sensor Detail'!H269=0,"",'Sensor Detail'!H269)</f>
        <v/>
      </c>
      <c r="AF267" s="27" t="str">
        <f>IF('Sensor Detail'!G269=0,"","-" &amp; 'Sensor Detail'!G269)</f>
        <v/>
      </c>
      <c r="AG267" s="27" t="str">
        <f>IF('Sensor Detail'!I269=0,"",'Sensor Detail'!I269)</f>
        <v/>
      </c>
      <c r="AH267" s="27" t="str">
        <f>IF('Sensor Detail'!E269=0,"","+" &amp; 'Sensor Detail'!E269)</f>
        <v/>
      </c>
      <c r="AI267" s="27" t="str">
        <f t="shared" si="72"/>
        <v/>
      </c>
      <c r="AJ267" s="27" t="str">
        <f>IF('Sensor Detail'!J269=0,"",'Sensor Detail'!J269)</f>
        <v/>
      </c>
      <c r="AK267" s="27" t="str">
        <f>IF('Sensor Detail'!K269=0,"",'Sensor Detail'!K269)</f>
        <v/>
      </c>
      <c r="AL267" s="27" t="str">
        <f>IF('Sensor Detail'!L269=0,"",'Sensor Detail'!L269)</f>
        <v/>
      </c>
      <c r="AM267" s="27" t="str">
        <f>IF('Sensor Detail'!M269=0,"",'Sensor Detail'!M269)</f>
        <v/>
      </c>
      <c r="AN267" s="27" t="str">
        <f>IF('Sensor Detail'!N269=0,"",'Sensor Detail'!N269)</f>
        <v/>
      </c>
      <c r="AO267" s="27" t="str">
        <f>IF('Sensor Detail'!O269=0,"",'Sensor Detail'!O269)</f>
        <v/>
      </c>
      <c r="AP267" s="15" t="str">
        <f t="shared" si="73"/>
        <v/>
      </c>
      <c r="AQ267" s="15" t="str">
        <f t="shared" si="74"/>
        <v/>
      </c>
    </row>
    <row r="268" spans="1:43">
      <c r="A268" s="13" t="str">
        <f t="shared" si="60"/>
        <v/>
      </c>
      <c r="B268" s="13" t="str">
        <f t="shared" si="61"/>
        <v/>
      </c>
      <c r="C268" s="15" t="str">
        <f t="shared" si="62"/>
        <v/>
      </c>
      <c r="D268" s="15" t="str">
        <f t="shared" si="63"/>
        <v/>
      </c>
      <c r="E268" s="15" t="str">
        <f t="shared" si="64"/>
        <v/>
      </c>
      <c r="F268" s="15" t="str">
        <f t="shared" si="65"/>
        <v/>
      </c>
      <c r="G268" s="15" t="str">
        <f t="shared" si="66"/>
        <v/>
      </c>
      <c r="H268" s="15" t="str">
        <f t="shared" si="67"/>
        <v/>
      </c>
      <c r="I268" s="15" t="str">
        <f t="shared" si="68"/>
        <v/>
      </c>
      <c r="J268" s="15" t="str">
        <f t="shared" si="69"/>
        <v/>
      </c>
      <c r="K268" s="13" t="str">
        <f>IF('Cylinder Detail'!U270=0,"",'Cylinder Detail'!U270)</f>
        <v/>
      </c>
      <c r="L268" s="13" t="str">
        <f>IF('Cylinder Detail'!Z270=0,"",_xlfn.TEXTBEFORE('Cylinder Detail'!Z270, ","))</f>
        <v/>
      </c>
      <c r="M268" s="13" t="str">
        <f t="shared" si="70"/>
        <v/>
      </c>
      <c r="N268" s="17" t="str">
        <f>IF('Cylinder Detail'!V270=0,"",'Cylinder Detail'!V270)</f>
        <v/>
      </c>
      <c r="O268" s="17" t="str">
        <f>IF('Cylinder Detail'!Z270=0,"",_xlfn.TEXTAFTER('Cylinder Detail'!Z270, ", "))</f>
        <v/>
      </c>
      <c r="P268" s="17" t="str">
        <f>IF('Cylinder Detail'!AA270=0,"",'Cylinder Detail'!AA270)</f>
        <v/>
      </c>
      <c r="Q268" s="19" t="str">
        <f>IF('Cylinder Detail'!W270=0,"",'Cylinder Detail'!W270)</f>
        <v/>
      </c>
      <c r="R268" s="19" t="str">
        <f>IF('Cylinder Detail'!Y270=0,"",'Cylinder Detail'!Y270)</f>
        <v/>
      </c>
      <c r="S268" s="21" t="str">
        <f>IF('Cylinder Detail'!X270=0,"",'Cylinder Detail'!X270)</f>
        <v/>
      </c>
      <c r="T268" s="21" t="str">
        <f>IF('Cylinder Detail'!F270=0,"",'Cylinder Detail'!F270)</f>
        <v/>
      </c>
      <c r="U268" s="21" t="str">
        <f>IF('Cylinder Detail'!R270=0,"",'Cylinder Detail'!R270)</f>
        <v/>
      </c>
      <c r="V268" s="21" t="str">
        <f>IF('Cylinder Detail'!Q270=0,"",'Cylinder Detail'!Q270)</f>
        <v/>
      </c>
      <c r="W268" s="21" t="str">
        <f>IF('Cylinder Detail'!E270=0,"","+" &amp; 'Cylinder Detail'!E270)</f>
        <v/>
      </c>
      <c r="X268" s="21" t="str">
        <f t="shared" si="71"/>
        <v/>
      </c>
      <c r="Y268" s="21" t="str">
        <f>IF('Cylinder Detail'!S270=0,"",'Cylinder Detail'!S270)</f>
        <v/>
      </c>
      <c r="Z268" s="21" t="str">
        <f>IF('Cylinder Detail'!T270=0,"",'Cylinder Detail'!T270)</f>
        <v/>
      </c>
      <c r="AA268" s="21" t="str">
        <f>IF('Cylinder Detail'!H270=0,"",'Cylinder Detail'!H270)</f>
        <v/>
      </c>
      <c r="AB268" s="21" t="str">
        <f>IF('Cylinder Detail'!I270=0,"",'Cylinder Detail'!I270)</f>
        <v/>
      </c>
      <c r="AC268" s="22" t="str">
        <f>IF('Cylinder Detail'!AB270=0,"",'Cylinder Detail'!AB270)</f>
        <v/>
      </c>
      <c r="AD268" s="25" t="str">
        <f>IF('Sensor Detail'!F270=0,"","=" &amp; 'Sensor Detail'!F270)</f>
        <v/>
      </c>
      <c r="AE268" s="25" t="str">
        <f>IF('Sensor Detail'!H270=0,"",'Sensor Detail'!H270)</f>
        <v/>
      </c>
      <c r="AF268" s="27" t="str">
        <f>IF('Sensor Detail'!G270=0,"","-" &amp; 'Sensor Detail'!G270)</f>
        <v/>
      </c>
      <c r="AG268" s="27" t="str">
        <f>IF('Sensor Detail'!I270=0,"",'Sensor Detail'!I270)</f>
        <v/>
      </c>
      <c r="AH268" s="27" t="str">
        <f>IF('Sensor Detail'!E270=0,"","+" &amp; 'Sensor Detail'!E270)</f>
        <v/>
      </c>
      <c r="AI268" s="27" t="str">
        <f t="shared" si="72"/>
        <v/>
      </c>
      <c r="AJ268" s="27" t="str">
        <f>IF('Sensor Detail'!J270=0,"",'Sensor Detail'!J270)</f>
        <v/>
      </c>
      <c r="AK268" s="27" t="str">
        <f>IF('Sensor Detail'!K270=0,"",'Sensor Detail'!K270)</f>
        <v/>
      </c>
      <c r="AL268" s="27" t="str">
        <f>IF('Sensor Detail'!L270=0,"",'Sensor Detail'!L270)</f>
        <v/>
      </c>
      <c r="AM268" s="27" t="str">
        <f>IF('Sensor Detail'!M270=0,"",'Sensor Detail'!M270)</f>
        <v/>
      </c>
      <c r="AN268" s="27" t="str">
        <f>IF('Sensor Detail'!N270=0,"",'Sensor Detail'!N270)</f>
        <v/>
      </c>
      <c r="AO268" s="27" t="str">
        <f>IF('Sensor Detail'!O270=0,"",'Sensor Detail'!O270)</f>
        <v/>
      </c>
      <c r="AP268" s="15" t="str">
        <f t="shared" si="73"/>
        <v/>
      </c>
      <c r="AQ268" s="15" t="str">
        <f t="shared" si="74"/>
        <v/>
      </c>
    </row>
    <row r="269" spans="1:43">
      <c r="A269" s="13" t="str">
        <f t="shared" si="60"/>
        <v/>
      </c>
      <c r="B269" s="13" t="str">
        <f t="shared" si="61"/>
        <v/>
      </c>
      <c r="C269" s="15" t="str">
        <f t="shared" si="62"/>
        <v/>
      </c>
      <c r="D269" s="15" t="str">
        <f t="shared" si="63"/>
        <v/>
      </c>
      <c r="E269" s="15" t="str">
        <f t="shared" si="64"/>
        <v/>
      </c>
      <c r="F269" s="15" t="str">
        <f t="shared" si="65"/>
        <v/>
      </c>
      <c r="G269" s="15" t="str">
        <f t="shared" si="66"/>
        <v/>
      </c>
      <c r="H269" s="15" t="str">
        <f t="shared" si="67"/>
        <v/>
      </c>
      <c r="I269" s="15" t="str">
        <f t="shared" si="68"/>
        <v/>
      </c>
      <c r="J269" s="15" t="str">
        <f t="shared" si="69"/>
        <v/>
      </c>
      <c r="K269" s="13" t="str">
        <f>IF('Cylinder Detail'!U271=0,"",'Cylinder Detail'!U271)</f>
        <v/>
      </c>
      <c r="L269" s="13" t="str">
        <f>IF('Cylinder Detail'!Z271=0,"",_xlfn.TEXTBEFORE('Cylinder Detail'!Z271, ","))</f>
        <v/>
      </c>
      <c r="M269" s="13" t="str">
        <f t="shared" si="70"/>
        <v/>
      </c>
      <c r="N269" s="17" t="str">
        <f>IF('Cylinder Detail'!V271=0,"",'Cylinder Detail'!V271)</f>
        <v/>
      </c>
      <c r="O269" s="17" t="str">
        <f>IF('Cylinder Detail'!Z271=0,"",_xlfn.TEXTAFTER('Cylinder Detail'!Z271, ", "))</f>
        <v/>
      </c>
      <c r="P269" s="17" t="str">
        <f>IF('Cylinder Detail'!AA271=0,"",'Cylinder Detail'!AA271)</f>
        <v/>
      </c>
      <c r="Q269" s="19" t="str">
        <f>IF('Cylinder Detail'!W271=0,"",'Cylinder Detail'!W271)</f>
        <v/>
      </c>
      <c r="R269" s="19" t="str">
        <f>IF('Cylinder Detail'!Y271=0,"",'Cylinder Detail'!Y271)</f>
        <v/>
      </c>
      <c r="S269" s="21" t="str">
        <f>IF('Cylinder Detail'!X271=0,"",'Cylinder Detail'!X271)</f>
        <v/>
      </c>
      <c r="T269" s="21" t="str">
        <f>IF('Cylinder Detail'!F271=0,"",'Cylinder Detail'!F271)</f>
        <v/>
      </c>
      <c r="U269" s="21" t="str">
        <f>IF('Cylinder Detail'!R271=0,"",'Cylinder Detail'!R271)</f>
        <v/>
      </c>
      <c r="V269" s="21" t="str">
        <f>IF('Cylinder Detail'!Q271=0,"",'Cylinder Detail'!Q271)</f>
        <v/>
      </c>
      <c r="W269" s="21" t="str">
        <f>IF('Cylinder Detail'!E271=0,"","+" &amp; 'Cylinder Detail'!E271)</f>
        <v/>
      </c>
      <c r="X269" s="21" t="str">
        <f t="shared" si="71"/>
        <v/>
      </c>
      <c r="Y269" s="21" t="str">
        <f>IF('Cylinder Detail'!S271=0,"",'Cylinder Detail'!S271)</f>
        <v/>
      </c>
      <c r="Z269" s="21" t="str">
        <f>IF('Cylinder Detail'!T271=0,"",'Cylinder Detail'!T271)</f>
        <v/>
      </c>
      <c r="AA269" s="21" t="str">
        <f>IF('Cylinder Detail'!H271=0,"",'Cylinder Detail'!H271)</f>
        <v/>
      </c>
      <c r="AB269" s="21" t="str">
        <f>IF('Cylinder Detail'!I271=0,"",'Cylinder Detail'!I271)</f>
        <v/>
      </c>
      <c r="AC269" s="22" t="str">
        <f>IF('Cylinder Detail'!AB271=0,"",'Cylinder Detail'!AB271)</f>
        <v/>
      </c>
      <c r="AD269" s="25" t="str">
        <f>IF('Sensor Detail'!F271=0,"","=" &amp; 'Sensor Detail'!F271)</f>
        <v/>
      </c>
      <c r="AE269" s="25" t="str">
        <f>IF('Sensor Detail'!H271=0,"",'Sensor Detail'!H271)</f>
        <v/>
      </c>
      <c r="AF269" s="27" t="str">
        <f>IF('Sensor Detail'!G271=0,"","-" &amp; 'Sensor Detail'!G271)</f>
        <v/>
      </c>
      <c r="AG269" s="27" t="str">
        <f>IF('Sensor Detail'!I271=0,"",'Sensor Detail'!I271)</f>
        <v/>
      </c>
      <c r="AH269" s="27" t="str">
        <f>IF('Sensor Detail'!E271=0,"","+" &amp; 'Sensor Detail'!E271)</f>
        <v/>
      </c>
      <c r="AI269" s="27" t="str">
        <f t="shared" si="72"/>
        <v/>
      </c>
      <c r="AJ269" s="27" t="str">
        <f>IF('Sensor Detail'!J271=0,"",'Sensor Detail'!J271)</f>
        <v/>
      </c>
      <c r="AK269" s="27" t="str">
        <f>IF('Sensor Detail'!K271=0,"",'Sensor Detail'!K271)</f>
        <v/>
      </c>
      <c r="AL269" s="27" t="str">
        <f>IF('Sensor Detail'!L271=0,"",'Sensor Detail'!L271)</f>
        <v/>
      </c>
      <c r="AM269" s="27" t="str">
        <f>IF('Sensor Detail'!M271=0,"",'Sensor Detail'!M271)</f>
        <v/>
      </c>
      <c r="AN269" s="27" t="str">
        <f>IF('Sensor Detail'!N271=0,"",'Sensor Detail'!N271)</f>
        <v/>
      </c>
      <c r="AO269" s="27" t="str">
        <f>IF('Sensor Detail'!O271=0,"",'Sensor Detail'!O271)</f>
        <v/>
      </c>
      <c r="AP269" s="15" t="str">
        <f t="shared" si="73"/>
        <v/>
      </c>
      <c r="AQ269" s="15" t="str">
        <f t="shared" si="74"/>
        <v/>
      </c>
    </row>
    <row r="270" spans="1:43">
      <c r="A270" s="13" t="str">
        <f t="shared" si="60"/>
        <v/>
      </c>
      <c r="B270" s="13" t="str">
        <f t="shared" si="61"/>
        <v/>
      </c>
      <c r="C270" s="15" t="str">
        <f t="shared" si="62"/>
        <v/>
      </c>
      <c r="D270" s="15" t="str">
        <f t="shared" si="63"/>
        <v/>
      </c>
      <c r="E270" s="15" t="str">
        <f t="shared" si="64"/>
        <v/>
      </c>
      <c r="F270" s="15" t="str">
        <f t="shared" si="65"/>
        <v/>
      </c>
      <c r="G270" s="15" t="str">
        <f t="shared" si="66"/>
        <v/>
      </c>
      <c r="H270" s="15" t="str">
        <f t="shared" si="67"/>
        <v/>
      </c>
      <c r="I270" s="15" t="str">
        <f t="shared" si="68"/>
        <v/>
      </c>
      <c r="J270" s="15" t="str">
        <f t="shared" si="69"/>
        <v/>
      </c>
      <c r="K270" s="13" t="str">
        <f>IF('Cylinder Detail'!U272=0,"",'Cylinder Detail'!U272)</f>
        <v/>
      </c>
      <c r="L270" s="13" t="str">
        <f>IF('Cylinder Detail'!Z272=0,"",_xlfn.TEXTBEFORE('Cylinder Detail'!Z272, ","))</f>
        <v/>
      </c>
      <c r="M270" s="13" t="str">
        <f t="shared" si="70"/>
        <v/>
      </c>
      <c r="N270" s="17" t="str">
        <f>IF('Cylinder Detail'!V272=0,"",'Cylinder Detail'!V272)</f>
        <v/>
      </c>
      <c r="O270" s="17" t="str">
        <f>IF('Cylinder Detail'!Z272=0,"",_xlfn.TEXTAFTER('Cylinder Detail'!Z272, ", "))</f>
        <v/>
      </c>
      <c r="P270" s="17" t="str">
        <f>IF('Cylinder Detail'!AA272=0,"",'Cylinder Detail'!AA272)</f>
        <v/>
      </c>
      <c r="Q270" s="19" t="str">
        <f>IF('Cylinder Detail'!W272=0,"",'Cylinder Detail'!W272)</f>
        <v/>
      </c>
      <c r="R270" s="19" t="str">
        <f>IF('Cylinder Detail'!Y272=0,"",'Cylinder Detail'!Y272)</f>
        <v/>
      </c>
      <c r="S270" s="21" t="str">
        <f>IF('Cylinder Detail'!X272=0,"",'Cylinder Detail'!X272)</f>
        <v/>
      </c>
      <c r="T270" s="21" t="str">
        <f>IF('Cylinder Detail'!F272=0,"",'Cylinder Detail'!F272)</f>
        <v/>
      </c>
      <c r="U270" s="21" t="str">
        <f>IF('Cylinder Detail'!R272=0,"",'Cylinder Detail'!R272)</f>
        <v/>
      </c>
      <c r="V270" s="21" t="str">
        <f>IF('Cylinder Detail'!Q272=0,"",'Cylinder Detail'!Q272)</f>
        <v/>
      </c>
      <c r="W270" s="21" t="str">
        <f>IF('Cylinder Detail'!E272=0,"","+" &amp; 'Cylinder Detail'!E272)</f>
        <v/>
      </c>
      <c r="X270" s="21" t="str">
        <f t="shared" si="71"/>
        <v/>
      </c>
      <c r="Y270" s="21" t="str">
        <f>IF('Cylinder Detail'!S272=0,"",'Cylinder Detail'!S272)</f>
        <v/>
      </c>
      <c r="Z270" s="21" t="str">
        <f>IF('Cylinder Detail'!T272=0,"",'Cylinder Detail'!T272)</f>
        <v/>
      </c>
      <c r="AA270" s="21" t="str">
        <f>IF('Cylinder Detail'!H272=0,"",'Cylinder Detail'!H272)</f>
        <v/>
      </c>
      <c r="AB270" s="21" t="str">
        <f>IF('Cylinder Detail'!I272=0,"",'Cylinder Detail'!I272)</f>
        <v/>
      </c>
      <c r="AC270" s="22" t="str">
        <f>IF('Cylinder Detail'!AB272=0,"",'Cylinder Detail'!AB272)</f>
        <v/>
      </c>
      <c r="AD270" s="25" t="str">
        <f>IF('Sensor Detail'!F272=0,"","=" &amp; 'Sensor Detail'!F272)</f>
        <v/>
      </c>
      <c r="AE270" s="25" t="str">
        <f>IF('Sensor Detail'!H272=0,"",'Sensor Detail'!H272)</f>
        <v/>
      </c>
      <c r="AF270" s="27" t="str">
        <f>IF('Sensor Detail'!G272=0,"","-" &amp; 'Sensor Detail'!G272)</f>
        <v/>
      </c>
      <c r="AG270" s="27" t="str">
        <f>IF('Sensor Detail'!I272=0,"",'Sensor Detail'!I272)</f>
        <v/>
      </c>
      <c r="AH270" s="27" t="str">
        <f>IF('Sensor Detail'!E272=0,"","+" &amp; 'Sensor Detail'!E272)</f>
        <v/>
      </c>
      <c r="AI270" s="27" t="str">
        <f t="shared" si="72"/>
        <v/>
      </c>
      <c r="AJ270" s="27" t="str">
        <f>IF('Sensor Detail'!J272=0,"",'Sensor Detail'!J272)</f>
        <v/>
      </c>
      <c r="AK270" s="27" t="str">
        <f>IF('Sensor Detail'!K272=0,"",'Sensor Detail'!K272)</f>
        <v/>
      </c>
      <c r="AL270" s="27" t="str">
        <f>IF('Sensor Detail'!L272=0,"",'Sensor Detail'!L272)</f>
        <v/>
      </c>
      <c r="AM270" s="27" t="str">
        <f>IF('Sensor Detail'!M272=0,"",'Sensor Detail'!M272)</f>
        <v/>
      </c>
      <c r="AN270" s="27" t="str">
        <f>IF('Sensor Detail'!N272=0,"",'Sensor Detail'!N272)</f>
        <v/>
      </c>
      <c r="AO270" s="27" t="str">
        <f>IF('Sensor Detail'!O272=0,"",'Sensor Detail'!O272)</f>
        <v/>
      </c>
      <c r="AP270" s="15" t="str">
        <f t="shared" si="73"/>
        <v/>
      </c>
      <c r="AQ270" s="15" t="str">
        <f t="shared" si="74"/>
        <v/>
      </c>
    </row>
    <row r="271" spans="1:43">
      <c r="A271" s="13" t="str">
        <f t="shared" si="60"/>
        <v/>
      </c>
      <c r="B271" s="13" t="str">
        <f t="shared" si="61"/>
        <v/>
      </c>
      <c r="C271" s="15" t="str">
        <f t="shared" si="62"/>
        <v/>
      </c>
      <c r="D271" s="15" t="str">
        <f t="shared" si="63"/>
        <v/>
      </c>
      <c r="E271" s="15" t="str">
        <f t="shared" si="64"/>
        <v/>
      </c>
      <c r="F271" s="15" t="str">
        <f t="shared" si="65"/>
        <v/>
      </c>
      <c r="G271" s="15" t="str">
        <f t="shared" si="66"/>
        <v/>
      </c>
      <c r="H271" s="15" t="str">
        <f t="shared" si="67"/>
        <v/>
      </c>
      <c r="I271" s="15" t="str">
        <f t="shared" si="68"/>
        <v/>
      </c>
      <c r="J271" s="15" t="str">
        <f t="shared" si="69"/>
        <v/>
      </c>
      <c r="K271" s="13" t="str">
        <f>IF('Cylinder Detail'!U273=0,"",'Cylinder Detail'!U273)</f>
        <v/>
      </c>
      <c r="L271" s="13" t="str">
        <f>IF('Cylinder Detail'!Z273=0,"",_xlfn.TEXTBEFORE('Cylinder Detail'!Z273, ","))</f>
        <v/>
      </c>
      <c r="M271" s="13" t="str">
        <f t="shared" si="70"/>
        <v/>
      </c>
      <c r="N271" s="17" t="str">
        <f>IF('Cylinder Detail'!V273=0,"",'Cylinder Detail'!V273)</f>
        <v/>
      </c>
      <c r="O271" s="17" t="str">
        <f>IF('Cylinder Detail'!Z273=0,"",_xlfn.TEXTAFTER('Cylinder Detail'!Z273, ", "))</f>
        <v/>
      </c>
      <c r="P271" s="17" t="str">
        <f>IF('Cylinder Detail'!AA273=0,"",'Cylinder Detail'!AA273)</f>
        <v/>
      </c>
      <c r="Q271" s="19" t="str">
        <f>IF('Cylinder Detail'!W273=0,"",'Cylinder Detail'!W273)</f>
        <v/>
      </c>
      <c r="R271" s="19" t="str">
        <f>IF('Cylinder Detail'!Y273=0,"",'Cylinder Detail'!Y273)</f>
        <v/>
      </c>
      <c r="S271" s="21" t="str">
        <f>IF('Cylinder Detail'!X273=0,"",'Cylinder Detail'!X273)</f>
        <v/>
      </c>
      <c r="T271" s="21" t="str">
        <f>IF('Cylinder Detail'!F273=0,"",'Cylinder Detail'!F273)</f>
        <v/>
      </c>
      <c r="U271" s="21" t="str">
        <f>IF('Cylinder Detail'!R273=0,"",'Cylinder Detail'!R273)</f>
        <v/>
      </c>
      <c r="V271" s="21" t="str">
        <f>IF('Cylinder Detail'!Q273=0,"",'Cylinder Detail'!Q273)</f>
        <v/>
      </c>
      <c r="W271" s="21" t="str">
        <f>IF('Cylinder Detail'!E273=0,"","+" &amp; 'Cylinder Detail'!E273)</f>
        <v/>
      </c>
      <c r="X271" s="21" t="str">
        <f t="shared" si="71"/>
        <v/>
      </c>
      <c r="Y271" s="21" t="str">
        <f>IF('Cylinder Detail'!S273=0,"",'Cylinder Detail'!S273)</f>
        <v/>
      </c>
      <c r="Z271" s="21" t="str">
        <f>IF('Cylinder Detail'!T273=0,"",'Cylinder Detail'!T273)</f>
        <v/>
      </c>
      <c r="AA271" s="21" t="str">
        <f>IF('Cylinder Detail'!H273=0,"",'Cylinder Detail'!H273)</f>
        <v/>
      </c>
      <c r="AB271" s="21" t="str">
        <f>IF('Cylinder Detail'!I273=0,"",'Cylinder Detail'!I273)</f>
        <v/>
      </c>
      <c r="AC271" s="22" t="str">
        <f>IF('Cylinder Detail'!AB273=0,"",'Cylinder Detail'!AB273)</f>
        <v/>
      </c>
      <c r="AD271" s="25" t="str">
        <f>IF('Sensor Detail'!F273=0,"","=" &amp; 'Sensor Detail'!F273)</f>
        <v/>
      </c>
      <c r="AE271" s="25" t="str">
        <f>IF('Sensor Detail'!H273=0,"",'Sensor Detail'!H273)</f>
        <v/>
      </c>
      <c r="AF271" s="27" t="str">
        <f>IF('Sensor Detail'!G273=0,"","-" &amp; 'Sensor Detail'!G273)</f>
        <v/>
      </c>
      <c r="AG271" s="27" t="str">
        <f>IF('Sensor Detail'!I273=0,"",'Sensor Detail'!I273)</f>
        <v/>
      </c>
      <c r="AH271" s="27" t="str">
        <f>IF('Sensor Detail'!E273=0,"","+" &amp; 'Sensor Detail'!E273)</f>
        <v/>
      </c>
      <c r="AI271" s="27" t="str">
        <f t="shared" si="72"/>
        <v/>
      </c>
      <c r="AJ271" s="27" t="str">
        <f>IF('Sensor Detail'!J273=0,"",'Sensor Detail'!J273)</f>
        <v/>
      </c>
      <c r="AK271" s="27" t="str">
        <f>IF('Sensor Detail'!K273=0,"",'Sensor Detail'!K273)</f>
        <v/>
      </c>
      <c r="AL271" s="27" t="str">
        <f>IF('Sensor Detail'!L273=0,"",'Sensor Detail'!L273)</f>
        <v/>
      </c>
      <c r="AM271" s="27" t="str">
        <f>IF('Sensor Detail'!M273=0,"",'Sensor Detail'!M273)</f>
        <v/>
      </c>
      <c r="AN271" s="27" t="str">
        <f>IF('Sensor Detail'!N273=0,"",'Sensor Detail'!N273)</f>
        <v/>
      </c>
      <c r="AO271" s="27" t="str">
        <f>IF('Sensor Detail'!O273=0,"",'Sensor Detail'!O273)</f>
        <v/>
      </c>
      <c r="AP271" s="15" t="str">
        <f t="shared" si="73"/>
        <v/>
      </c>
      <c r="AQ271" s="15" t="str">
        <f t="shared" si="74"/>
        <v/>
      </c>
    </row>
    <row r="272" spans="1:43">
      <c r="A272" s="13" t="str">
        <f t="shared" si="60"/>
        <v/>
      </c>
      <c r="B272" s="13" t="str">
        <f t="shared" si="61"/>
        <v/>
      </c>
      <c r="C272" s="15" t="str">
        <f t="shared" si="62"/>
        <v/>
      </c>
      <c r="D272" s="15" t="str">
        <f t="shared" si="63"/>
        <v/>
      </c>
      <c r="E272" s="15" t="str">
        <f t="shared" si="64"/>
        <v/>
      </c>
      <c r="F272" s="15" t="str">
        <f t="shared" si="65"/>
        <v/>
      </c>
      <c r="G272" s="15" t="str">
        <f t="shared" si="66"/>
        <v/>
      </c>
      <c r="H272" s="15" t="str">
        <f t="shared" si="67"/>
        <v/>
      </c>
      <c r="I272" s="15" t="str">
        <f t="shared" si="68"/>
        <v/>
      </c>
      <c r="J272" s="15" t="str">
        <f t="shared" si="69"/>
        <v/>
      </c>
      <c r="K272" s="13" t="str">
        <f>IF('Cylinder Detail'!U274=0,"",'Cylinder Detail'!U274)</f>
        <v/>
      </c>
      <c r="L272" s="13" t="str">
        <f>IF('Cylinder Detail'!Z274=0,"",_xlfn.TEXTBEFORE('Cylinder Detail'!Z274, ","))</f>
        <v/>
      </c>
      <c r="M272" s="13" t="str">
        <f t="shared" si="70"/>
        <v/>
      </c>
      <c r="N272" s="17" t="str">
        <f>IF('Cylinder Detail'!V274=0,"",'Cylinder Detail'!V274)</f>
        <v/>
      </c>
      <c r="O272" s="17" t="str">
        <f>IF('Cylinder Detail'!Z274=0,"",_xlfn.TEXTAFTER('Cylinder Detail'!Z274, ", "))</f>
        <v/>
      </c>
      <c r="P272" s="17" t="str">
        <f>IF('Cylinder Detail'!AA274=0,"",'Cylinder Detail'!AA274)</f>
        <v/>
      </c>
      <c r="Q272" s="19" t="str">
        <f>IF('Cylinder Detail'!W274=0,"",'Cylinder Detail'!W274)</f>
        <v/>
      </c>
      <c r="R272" s="19" t="str">
        <f>IF('Cylinder Detail'!Y274=0,"",'Cylinder Detail'!Y274)</f>
        <v/>
      </c>
      <c r="S272" s="21" t="str">
        <f>IF('Cylinder Detail'!X274=0,"",'Cylinder Detail'!X274)</f>
        <v/>
      </c>
      <c r="T272" s="21" t="str">
        <f>IF('Cylinder Detail'!F274=0,"",'Cylinder Detail'!F274)</f>
        <v/>
      </c>
      <c r="U272" s="21" t="str">
        <f>IF('Cylinder Detail'!R274=0,"",'Cylinder Detail'!R274)</f>
        <v/>
      </c>
      <c r="V272" s="21" t="str">
        <f>IF('Cylinder Detail'!Q274=0,"",'Cylinder Detail'!Q274)</f>
        <v/>
      </c>
      <c r="W272" s="21" t="str">
        <f>IF('Cylinder Detail'!E274=0,"","+" &amp; 'Cylinder Detail'!E274)</f>
        <v/>
      </c>
      <c r="X272" s="21" t="str">
        <f t="shared" si="71"/>
        <v/>
      </c>
      <c r="Y272" s="21" t="str">
        <f>IF('Cylinder Detail'!S274=0,"",'Cylinder Detail'!S274)</f>
        <v/>
      </c>
      <c r="Z272" s="21" t="str">
        <f>IF('Cylinder Detail'!T274=0,"",'Cylinder Detail'!T274)</f>
        <v/>
      </c>
      <c r="AA272" s="21" t="str">
        <f>IF('Cylinder Detail'!H274=0,"",'Cylinder Detail'!H274)</f>
        <v/>
      </c>
      <c r="AB272" s="21" t="str">
        <f>IF('Cylinder Detail'!I274=0,"",'Cylinder Detail'!I274)</f>
        <v/>
      </c>
      <c r="AC272" s="22" t="str">
        <f>IF('Cylinder Detail'!AB274=0,"",'Cylinder Detail'!AB274)</f>
        <v/>
      </c>
      <c r="AD272" s="25" t="str">
        <f>IF('Sensor Detail'!F274=0,"","=" &amp; 'Sensor Detail'!F274)</f>
        <v/>
      </c>
      <c r="AE272" s="25" t="str">
        <f>IF('Sensor Detail'!H274=0,"",'Sensor Detail'!H274)</f>
        <v/>
      </c>
      <c r="AF272" s="27" t="str">
        <f>IF('Sensor Detail'!G274=0,"","-" &amp; 'Sensor Detail'!G274)</f>
        <v/>
      </c>
      <c r="AG272" s="27" t="str">
        <f>IF('Sensor Detail'!I274=0,"",'Sensor Detail'!I274)</f>
        <v/>
      </c>
      <c r="AH272" s="27" t="str">
        <f>IF('Sensor Detail'!E274=0,"","+" &amp; 'Sensor Detail'!E274)</f>
        <v/>
      </c>
      <c r="AI272" s="27" t="str">
        <f t="shared" si="72"/>
        <v/>
      </c>
      <c r="AJ272" s="27" t="str">
        <f>IF('Sensor Detail'!J274=0,"",'Sensor Detail'!J274)</f>
        <v/>
      </c>
      <c r="AK272" s="27" t="str">
        <f>IF('Sensor Detail'!K274=0,"",'Sensor Detail'!K274)</f>
        <v/>
      </c>
      <c r="AL272" s="27" t="str">
        <f>IF('Sensor Detail'!L274=0,"",'Sensor Detail'!L274)</f>
        <v/>
      </c>
      <c r="AM272" s="27" t="str">
        <f>IF('Sensor Detail'!M274=0,"",'Sensor Detail'!M274)</f>
        <v/>
      </c>
      <c r="AN272" s="27" t="str">
        <f>IF('Sensor Detail'!N274=0,"",'Sensor Detail'!N274)</f>
        <v/>
      </c>
      <c r="AO272" s="27" t="str">
        <f>IF('Sensor Detail'!O274=0,"",'Sensor Detail'!O274)</f>
        <v/>
      </c>
      <c r="AP272" s="15" t="str">
        <f t="shared" si="73"/>
        <v/>
      </c>
      <c r="AQ272" s="15" t="str">
        <f t="shared" si="74"/>
        <v/>
      </c>
    </row>
    <row r="273" spans="1:43">
      <c r="A273" s="13" t="str">
        <f t="shared" si="60"/>
        <v/>
      </c>
      <c r="B273" s="13" t="str">
        <f t="shared" si="61"/>
        <v/>
      </c>
      <c r="C273" s="15" t="str">
        <f t="shared" si="62"/>
        <v/>
      </c>
      <c r="D273" s="15" t="str">
        <f t="shared" si="63"/>
        <v/>
      </c>
      <c r="E273" s="15" t="str">
        <f t="shared" si="64"/>
        <v/>
      </c>
      <c r="F273" s="15" t="str">
        <f t="shared" si="65"/>
        <v/>
      </c>
      <c r="G273" s="15" t="str">
        <f t="shared" si="66"/>
        <v/>
      </c>
      <c r="H273" s="15" t="str">
        <f t="shared" si="67"/>
        <v/>
      </c>
      <c r="I273" s="15" t="str">
        <f t="shared" si="68"/>
        <v/>
      </c>
      <c r="J273" s="15" t="str">
        <f t="shared" si="69"/>
        <v/>
      </c>
      <c r="K273" s="13" t="str">
        <f>IF('Cylinder Detail'!U275=0,"",'Cylinder Detail'!U275)</f>
        <v/>
      </c>
      <c r="L273" s="13" t="str">
        <f>IF('Cylinder Detail'!Z275=0,"",_xlfn.TEXTBEFORE('Cylinder Detail'!Z275, ","))</f>
        <v/>
      </c>
      <c r="M273" s="13" t="str">
        <f t="shared" si="70"/>
        <v/>
      </c>
      <c r="N273" s="17" t="str">
        <f>IF('Cylinder Detail'!V275=0,"",'Cylinder Detail'!V275)</f>
        <v/>
      </c>
      <c r="O273" s="17" t="str">
        <f>IF('Cylinder Detail'!Z275=0,"",_xlfn.TEXTAFTER('Cylinder Detail'!Z275, ", "))</f>
        <v/>
      </c>
      <c r="P273" s="17" t="str">
        <f>IF('Cylinder Detail'!AA275=0,"",'Cylinder Detail'!AA275)</f>
        <v/>
      </c>
      <c r="Q273" s="19" t="str">
        <f>IF('Cylinder Detail'!W275=0,"",'Cylinder Detail'!W275)</f>
        <v/>
      </c>
      <c r="R273" s="19" t="str">
        <f>IF('Cylinder Detail'!Y275=0,"",'Cylinder Detail'!Y275)</f>
        <v/>
      </c>
      <c r="S273" s="21" t="str">
        <f>IF('Cylinder Detail'!X275=0,"",'Cylinder Detail'!X275)</f>
        <v/>
      </c>
      <c r="T273" s="21" t="str">
        <f>IF('Cylinder Detail'!F275=0,"",'Cylinder Detail'!F275)</f>
        <v/>
      </c>
      <c r="U273" s="21" t="str">
        <f>IF('Cylinder Detail'!R275=0,"",'Cylinder Detail'!R275)</f>
        <v/>
      </c>
      <c r="V273" s="21" t="str">
        <f>IF('Cylinder Detail'!Q275=0,"",'Cylinder Detail'!Q275)</f>
        <v/>
      </c>
      <c r="W273" s="21" t="str">
        <f>IF('Cylinder Detail'!E275=0,"","+" &amp; 'Cylinder Detail'!E275)</f>
        <v/>
      </c>
      <c r="X273" s="21" t="str">
        <f t="shared" si="71"/>
        <v/>
      </c>
      <c r="Y273" s="21" t="str">
        <f>IF('Cylinder Detail'!S275=0,"",'Cylinder Detail'!S275)</f>
        <v/>
      </c>
      <c r="Z273" s="21" t="str">
        <f>IF('Cylinder Detail'!T275=0,"",'Cylinder Detail'!T275)</f>
        <v/>
      </c>
      <c r="AA273" s="21" t="str">
        <f>IF('Cylinder Detail'!H275=0,"",'Cylinder Detail'!H275)</f>
        <v/>
      </c>
      <c r="AB273" s="21" t="str">
        <f>IF('Cylinder Detail'!I275=0,"",'Cylinder Detail'!I275)</f>
        <v/>
      </c>
      <c r="AC273" s="22" t="str">
        <f>IF('Cylinder Detail'!AB275=0,"",'Cylinder Detail'!AB275)</f>
        <v/>
      </c>
      <c r="AD273" s="25" t="str">
        <f>IF('Sensor Detail'!F275=0,"","=" &amp; 'Sensor Detail'!F275)</f>
        <v/>
      </c>
      <c r="AE273" s="25" t="str">
        <f>IF('Sensor Detail'!H275=0,"",'Sensor Detail'!H275)</f>
        <v/>
      </c>
      <c r="AF273" s="27" t="str">
        <f>IF('Sensor Detail'!G275=0,"","-" &amp; 'Sensor Detail'!G275)</f>
        <v/>
      </c>
      <c r="AG273" s="27" t="str">
        <f>IF('Sensor Detail'!I275=0,"",'Sensor Detail'!I275)</f>
        <v/>
      </c>
      <c r="AH273" s="27" t="str">
        <f>IF('Sensor Detail'!E275=0,"","+" &amp; 'Sensor Detail'!E275)</f>
        <v/>
      </c>
      <c r="AI273" s="27" t="str">
        <f t="shared" si="72"/>
        <v/>
      </c>
      <c r="AJ273" s="27" t="str">
        <f>IF('Sensor Detail'!J275=0,"",'Sensor Detail'!J275)</f>
        <v/>
      </c>
      <c r="AK273" s="27" t="str">
        <f>IF('Sensor Detail'!K275=0,"",'Sensor Detail'!K275)</f>
        <v/>
      </c>
      <c r="AL273" s="27" t="str">
        <f>IF('Sensor Detail'!L275=0,"",'Sensor Detail'!L275)</f>
        <v/>
      </c>
      <c r="AM273" s="27" t="str">
        <f>IF('Sensor Detail'!M275=0,"",'Sensor Detail'!M275)</f>
        <v/>
      </c>
      <c r="AN273" s="27" t="str">
        <f>IF('Sensor Detail'!N275=0,"",'Sensor Detail'!N275)</f>
        <v/>
      </c>
      <c r="AO273" s="27" t="str">
        <f>IF('Sensor Detail'!O275=0,"",'Sensor Detail'!O275)</f>
        <v/>
      </c>
      <c r="AP273" s="15" t="str">
        <f t="shared" si="73"/>
        <v/>
      </c>
      <c r="AQ273" s="15" t="str">
        <f t="shared" si="74"/>
        <v/>
      </c>
    </row>
    <row r="274" spans="1:43">
      <c r="A274" s="13" t="str">
        <f t="shared" si="60"/>
        <v/>
      </c>
      <c r="B274" s="13" t="str">
        <f t="shared" si="61"/>
        <v/>
      </c>
      <c r="C274" s="15" t="str">
        <f t="shared" si="62"/>
        <v/>
      </c>
      <c r="D274" s="15" t="str">
        <f t="shared" si="63"/>
        <v/>
      </c>
      <c r="E274" s="15" t="str">
        <f t="shared" si="64"/>
        <v/>
      </c>
      <c r="F274" s="15" t="str">
        <f t="shared" si="65"/>
        <v/>
      </c>
      <c r="G274" s="15" t="str">
        <f t="shared" si="66"/>
        <v/>
      </c>
      <c r="H274" s="15" t="str">
        <f t="shared" si="67"/>
        <v/>
      </c>
      <c r="I274" s="15" t="str">
        <f t="shared" si="68"/>
        <v/>
      </c>
      <c r="J274" s="15" t="str">
        <f t="shared" si="69"/>
        <v/>
      </c>
      <c r="K274" s="13" t="str">
        <f>IF('Cylinder Detail'!U276=0,"",'Cylinder Detail'!U276)</f>
        <v/>
      </c>
      <c r="L274" s="13" t="str">
        <f>IF('Cylinder Detail'!Z276=0,"",_xlfn.TEXTBEFORE('Cylinder Detail'!Z276, ","))</f>
        <v/>
      </c>
      <c r="M274" s="13" t="str">
        <f t="shared" si="70"/>
        <v/>
      </c>
      <c r="N274" s="17" t="str">
        <f>IF('Cylinder Detail'!V276=0,"",'Cylinder Detail'!V276)</f>
        <v/>
      </c>
      <c r="O274" s="17" t="str">
        <f>IF('Cylinder Detail'!Z276=0,"",_xlfn.TEXTAFTER('Cylinder Detail'!Z276, ", "))</f>
        <v/>
      </c>
      <c r="P274" s="17" t="str">
        <f>IF('Cylinder Detail'!AA276=0,"",'Cylinder Detail'!AA276)</f>
        <v/>
      </c>
      <c r="Q274" s="19" t="str">
        <f>IF('Cylinder Detail'!W276=0,"",'Cylinder Detail'!W276)</f>
        <v/>
      </c>
      <c r="R274" s="19" t="str">
        <f>IF('Cylinder Detail'!Y276=0,"",'Cylinder Detail'!Y276)</f>
        <v/>
      </c>
      <c r="S274" s="21" t="str">
        <f>IF('Cylinder Detail'!X276=0,"",'Cylinder Detail'!X276)</f>
        <v/>
      </c>
      <c r="T274" s="21" t="str">
        <f>IF('Cylinder Detail'!F276=0,"",'Cylinder Detail'!F276)</f>
        <v/>
      </c>
      <c r="U274" s="21" t="str">
        <f>IF('Cylinder Detail'!R276=0,"",'Cylinder Detail'!R276)</f>
        <v/>
      </c>
      <c r="V274" s="21" t="str">
        <f>IF('Cylinder Detail'!Q276=0,"",'Cylinder Detail'!Q276)</f>
        <v/>
      </c>
      <c r="W274" s="21" t="str">
        <f>IF('Cylinder Detail'!E276=0,"","+" &amp; 'Cylinder Detail'!E276)</f>
        <v/>
      </c>
      <c r="X274" s="21" t="str">
        <f t="shared" si="71"/>
        <v/>
      </c>
      <c r="Y274" s="21" t="str">
        <f>IF('Cylinder Detail'!S276=0,"",'Cylinder Detail'!S276)</f>
        <v/>
      </c>
      <c r="Z274" s="21" t="str">
        <f>IF('Cylinder Detail'!T276=0,"",'Cylinder Detail'!T276)</f>
        <v/>
      </c>
      <c r="AA274" s="21" t="str">
        <f>IF('Cylinder Detail'!H276=0,"",'Cylinder Detail'!H276)</f>
        <v/>
      </c>
      <c r="AB274" s="21" t="str">
        <f>IF('Cylinder Detail'!I276=0,"",'Cylinder Detail'!I276)</f>
        <v/>
      </c>
      <c r="AC274" s="22" t="str">
        <f>IF('Cylinder Detail'!AB276=0,"",'Cylinder Detail'!AB276)</f>
        <v/>
      </c>
      <c r="AD274" s="25" t="str">
        <f>IF('Sensor Detail'!F276=0,"","=" &amp; 'Sensor Detail'!F276)</f>
        <v/>
      </c>
      <c r="AE274" s="25" t="str">
        <f>IF('Sensor Detail'!H276=0,"",'Sensor Detail'!H276)</f>
        <v/>
      </c>
      <c r="AF274" s="27" t="str">
        <f>IF('Sensor Detail'!G276=0,"","-" &amp; 'Sensor Detail'!G276)</f>
        <v/>
      </c>
      <c r="AG274" s="27" t="str">
        <f>IF('Sensor Detail'!I276=0,"",'Sensor Detail'!I276)</f>
        <v/>
      </c>
      <c r="AH274" s="27" t="str">
        <f>IF('Sensor Detail'!E276=0,"","+" &amp; 'Sensor Detail'!E276)</f>
        <v/>
      </c>
      <c r="AI274" s="27" t="str">
        <f t="shared" si="72"/>
        <v/>
      </c>
      <c r="AJ274" s="27" t="str">
        <f>IF('Sensor Detail'!J276=0,"",'Sensor Detail'!J276)</f>
        <v/>
      </c>
      <c r="AK274" s="27" t="str">
        <f>IF('Sensor Detail'!K276=0,"",'Sensor Detail'!K276)</f>
        <v/>
      </c>
      <c r="AL274" s="27" t="str">
        <f>IF('Sensor Detail'!L276=0,"",'Sensor Detail'!L276)</f>
        <v/>
      </c>
      <c r="AM274" s="27" t="str">
        <f>IF('Sensor Detail'!M276=0,"",'Sensor Detail'!M276)</f>
        <v/>
      </c>
      <c r="AN274" s="27" t="str">
        <f>IF('Sensor Detail'!N276=0,"",'Sensor Detail'!N276)</f>
        <v/>
      </c>
      <c r="AO274" s="27" t="str">
        <f>IF('Sensor Detail'!O276=0,"",'Sensor Detail'!O276)</f>
        <v/>
      </c>
      <c r="AP274" s="15" t="str">
        <f t="shared" si="73"/>
        <v/>
      </c>
      <c r="AQ274" s="15" t="str">
        <f t="shared" si="74"/>
        <v/>
      </c>
    </row>
    <row r="275" spans="1:43">
      <c r="A275" s="13" t="str">
        <f t="shared" si="60"/>
        <v/>
      </c>
      <c r="B275" s="13" t="str">
        <f t="shared" si="61"/>
        <v/>
      </c>
      <c r="C275" s="15" t="str">
        <f t="shared" si="62"/>
        <v/>
      </c>
      <c r="D275" s="15" t="str">
        <f t="shared" si="63"/>
        <v/>
      </c>
      <c r="E275" s="15" t="str">
        <f t="shared" si="64"/>
        <v/>
      </c>
      <c r="F275" s="15" t="str">
        <f t="shared" si="65"/>
        <v/>
      </c>
      <c r="G275" s="15" t="str">
        <f t="shared" si="66"/>
        <v/>
      </c>
      <c r="H275" s="15" t="str">
        <f t="shared" si="67"/>
        <v/>
      </c>
      <c r="I275" s="15" t="str">
        <f t="shared" si="68"/>
        <v/>
      </c>
      <c r="J275" s="15" t="str">
        <f t="shared" si="69"/>
        <v/>
      </c>
      <c r="K275" s="13" t="str">
        <f>IF('Cylinder Detail'!U277=0,"",'Cylinder Detail'!U277)</f>
        <v/>
      </c>
      <c r="L275" s="13" t="str">
        <f>IF('Cylinder Detail'!Z277=0,"",_xlfn.TEXTBEFORE('Cylinder Detail'!Z277, ","))</f>
        <v/>
      </c>
      <c r="M275" s="13" t="str">
        <f t="shared" si="70"/>
        <v/>
      </c>
      <c r="N275" s="17" t="str">
        <f>IF('Cylinder Detail'!V277=0,"",'Cylinder Detail'!V277)</f>
        <v/>
      </c>
      <c r="O275" s="17" t="str">
        <f>IF('Cylinder Detail'!Z277=0,"",_xlfn.TEXTAFTER('Cylinder Detail'!Z277, ", "))</f>
        <v/>
      </c>
      <c r="P275" s="17" t="str">
        <f>IF('Cylinder Detail'!AA277=0,"",'Cylinder Detail'!AA277)</f>
        <v/>
      </c>
      <c r="Q275" s="19" t="str">
        <f>IF('Cylinder Detail'!W277=0,"",'Cylinder Detail'!W277)</f>
        <v/>
      </c>
      <c r="R275" s="19" t="str">
        <f>IF('Cylinder Detail'!Y277=0,"",'Cylinder Detail'!Y277)</f>
        <v/>
      </c>
      <c r="S275" s="21" t="str">
        <f>IF('Cylinder Detail'!X277=0,"",'Cylinder Detail'!X277)</f>
        <v/>
      </c>
      <c r="T275" s="21" t="str">
        <f>IF('Cylinder Detail'!F277=0,"",'Cylinder Detail'!F277)</f>
        <v/>
      </c>
      <c r="U275" s="21" t="str">
        <f>IF('Cylinder Detail'!R277=0,"",'Cylinder Detail'!R277)</f>
        <v/>
      </c>
      <c r="V275" s="21" t="str">
        <f>IF('Cylinder Detail'!Q277=0,"",'Cylinder Detail'!Q277)</f>
        <v/>
      </c>
      <c r="W275" s="21" t="str">
        <f>IF('Cylinder Detail'!E277=0,"","+" &amp; 'Cylinder Detail'!E277)</f>
        <v/>
      </c>
      <c r="X275" s="21" t="str">
        <f t="shared" si="71"/>
        <v/>
      </c>
      <c r="Y275" s="21" t="str">
        <f>IF('Cylinder Detail'!S277=0,"",'Cylinder Detail'!S277)</f>
        <v/>
      </c>
      <c r="Z275" s="21" t="str">
        <f>IF('Cylinder Detail'!T277=0,"",'Cylinder Detail'!T277)</f>
        <v/>
      </c>
      <c r="AA275" s="21" t="str">
        <f>IF('Cylinder Detail'!H277=0,"",'Cylinder Detail'!H277)</f>
        <v/>
      </c>
      <c r="AB275" s="21" t="str">
        <f>IF('Cylinder Detail'!I277=0,"",'Cylinder Detail'!I277)</f>
        <v/>
      </c>
      <c r="AC275" s="22" t="str">
        <f>IF('Cylinder Detail'!AB277=0,"",'Cylinder Detail'!AB277)</f>
        <v/>
      </c>
      <c r="AD275" s="25" t="str">
        <f>IF('Sensor Detail'!F277=0,"","=" &amp; 'Sensor Detail'!F277)</f>
        <v/>
      </c>
      <c r="AE275" s="25" t="str">
        <f>IF('Sensor Detail'!H277=0,"",'Sensor Detail'!H277)</f>
        <v/>
      </c>
      <c r="AF275" s="27" t="str">
        <f>IF('Sensor Detail'!G277=0,"","-" &amp; 'Sensor Detail'!G277)</f>
        <v/>
      </c>
      <c r="AG275" s="27" t="str">
        <f>IF('Sensor Detail'!I277=0,"",'Sensor Detail'!I277)</f>
        <v/>
      </c>
      <c r="AH275" s="27" t="str">
        <f>IF('Sensor Detail'!E277=0,"","+" &amp; 'Sensor Detail'!E277)</f>
        <v/>
      </c>
      <c r="AI275" s="27" t="str">
        <f t="shared" si="72"/>
        <v/>
      </c>
      <c r="AJ275" s="27" t="str">
        <f>IF('Sensor Detail'!J277=0,"",'Sensor Detail'!J277)</f>
        <v/>
      </c>
      <c r="AK275" s="27" t="str">
        <f>IF('Sensor Detail'!K277=0,"",'Sensor Detail'!K277)</f>
        <v/>
      </c>
      <c r="AL275" s="27" t="str">
        <f>IF('Sensor Detail'!L277=0,"",'Sensor Detail'!L277)</f>
        <v/>
      </c>
      <c r="AM275" s="27" t="str">
        <f>IF('Sensor Detail'!M277=0,"",'Sensor Detail'!M277)</f>
        <v/>
      </c>
      <c r="AN275" s="27" t="str">
        <f>IF('Sensor Detail'!N277=0,"",'Sensor Detail'!N277)</f>
        <v/>
      </c>
      <c r="AO275" s="27" t="str">
        <f>IF('Sensor Detail'!O277=0,"",'Sensor Detail'!O277)</f>
        <v/>
      </c>
      <c r="AP275" s="15" t="str">
        <f t="shared" si="73"/>
        <v/>
      </c>
      <c r="AQ275" s="15" t="str">
        <f t="shared" si="74"/>
        <v/>
      </c>
    </row>
    <row r="276" spans="1:43">
      <c r="A276" s="13" t="str">
        <f t="shared" si="60"/>
        <v/>
      </c>
      <c r="B276" s="13" t="str">
        <f t="shared" si="61"/>
        <v/>
      </c>
      <c r="C276" s="15" t="str">
        <f t="shared" si="62"/>
        <v/>
      </c>
      <c r="D276" s="15" t="str">
        <f t="shared" si="63"/>
        <v/>
      </c>
      <c r="E276" s="15" t="str">
        <f t="shared" si="64"/>
        <v/>
      </c>
      <c r="F276" s="15" t="str">
        <f t="shared" si="65"/>
        <v/>
      </c>
      <c r="G276" s="15" t="str">
        <f t="shared" si="66"/>
        <v/>
      </c>
      <c r="H276" s="15" t="str">
        <f t="shared" si="67"/>
        <v/>
      </c>
      <c r="I276" s="15" t="str">
        <f t="shared" si="68"/>
        <v/>
      </c>
      <c r="J276" s="15" t="str">
        <f t="shared" si="69"/>
        <v/>
      </c>
      <c r="K276" s="13" t="str">
        <f>IF('Cylinder Detail'!U278=0,"",'Cylinder Detail'!U278)</f>
        <v/>
      </c>
      <c r="L276" s="13" t="str">
        <f>IF('Cylinder Detail'!Z278=0,"",_xlfn.TEXTBEFORE('Cylinder Detail'!Z278, ","))</f>
        <v/>
      </c>
      <c r="M276" s="13" t="str">
        <f t="shared" si="70"/>
        <v/>
      </c>
      <c r="N276" s="17" t="str">
        <f>IF('Cylinder Detail'!V278=0,"",'Cylinder Detail'!V278)</f>
        <v/>
      </c>
      <c r="O276" s="17" t="str">
        <f>IF('Cylinder Detail'!Z278=0,"",_xlfn.TEXTAFTER('Cylinder Detail'!Z278, ", "))</f>
        <v/>
      </c>
      <c r="P276" s="17" t="str">
        <f>IF('Cylinder Detail'!AA278=0,"",'Cylinder Detail'!AA278)</f>
        <v/>
      </c>
      <c r="Q276" s="19" t="str">
        <f>IF('Cylinder Detail'!W278=0,"",'Cylinder Detail'!W278)</f>
        <v/>
      </c>
      <c r="R276" s="19" t="str">
        <f>IF('Cylinder Detail'!Y278=0,"",'Cylinder Detail'!Y278)</f>
        <v/>
      </c>
      <c r="S276" s="21" t="str">
        <f>IF('Cylinder Detail'!X278=0,"",'Cylinder Detail'!X278)</f>
        <v/>
      </c>
      <c r="T276" s="21" t="str">
        <f>IF('Cylinder Detail'!F278=0,"",'Cylinder Detail'!F278)</f>
        <v/>
      </c>
      <c r="U276" s="21" t="str">
        <f>IF('Cylinder Detail'!R278=0,"",'Cylinder Detail'!R278)</f>
        <v/>
      </c>
      <c r="V276" s="21" t="str">
        <f>IF('Cylinder Detail'!Q278=0,"",'Cylinder Detail'!Q278)</f>
        <v/>
      </c>
      <c r="W276" s="21" t="str">
        <f>IF('Cylinder Detail'!E278=0,"","+" &amp; 'Cylinder Detail'!E278)</f>
        <v/>
      </c>
      <c r="X276" s="21" t="str">
        <f t="shared" si="71"/>
        <v/>
      </c>
      <c r="Y276" s="21" t="str">
        <f>IF('Cylinder Detail'!S278=0,"",'Cylinder Detail'!S278)</f>
        <v/>
      </c>
      <c r="Z276" s="21" t="str">
        <f>IF('Cylinder Detail'!T278=0,"",'Cylinder Detail'!T278)</f>
        <v/>
      </c>
      <c r="AA276" s="21" t="str">
        <f>IF('Cylinder Detail'!H278=0,"",'Cylinder Detail'!H278)</f>
        <v/>
      </c>
      <c r="AB276" s="21" t="str">
        <f>IF('Cylinder Detail'!I278=0,"",'Cylinder Detail'!I278)</f>
        <v/>
      </c>
      <c r="AC276" s="22" t="str">
        <f>IF('Cylinder Detail'!AB278=0,"",'Cylinder Detail'!AB278)</f>
        <v/>
      </c>
      <c r="AD276" s="25" t="str">
        <f>IF('Sensor Detail'!F278=0,"","=" &amp; 'Sensor Detail'!F278)</f>
        <v/>
      </c>
      <c r="AE276" s="25" t="str">
        <f>IF('Sensor Detail'!H278=0,"",'Sensor Detail'!H278)</f>
        <v/>
      </c>
      <c r="AF276" s="27" t="str">
        <f>IF('Sensor Detail'!G278=0,"","-" &amp; 'Sensor Detail'!G278)</f>
        <v/>
      </c>
      <c r="AG276" s="27" t="str">
        <f>IF('Sensor Detail'!I278=0,"",'Sensor Detail'!I278)</f>
        <v/>
      </c>
      <c r="AH276" s="27" t="str">
        <f>IF('Sensor Detail'!E278=0,"","+" &amp; 'Sensor Detail'!E278)</f>
        <v/>
      </c>
      <c r="AI276" s="27" t="str">
        <f t="shared" si="72"/>
        <v/>
      </c>
      <c r="AJ276" s="27" t="str">
        <f>IF('Sensor Detail'!J278=0,"",'Sensor Detail'!J278)</f>
        <v/>
      </c>
      <c r="AK276" s="27" t="str">
        <f>IF('Sensor Detail'!K278=0,"",'Sensor Detail'!K278)</f>
        <v/>
      </c>
      <c r="AL276" s="27" t="str">
        <f>IF('Sensor Detail'!L278=0,"",'Sensor Detail'!L278)</f>
        <v/>
      </c>
      <c r="AM276" s="27" t="str">
        <f>IF('Sensor Detail'!M278=0,"",'Sensor Detail'!M278)</f>
        <v/>
      </c>
      <c r="AN276" s="27" t="str">
        <f>IF('Sensor Detail'!N278=0,"",'Sensor Detail'!N278)</f>
        <v/>
      </c>
      <c r="AO276" s="27" t="str">
        <f>IF('Sensor Detail'!O278=0,"",'Sensor Detail'!O278)</f>
        <v/>
      </c>
      <c r="AP276" s="15" t="str">
        <f t="shared" si="73"/>
        <v/>
      </c>
      <c r="AQ276" s="15" t="str">
        <f t="shared" si="74"/>
        <v/>
      </c>
    </row>
    <row r="277" spans="1:43">
      <c r="A277" s="13" t="str">
        <f t="shared" si="60"/>
        <v/>
      </c>
      <c r="B277" s="13" t="str">
        <f t="shared" si="61"/>
        <v/>
      </c>
      <c r="C277" s="15" t="str">
        <f t="shared" si="62"/>
        <v/>
      </c>
      <c r="D277" s="15" t="str">
        <f t="shared" si="63"/>
        <v/>
      </c>
      <c r="E277" s="15" t="str">
        <f t="shared" si="64"/>
        <v/>
      </c>
      <c r="F277" s="15" t="str">
        <f t="shared" si="65"/>
        <v/>
      </c>
      <c r="G277" s="15" t="str">
        <f t="shared" si="66"/>
        <v/>
      </c>
      <c r="H277" s="15" t="str">
        <f t="shared" si="67"/>
        <v/>
      </c>
      <c r="I277" s="15" t="str">
        <f t="shared" si="68"/>
        <v/>
      </c>
      <c r="J277" s="15" t="str">
        <f t="shared" si="69"/>
        <v/>
      </c>
      <c r="K277" s="13" t="str">
        <f>IF('Cylinder Detail'!U279=0,"",'Cylinder Detail'!U279)</f>
        <v/>
      </c>
      <c r="L277" s="13" t="str">
        <f>IF('Cylinder Detail'!Z279=0,"",_xlfn.TEXTBEFORE('Cylinder Detail'!Z279, ","))</f>
        <v/>
      </c>
      <c r="M277" s="13" t="str">
        <f t="shared" si="70"/>
        <v/>
      </c>
      <c r="N277" s="17" t="str">
        <f>IF('Cylinder Detail'!V279=0,"",'Cylinder Detail'!V279)</f>
        <v/>
      </c>
      <c r="O277" s="17" t="str">
        <f>IF('Cylinder Detail'!Z279=0,"",_xlfn.TEXTAFTER('Cylinder Detail'!Z279, ", "))</f>
        <v/>
      </c>
      <c r="P277" s="17" t="str">
        <f>IF('Cylinder Detail'!AA279=0,"",'Cylinder Detail'!AA279)</f>
        <v/>
      </c>
      <c r="Q277" s="19" t="str">
        <f>IF('Cylinder Detail'!W279=0,"",'Cylinder Detail'!W279)</f>
        <v/>
      </c>
      <c r="R277" s="19" t="str">
        <f>IF('Cylinder Detail'!Y279=0,"",'Cylinder Detail'!Y279)</f>
        <v/>
      </c>
      <c r="S277" s="21" t="str">
        <f>IF('Cylinder Detail'!X279=0,"",'Cylinder Detail'!X279)</f>
        <v/>
      </c>
      <c r="T277" s="21" t="str">
        <f>IF('Cylinder Detail'!F279=0,"",'Cylinder Detail'!F279)</f>
        <v/>
      </c>
      <c r="U277" s="21" t="str">
        <f>IF('Cylinder Detail'!R279=0,"",'Cylinder Detail'!R279)</f>
        <v/>
      </c>
      <c r="V277" s="21" t="str">
        <f>IF('Cylinder Detail'!Q279=0,"",'Cylinder Detail'!Q279)</f>
        <v/>
      </c>
      <c r="W277" s="21" t="str">
        <f>IF('Cylinder Detail'!E279=0,"","+" &amp; 'Cylinder Detail'!E279)</f>
        <v/>
      </c>
      <c r="X277" s="21" t="str">
        <f t="shared" si="71"/>
        <v/>
      </c>
      <c r="Y277" s="21" t="str">
        <f>IF('Cylinder Detail'!S279=0,"",'Cylinder Detail'!S279)</f>
        <v/>
      </c>
      <c r="Z277" s="21" t="str">
        <f>IF('Cylinder Detail'!T279=0,"",'Cylinder Detail'!T279)</f>
        <v/>
      </c>
      <c r="AA277" s="21" t="str">
        <f>IF('Cylinder Detail'!H279=0,"",'Cylinder Detail'!H279)</f>
        <v/>
      </c>
      <c r="AB277" s="21" t="str">
        <f>IF('Cylinder Detail'!I279=0,"",'Cylinder Detail'!I279)</f>
        <v/>
      </c>
      <c r="AC277" s="22" t="str">
        <f>IF('Cylinder Detail'!AB279=0,"",'Cylinder Detail'!AB279)</f>
        <v/>
      </c>
      <c r="AD277" s="25" t="str">
        <f>IF('Sensor Detail'!F279=0,"","=" &amp; 'Sensor Detail'!F279)</f>
        <v/>
      </c>
      <c r="AE277" s="25" t="str">
        <f>IF('Sensor Detail'!H279=0,"",'Sensor Detail'!H279)</f>
        <v/>
      </c>
      <c r="AF277" s="27" t="str">
        <f>IF('Sensor Detail'!G279=0,"","-" &amp; 'Sensor Detail'!G279)</f>
        <v/>
      </c>
      <c r="AG277" s="27" t="str">
        <f>IF('Sensor Detail'!I279=0,"",'Sensor Detail'!I279)</f>
        <v/>
      </c>
      <c r="AH277" s="27" t="str">
        <f>IF('Sensor Detail'!E279=0,"","+" &amp; 'Sensor Detail'!E279)</f>
        <v/>
      </c>
      <c r="AI277" s="27" t="str">
        <f t="shared" si="72"/>
        <v/>
      </c>
      <c r="AJ277" s="27" t="str">
        <f>IF('Sensor Detail'!J279=0,"",'Sensor Detail'!J279)</f>
        <v/>
      </c>
      <c r="AK277" s="27" t="str">
        <f>IF('Sensor Detail'!K279=0,"",'Sensor Detail'!K279)</f>
        <v/>
      </c>
      <c r="AL277" s="27" t="str">
        <f>IF('Sensor Detail'!L279=0,"",'Sensor Detail'!L279)</f>
        <v/>
      </c>
      <c r="AM277" s="27" t="str">
        <f>IF('Sensor Detail'!M279=0,"",'Sensor Detail'!M279)</f>
        <v/>
      </c>
      <c r="AN277" s="27" t="str">
        <f>IF('Sensor Detail'!N279=0,"",'Sensor Detail'!N279)</f>
        <v/>
      </c>
      <c r="AO277" s="27" t="str">
        <f>IF('Sensor Detail'!O279=0,"",'Sensor Detail'!O279)</f>
        <v/>
      </c>
      <c r="AP277" s="15" t="str">
        <f t="shared" si="73"/>
        <v/>
      </c>
      <c r="AQ277" s="15" t="str">
        <f t="shared" si="74"/>
        <v/>
      </c>
    </row>
    <row r="278" spans="1:43">
      <c r="A278" s="13" t="str">
        <f t="shared" si="60"/>
        <v/>
      </c>
      <c r="B278" s="13" t="str">
        <f t="shared" si="61"/>
        <v/>
      </c>
      <c r="C278" s="15" t="str">
        <f t="shared" si="62"/>
        <v/>
      </c>
      <c r="D278" s="15" t="str">
        <f t="shared" si="63"/>
        <v/>
      </c>
      <c r="E278" s="15" t="str">
        <f t="shared" si="64"/>
        <v/>
      </c>
      <c r="F278" s="15" t="str">
        <f t="shared" si="65"/>
        <v/>
      </c>
      <c r="G278" s="15" t="str">
        <f t="shared" si="66"/>
        <v/>
      </c>
      <c r="H278" s="15" t="str">
        <f t="shared" si="67"/>
        <v/>
      </c>
      <c r="I278" s="15" t="str">
        <f t="shared" si="68"/>
        <v/>
      </c>
      <c r="J278" s="15" t="str">
        <f t="shared" si="69"/>
        <v/>
      </c>
      <c r="K278" s="13" t="str">
        <f>IF('Cylinder Detail'!U280=0,"",'Cylinder Detail'!U280)</f>
        <v/>
      </c>
      <c r="L278" s="13" t="str">
        <f>IF('Cylinder Detail'!Z280=0,"",_xlfn.TEXTBEFORE('Cylinder Detail'!Z280, ","))</f>
        <v/>
      </c>
      <c r="M278" s="13" t="str">
        <f t="shared" si="70"/>
        <v/>
      </c>
      <c r="N278" s="17" t="str">
        <f>IF('Cylinder Detail'!V280=0,"",'Cylinder Detail'!V280)</f>
        <v/>
      </c>
      <c r="O278" s="17" t="str">
        <f>IF('Cylinder Detail'!Z280=0,"",_xlfn.TEXTAFTER('Cylinder Detail'!Z280, ", "))</f>
        <v/>
      </c>
      <c r="P278" s="17" t="str">
        <f>IF('Cylinder Detail'!AA280=0,"",'Cylinder Detail'!AA280)</f>
        <v/>
      </c>
      <c r="Q278" s="19" t="str">
        <f>IF('Cylinder Detail'!W280=0,"",'Cylinder Detail'!W280)</f>
        <v/>
      </c>
      <c r="R278" s="19" t="str">
        <f>IF('Cylinder Detail'!Y280=0,"",'Cylinder Detail'!Y280)</f>
        <v/>
      </c>
      <c r="S278" s="21" t="str">
        <f>IF('Cylinder Detail'!X280=0,"",'Cylinder Detail'!X280)</f>
        <v/>
      </c>
      <c r="T278" s="21" t="str">
        <f>IF('Cylinder Detail'!F280=0,"",'Cylinder Detail'!F280)</f>
        <v/>
      </c>
      <c r="U278" s="21" t="str">
        <f>IF('Cylinder Detail'!R280=0,"",'Cylinder Detail'!R280)</f>
        <v/>
      </c>
      <c r="V278" s="21" t="str">
        <f>IF('Cylinder Detail'!Q280=0,"",'Cylinder Detail'!Q280)</f>
        <v/>
      </c>
      <c r="W278" s="21" t="str">
        <f>IF('Cylinder Detail'!E280=0,"","+" &amp; 'Cylinder Detail'!E280)</f>
        <v/>
      </c>
      <c r="X278" s="21" t="str">
        <f t="shared" si="71"/>
        <v/>
      </c>
      <c r="Y278" s="21" t="str">
        <f>IF('Cylinder Detail'!S280=0,"",'Cylinder Detail'!S280)</f>
        <v/>
      </c>
      <c r="Z278" s="21" t="str">
        <f>IF('Cylinder Detail'!T280=0,"",'Cylinder Detail'!T280)</f>
        <v/>
      </c>
      <c r="AA278" s="21" t="str">
        <f>IF('Cylinder Detail'!H280=0,"",'Cylinder Detail'!H280)</f>
        <v/>
      </c>
      <c r="AB278" s="21" t="str">
        <f>IF('Cylinder Detail'!I280=0,"",'Cylinder Detail'!I280)</f>
        <v/>
      </c>
      <c r="AC278" s="22" t="str">
        <f>IF('Cylinder Detail'!AB280=0,"",'Cylinder Detail'!AB280)</f>
        <v/>
      </c>
      <c r="AD278" s="25" t="str">
        <f>IF('Sensor Detail'!F280=0,"","=" &amp; 'Sensor Detail'!F280)</f>
        <v/>
      </c>
      <c r="AE278" s="25" t="str">
        <f>IF('Sensor Detail'!H280=0,"",'Sensor Detail'!H280)</f>
        <v/>
      </c>
      <c r="AF278" s="27" t="str">
        <f>IF('Sensor Detail'!G280=0,"","-" &amp; 'Sensor Detail'!G280)</f>
        <v/>
      </c>
      <c r="AG278" s="27" t="str">
        <f>IF('Sensor Detail'!I280=0,"",'Sensor Detail'!I280)</f>
        <v/>
      </c>
      <c r="AH278" s="27" t="str">
        <f>IF('Sensor Detail'!E280=0,"","+" &amp; 'Sensor Detail'!E280)</f>
        <v/>
      </c>
      <c r="AI278" s="27" t="str">
        <f t="shared" si="72"/>
        <v/>
      </c>
      <c r="AJ278" s="27" t="str">
        <f>IF('Sensor Detail'!J280=0,"",'Sensor Detail'!J280)</f>
        <v/>
      </c>
      <c r="AK278" s="27" t="str">
        <f>IF('Sensor Detail'!K280=0,"",'Sensor Detail'!K280)</f>
        <v/>
      </c>
      <c r="AL278" s="27" t="str">
        <f>IF('Sensor Detail'!L280=0,"",'Sensor Detail'!L280)</f>
        <v/>
      </c>
      <c r="AM278" s="27" t="str">
        <f>IF('Sensor Detail'!M280=0,"",'Sensor Detail'!M280)</f>
        <v/>
      </c>
      <c r="AN278" s="27" t="str">
        <f>IF('Sensor Detail'!N280=0,"",'Sensor Detail'!N280)</f>
        <v/>
      </c>
      <c r="AO278" s="27" t="str">
        <f>IF('Sensor Detail'!O280=0,"",'Sensor Detail'!O280)</f>
        <v/>
      </c>
      <c r="AP278" s="15" t="str">
        <f t="shared" si="73"/>
        <v/>
      </c>
      <c r="AQ278" s="15" t="str">
        <f t="shared" si="74"/>
        <v/>
      </c>
    </row>
    <row r="279" spans="1:43">
      <c r="A279" s="13" t="str">
        <f t="shared" si="60"/>
        <v/>
      </c>
      <c r="B279" s="13" t="str">
        <f t="shared" si="61"/>
        <v/>
      </c>
      <c r="C279" s="15" t="str">
        <f t="shared" si="62"/>
        <v/>
      </c>
      <c r="D279" s="15" t="str">
        <f t="shared" si="63"/>
        <v/>
      </c>
      <c r="E279" s="15" t="str">
        <f t="shared" si="64"/>
        <v/>
      </c>
      <c r="F279" s="15" t="str">
        <f t="shared" si="65"/>
        <v/>
      </c>
      <c r="G279" s="15" t="str">
        <f t="shared" si="66"/>
        <v/>
      </c>
      <c r="H279" s="15" t="str">
        <f t="shared" si="67"/>
        <v/>
      </c>
      <c r="I279" s="15" t="str">
        <f t="shared" si="68"/>
        <v/>
      </c>
      <c r="J279" s="15" t="str">
        <f t="shared" si="69"/>
        <v/>
      </c>
      <c r="K279" s="13" t="str">
        <f>IF('Cylinder Detail'!U281=0,"",'Cylinder Detail'!U281)</f>
        <v/>
      </c>
      <c r="L279" s="13" t="str">
        <f>IF('Cylinder Detail'!Z281=0,"",_xlfn.TEXTBEFORE('Cylinder Detail'!Z281, ","))</f>
        <v/>
      </c>
      <c r="M279" s="13" t="str">
        <f t="shared" si="70"/>
        <v/>
      </c>
      <c r="N279" s="17" t="str">
        <f>IF('Cylinder Detail'!V281=0,"",'Cylinder Detail'!V281)</f>
        <v/>
      </c>
      <c r="O279" s="17" t="str">
        <f>IF('Cylinder Detail'!Z281=0,"",_xlfn.TEXTAFTER('Cylinder Detail'!Z281, ", "))</f>
        <v/>
      </c>
      <c r="P279" s="17" t="str">
        <f>IF('Cylinder Detail'!AA281=0,"",'Cylinder Detail'!AA281)</f>
        <v/>
      </c>
      <c r="Q279" s="19" t="str">
        <f>IF('Cylinder Detail'!W281=0,"",'Cylinder Detail'!W281)</f>
        <v/>
      </c>
      <c r="R279" s="19" t="str">
        <f>IF('Cylinder Detail'!Y281=0,"",'Cylinder Detail'!Y281)</f>
        <v/>
      </c>
      <c r="S279" s="21" t="str">
        <f>IF('Cylinder Detail'!X281=0,"",'Cylinder Detail'!X281)</f>
        <v/>
      </c>
      <c r="T279" s="21" t="str">
        <f>IF('Cylinder Detail'!F281=0,"",'Cylinder Detail'!F281)</f>
        <v/>
      </c>
      <c r="U279" s="21" t="str">
        <f>IF('Cylinder Detail'!R281=0,"",'Cylinder Detail'!R281)</f>
        <v/>
      </c>
      <c r="V279" s="21" t="str">
        <f>IF('Cylinder Detail'!Q281=0,"",'Cylinder Detail'!Q281)</f>
        <v/>
      </c>
      <c r="W279" s="21" t="str">
        <f>IF('Cylinder Detail'!E281=0,"","+" &amp; 'Cylinder Detail'!E281)</f>
        <v/>
      </c>
      <c r="X279" s="21" t="str">
        <f t="shared" si="71"/>
        <v/>
      </c>
      <c r="Y279" s="21" t="str">
        <f>IF('Cylinder Detail'!S281=0,"",'Cylinder Detail'!S281)</f>
        <v/>
      </c>
      <c r="Z279" s="21" t="str">
        <f>IF('Cylinder Detail'!T281=0,"",'Cylinder Detail'!T281)</f>
        <v/>
      </c>
      <c r="AA279" s="21" t="str">
        <f>IF('Cylinder Detail'!H281=0,"",'Cylinder Detail'!H281)</f>
        <v/>
      </c>
      <c r="AB279" s="21" t="str">
        <f>IF('Cylinder Detail'!I281=0,"",'Cylinder Detail'!I281)</f>
        <v/>
      </c>
      <c r="AC279" s="22" t="str">
        <f>IF('Cylinder Detail'!AB281=0,"",'Cylinder Detail'!AB281)</f>
        <v/>
      </c>
      <c r="AD279" s="25" t="str">
        <f>IF('Sensor Detail'!F281=0,"","=" &amp; 'Sensor Detail'!F281)</f>
        <v/>
      </c>
      <c r="AE279" s="25" t="str">
        <f>IF('Sensor Detail'!H281=0,"",'Sensor Detail'!H281)</f>
        <v/>
      </c>
      <c r="AF279" s="27" t="str">
        <f>IF('Sensor Detail'!G281=0,"","-" &amp; 'Sensor Detail'!G281)</f>
        <v/>
      </c>
      <c r="AG279" s="27" t="str">
        <f>IF('Sensor Detail'!I281=0,"",'Sensor Detail'!I281)</f>
        <v/>
      </c>
      <c r="AH279" s="27" t="str">
        <f>IF('Sensor Detail'!E281=0,"","+" &amp; 'Sensor Detail'!E281)</f>
        <v/>
      </c>
      <c r="AI279" s="27" t="str">
        <f t="shared" si="72"/>
        <v/>
      </c>
      <c r="AJ279" s="27" t="str">
        <f>IF('Sensor Detail'!J281=0,"",'Sensor Detail'!J281)</f>
        <v/>
      </c>
      <c r="AK279" s="27" t="str">
        <f>IF('Sensor Detail'!K281=0,"",'Sensor Detail'!K281)</f>
        <v/>
      </c>
      <c r="AL279" s="27" t="str">
        <f>IF('Sensor Detail'!L281=0,"",'Sensor Detail'!L281)</f>
        <v/>
      </c>
      <c r="AM279" s="27" t="str">
        <f>IF('Sensor Detail'!M281=0,"",'Sensor Detail'!M281)</f>
        <v/>
      </c>
      <c r="AN279" s="27" t="str">
        <f>IF('Sensor Detail'!N281=0,"",'Sensor Detail'!N281)</f>
        <v/>
      </c>
      <c r="AO279" s="27" t="str">
        <f>IF('Sensor Detail'!O281=0,"",'Sensor Detail'!O281)</f>
        <v/>
      </c>
      <c r="AP279" s="15" t="str">
        <f t="shared" si="73"/>
        <v/>
      </c>
      <c r="AQ279" s="15" t="str">
        <f t="shared" si="74"/>
        <v/>
      </c>
    </row>
    <row r="280" spans="1:43">
      <c r="A280" s="13" t="str">
        <f t="shared" si="60"/>
        <v/>
      </c>
      <c r="B280" s="13" t="str">
        <f t="shared" si="61"/>
        <v/>
      </c>
      <c r="C280" s="15" t="str">
        <f t="shared" si="62"/>
        <v/>
      </c>
      <c r="D280" s="15" t="str">
        <f t="shared" si="63"/>
        <v/>
      </c>
      <c r="E280" s="15" t="str">
        <f t="shared" si="64"/>
        <v/>
      </c>
      <c r="F280" s="15" t="str">
        <f t="shared" si="65"/>
        <v/>
      </c>
      <c r="G280" s="15" t="str">
        <f t="shared" si="66"/>
        <v/>
      </c>
      <c r="H280" s="15" t="str">
        <f t="shared" si="67"/>
        <v/>
      </c>
      <c r="I280" s="15" t="str">
        <f t="shared" si="68"/>
        <v/>
      </c>
      <c r="J280" s="15" t="str">
        <f t="shared" si="69"/>
        <v/>
      </c>
      <c r="K280" s="13" t="str">
        <f>IF('Cylinder Detail'!U282=0,"",'Cylinder Detail'!U282)</f>
        <v/>
      </c>
      <c r="L280" s="13" t="str">
        <f>IF('Cylinder Detail'!Z282=0,"",_xlfn.TEXTBEFORE('Cylinder Detail'!Z282, ","))</f>
        <v/>
      </c>
      <c r="M280" s="13" t="str">
        <f t="shared" si="70"/>
        <v/>
      </c>
      <c r="N280" s="17" t="str">
        <f>IF('Cylinder Detail'!V282=0,"",'Cylinder Detail'!V282)</f>
        <v/>
      </c>
      <c r="O280" s="17" t="str">
        <f>IF('Cylinder Detail'!Z282=0,"",_xlfn.TEXTAFTER('Cylinder Detail'!Z282, ", "))</f>
        <v/>
      </c>
      <c r="P280" s="17" t="str">
        <f>IF('Cylinder Detail'!AA282=0,"",'Cylinder Detail'!AA282)</f>
        <v/>
      </c>
      <c r="Q280" s="19" t="str">
        <f>IF('Cylinder Detail'!W282=0,"",'Cylinder Detail'!W282)</f>
        <v/>
      </c>
      <c r="R280" s="19" t="str">
        <f>IF('Cylinder Detail'!Y282=0,"",'Cylinder Detail'!Y282)</f>
        <v/>
      </c>
      <c r="S280" s="21" t="str">
        <f>IF('Cylinder Detail'!X282=0,"",'Cylinder Detail'!X282)</f>
        <v/>
      </c>
      <c r="T280" s="21" t="str">
        <f>IF('Cylinder Detail'!F282=0,"",'Cylinder Detail'!F282)</f>
        <v/>
      </c>
      <c r="U280" s="21" t="str">
        <f>IF('Cylinder Detail'!R282=0,"",'Cylinder Detail'!R282)</f>
        <v/>
      </c>
      <c r="V280" s="21" t="str">
        <f>IF('Cylinder Detail'!Q282=0,"",'Cylinder Detail'!Q282)</f>
        <v/>
      </c>
      <c r="W280" s="21" t="str">
        <f>IF('Cylinder Detail'!E282=0,"","+" &amp; 'Cylinder Detail'!E282)</f>
        <v/>
      </c>
      <c r="X280" s="21" t="str">
        <f t="shared" si="71"/>
        <v/>
      </c>
      <c r="Y280" s="21" t="str">
        <f>IF('Cylinder Detail'!S282=0,"",'Cylinder Detail'!S282)</f>
        <v/>
      </c>
      <c r="Z280" s="21" t="str">
        <f>IF('Cylinder Detail'!T282=0,"",'Cylinder Detail'!T282)</f>
        <v/>
      </c>
      <c r="AA280" s="21" t="str">
        <f>IF('Cylinder Detail'!H282=0,"",'Cylinder Detail'!H282)</f>
        <v/>
      </c>
      <c r="AB280" s="21" t="str">
        <f>IF('Cylinder Detail'!I282=0,"",'Cylinder Detail'!I282)</f>
        <v/>
      </c>
      <c r="AC280" s="22" t="str">
        <f>IF('Cylinder Detail'!AB282=0,"",'Cylinder Detail'!AB282)</f>
        <v/>
      </c>
      <c r="AD280" s="25" t="str">
        <f>IF('Sensor Detail'!F282=0,"","=" &amp; 'Sensor Detail'!F282)</f>
        <v/>
      </c>
      <c r="AE280" s="25" t="str">
        <f>IF('Sensor Detail'!H282=0,"",'Sensor Detail'!H282)</f>
        <v/>
      </c>
      <c r="AF280" s="27" t="str">
        <f>IF('Sensor Detail'!G282=0,"","-" &amp; 'Sensor Detail'!G282)</f>
        <v/>
      </c>
      <c r="AG280" s="27" t="str">
        <f>IF('Sensor Detail'!I282=0,"",'Sensor Detail'!I282)</f>
        <v/>
      </c>
      <c r="AH280" s="27" t="str">
        <f>IF('Sensor Detail'!E282=0,"","+" &amp; 'Sensor Detail'!E282)</f>
        <v/>
      </c>
      <c r="AI280" s="27" t="str">
        <f t="shared" si="72"/>
        <v/>
      </c>
      <c r="AJ280" s="27" t="str">
        <f>IF('Sensor Detail'!J282=0,"",'Sensor Detail'!J282)</f>
        <v/>
      </c>
      <c r="AK280" s="27" t="str">
        <f>IF('Sensor Detail'!K282=0,"",'Sensor Detail'!K282)</f>
        <v/>
      </c>
      <c r="AL280" s="27" t="str">
        <f>IF('Sensor Detail'!L282=0,"",'Sensor Detail'!L282)</f>
        <v/>
      </c>
      <c r="AM280" s="27" t="str">
        <f>IF('Sensor Detail'!M282=0,"",'Sensor Detail'!M282)</f>
        <v/>
      </c>
      <c r="AN280" s="27" t="str">
        <f>IF('Sensor Detail'!N282=0,"",'Sensor Detail'!N282)</f>
        <v/>
      </c>
      <c r="AO280" s="27" t="str">
        <f>IF('Sensor Detail'!O282=0,"",'Sensor Detail'!O282)</f>
        <v/>
      </c>
      <c r="AP280" s="15" t="str">
        <f t="shared" si="73"/>
        <v/>
      </c>
      <c r="AQ280" s="15" t="str">
        <f t="shared" si="74"/>
        <v/>
      </c>
    </row>
    <row r="281" spans="1:43">
      <c r="A281" s="13" t="str">
        <f t="shared" si="60"/>
        <v/>
      </c>
      <c r="B281" s="13" t="str">
        <f t="shared" si="61"/>
        <v/>
      </c>
      <c r="C281" s="15" t="str">
        <f t="shared" si="62"/>
        <v/>
      </c>
      <c r="D281" s="15" t="str">
        <f t="shared" si="63"/>
        <v/>
      </c>
      <c r="E281" s="15" t="str">
        <f t="shared" si="64"/>
        <v/>
      </c>
      <c r="F281" s="15" t="str">
        <f t="shared" si="65"/>
        <v/>
      </c>
      <c r="G281" s="15" t="str">
        <f t="shared" si="66"/>
        <v/>
      </c>
      <c r="H281" s="15" t="str">
        <f t="shared" si="67"/>
        <v/>
      </c>
      <c r="I281" s="15" t="str">
        <f t="shared" si="68"/>
        <v/>
      </c>
      <c r="J281" s="15" t="str">
        <f t="shared" si="69"/>
        <v/>
      </c>
      <c r="K281" s="13" t="str">
        <f>IF('Cylinder Detail'!U283=0,"",'Cylinder Detail'!U283)</f>
        <v/>
      </c>
      <c r="L281" s="13" t="str">
        <f>IF('Cylinder Detail'!Z283=0,"",_xlfn.TEXTBEFORE('Cylinder Detail'!Z283, ","))</f>
        <v/>
      </c>
      <c r="M281" s="13" t="str">
        <f t="shared" si="70"/>
        <v/>
      </c>
      <c r="N281" s="17" t="str">
        <f>IF('Cylinder Detail'!V283=0,"",'Cylinder Detail'!V283)</f>
        <v/>
      </c>
      <c r="O281" s="17" t="str">
        <f>IF('Cylinder Detail'!Z283=0,"",_xlfn.TEXTAFTER('Cylinder Detail'!Z283, ", "))</f>
        <v/>
      </c>
      <c r="P281" s="17" t="str">
        <f>IF('Cylinder Detail'!AA283=0,"",'Cylinder Detail'!AA283)</f>
        <v/>
      </c>
      <c r="Q281" s="19" t="str">
        <f>IF('Cylinder Detail'!W283=0,"",'Cylinder Detail'!W283)</f>
        <v/>
      </c>
      <c r="R281" s="19" t="str">
        <f>IF('Cylinder Detail'!Y283=0,"",'Cylinder Detail'!Y283)</f>
        <v/>
      </c>
      <c r="S281" s="21" t="str">
        <f>IF('Cylinder Detail'!X283=0,"",'Cylinder Detail'!X283)</f>
        <v/>
      </c>
      <c r="T281" s="21" t="str">
        <f>IF('Cylinder Detail'!F283=0,"",'Cylinder Detail'!F283)</f>
        <v/>
      </c>
      <c r="U281" s="21" t="str">
        <f>IF('Cylinder Detail'!R283=0,"",'Cylinder Detail'!R283)</f>
        <v/>
      </c>
      <c r="V281" s="21" t="str">
        <f>IF('Cylinder Detail'!Q283=0,"",'Cylinder Detail'!Q283)</f>
        <v/>
      </c>
      <c r="W281" s="21" t="str">
        <f>IF('Cylinder Detail'!E283=0,"","+" &amp; 'Cylinder Detail'!E283)</f>
        <v/>
      </c>
      <c r="X281" s="21" t="str">
        <f t="shared" si="71"/>
        <v/>
      </c>
      <c r="Y281" s="21" t="str">
        <f>IF('Cylinder Detail'!S283=0,"",'Cylinder Detail'!S283)</f>
        <v/>
      </c>
      <c r="Z281" s="21" t="str">
        <f>IF('Cylinder Detail'!T283=0,"",'Cylinder Detail'!T283)</f>
        <v/>
      </c>
      <c r="AA281" s="21" t="str">
        <f>IF('Cylinder Detail'!H283=0,"",'Cylinder Detail'!H283)</f>
        <v/>
      </c>
      <c r="AB281" s="21" t="str">
        <f>IF('Cylinder Detail'!I283=0,"",'Cylinder Detail'!I283)</f>
        <v/>
      </c>
      <c r="AC281" s="22" t="str">
        <f>IF('Cylinder Detail'!AB283=0,"",'Cylinder Detail'!AB283)</f>
        <v/>
      </c>
      <c r="AD281" s="25" t="str">
        <f>IF('Sensor Detail'!F283=0,"","=" &amp; 'Sensor Detail'!F283)</f>
        <v/>
      </c>
      <c r="AE281" s="25" t="str">
        <f>IF('Sensor Detail'!H283=0,"",'Sensor Detail'!H283)</f>
        <v/>
      </c>
      <c r="AF281" s="27" t="str">
        <f>IF('Sensor Detail'!G283=0,"","-" &amp; 'Sensor Detail'!G283)</f>
        <v/>
      </c>
      <c r="AG281" s="27" t="str">
        <f>IF('Sensor Detail'!I283=0,"",'Sensor Detail'!I283)</f>
        <v/>
      </c>
      <c r="AH281" s="27" t="str">
        <f>IF('Sensor Detail'!E283=0,"","+" &amp; 'Sensor Detail'!E283)</f>
        <v/>
      </c>
      <c r="AI281" s="27" t="str">
        <f t="shared" si="72"/>
        <v/>
      </c>
      <c r="AJ281" s="27" t="str">
        <f>IF('Sensor Detail'!J283=0,"",'Sensor Detail'!J283)</f>
        <v/>
      </c>
      <c r="AK281" s="27" t="str">
        <f>IF('Sensor Detail'!K283=0,"",'Sensor Detail'!K283)</f>
        <v/>
      </c>
      <c r="AL281" s="27" t="str">
        <f>IF('Sensor Detail'!L283=0,"",'Sensor Detail'!L283)</f>
        <v/>
      </c>
      <c r="AM281" s="27" t="str">
        <f>IF('Sensor Detail'!M283=0,"",'Sensor Detail'!M283)</f>
        <v/>
      </c>
      <c r="AN281" s="27" t="str">
        <f>IF('Sensor Detail'!N283=0,"",'Sensor Detail'!N283)</f>
        <v/>
      </c>
      <c r="AO281" s="27" t="str">
        <f>IF('Sensor Detail'!O283=0,"",'Sensor Detail'!O283)</f>
        <v/>
      </c>
      <c r="AP281" s="15" t="str">
        <f t="shared" si="73"/>
        <v/>
      </c>
      <c r="AQ281" s="15" t="str">
        <f t="shared" si="74"/>
        <v/>
      </c>
    </row>
    <row r="282" spans="1:43">
      <c r="A282" s="13" t="str">
        <f t="shared" si="60"/>
        <v/>
      </c>
      <c r="B282" s="13" t="str">
        <f t="shared" si="61"/>
        <v/>
      </c>
      <c r="C282" s="15" t="str">
        <f t="shared" si="62"/>
        <v/>
      </c>
      <c r="D282" s="15" t="str">
        <f t="shared" si="63"/>
        <v/>
      </c>
      <c r="E282" s="15" t="str">
        <f t="shared" si="64"/>
        <v/>
      </c>
      <c r="F282" s="15" t="str">
        <f t="shared" si="65"/>
        <v/>
      </c>
      <c r="G282" s="15" t="str">
        <f t="shared" si="66"/>
        <v/>
      </c>
      <c r="H282" s="15" t="str">
        <f t="shared" si="67"/>
        <v/>
      </c>
      <c r="I282" s="15" t="str">
        <f t="shared" si="68"/>
        <v/>
      </c>
      <c r="J282" s="15" t="str">
        <f t="shared" si="69"/>
        <v/>
      </c>
      <c r="K282" s="13" t="str">
        <f>IF('Cylinder Detail'!U284=0,"",'Cylinder Detail'!U284)</f>
        <v/>
      </c>
      <c r="L282" s="13" t="str">
        <f>IF('Cylinder Detail'!Z284=0,"",_xlfn.TEXTBEFORE('Cylinder Detail'!Z284, ","))</f>
        <v/>
      </c>
      <c r="M282" s="13" t="str">
        <f t="shared" si="70"/>
        <v/>
      </c>
      <c r="N282" s="17" t="str">
        <f>IF('Cylinder Detail'!V284=0,"",'Cylinder Detail'!V284)</f>
        <v/>
      </c>
      <c r="O282" s="17" t="str">
        <f>IF('Cylinder Detail'!Z284=0,"",_xlfn.TEXTAFTER('Cylinder Detail'!Z284, ", "))</f>
        <v/>
      </c>
      <c r="P282" s="17" t="str">
        <f>IF('Cylinder Detail'!AA284=0,"",'Cylinder Detail'!AA284)</f>
        <v/>
      </c>
      <c r="Q282" s="19" t="str">
        <f>IF('Cylinder Detail'!W284=0,"",'Cylinder Detail'!W284)</f>
        <v/>
      </c>
      <c r="R282" s="19" t="str">
        <f>IF('Cylinder Detail'!Y284=0,"",'Cylinder Detail'!Y284)</f>
        <v/>
      </c>
      <c r="S282" s="21" t="str">
        <f>IF('Cylinder Detail'!X284=0,"",'Cylinder Detail'!X284)</f>
        <v/>
      </c>
      <c r="T282" s="21" t="str">
        <f>IF('Cylinder Detail'!F284=0,"",'Cylinder Detail'!F284)</f>
        <v/>
      </c>
      <c r="U282" s="21" t="str">
        <f>IF('Cylinder Detail'!R284=0,"",'Cylinder Detail'!R284)</f>
        <v/>
      </c>
      <c r="V282" s="21" t="str">
        <f>IF('Cylinder Detail'!Q284=0,"",'Cylinder Detail'!Q284)</f>
        <v/>
      </c>
      <c r="W282" s="21" t="str">
        <f>IF('Cylinder Detail'!E284=0,"","+" &amp; 'Cylinder Detail'!E284)</f>
        <v/>
      </c>
      <c r="X282" s="21" t="str">
        <f t="shared" si="71"/>
        <v/>
      </c>
      <c r="Y282" s="21" t="str">
        <f>IF('Cylinder Detail'!S284=0,"",'Cylinder Detail'!S284)</f>
        <v/>
      </c>
      <c r="Z282" s="21" t="str">
        <f>IF('Cylinder Detail'!T284=0,"",'Cylinder Detail'!T284)</f>
        <v/>
      </c>
      <c r="AA282" s="21" t="str">
        <f>IF('Cylinder Detail'!H284=0,"",'Cylinder Detail'!H284)</f>
        <v/>
      </c>
      <c r="AB282" s="21" t="str">
        <f>IF('Cylinder Detail'!I284=0,"",'Cylinder Detail'!I284)</f>
        <v/>
      </c>
      <c r="AC282" s="22" t="str">
        <f>IF('Cylinder Detail'!AB284=0,"",'Cylinder Detail'!AB284)</f>
        <v/>
      </c>
      <c r="AD282" s="25" t="str">
        <f>IF('Sensor Detail'!F284=0,"","=" &amp; 'Sensor Detail'!F284)</f>
        <v/>
      </c>
      <c r="AE282" s="25" t="str">
        <f>IF('Sensor Detail'!H284=0,"",'Sensor Detail'!H284)</f>
        <v/>
      </c>
      <c r="AF282" s="27" t="str">
        <f>IF('Sensor Detail'!G284=0,"","-" &amp; 'Sensor Detail'!G284)</f>
        <v/>
      </c>
      <c r="AG282" s="27" t="str">
        <f>IF('Sensor Detail'!I284=0,"",'Sensor Detail'!I284)</f>
        <v/>
      </c>
      <c r="AH282" s="27" t="str">
        <f>IF('Sensor Detail'!E284=0,"","+" &amp; 'Sensor Detail'!E284)</f>
        <v/>
      </c>
      <c r="AI282" s="27" t="str">
        <f t="shared" si="72"/>
        <v/>
      </c>
      <c r="AJ282" s="27" t="str">
        <f>IF('Sensor Detail'!J284=0,"",'Sensor Detail'!J284)</f>
        <v/>
      </c>
      <c r="AK282" s="27" t="str">
        <f>IF('Sensor Detail'!K284=0,"",'Sensor Detail'!K284)</f>
        <v/>
      </c>
      <c r="AL282" s="27" t="str">
        <f>IF('Sensor Detail'!L284=0,"",'Sensor Detail'!L284)</f>
        <v/>
      </c>
      <c r="AM282" s="27" t="str">
        <f>IF('Sensor Detail'!M284=0,"",'Sensor Detail'!M284)</f>
        <v/>
      </c>
      <c r="AN282" s="27" t="str">
        <f>IF('Sensor Detail'!N284=0,"",'Sensor Detail'!N284)</f>
        <v/>
      </c>
      <c r="AO282" s="27" t="str">
        <f>IF('Sensor Detail'!O284=0,"",'Sensor Detail'!O284)</f>
        <v/>
      </c>
      <c r="AP282" s="15" t="str">
        <f t="shared" si="73"/>
        <v/>
      </c>
      <c r="AQ282" s="15" t="str">
        <f t="shared" si="74"/>
        <v/>
      </c>
    </row>
    <row r="283" spans="1:43">
      <c r="A283" s="13" t="str">
        <f t="shared" si="60"/>
        <v/>
      </c>
      <c r="B283" s="13" t="str">
        <f t="shared" si="61"/>
        <v/>
      </c>
      <c r="C283" s="15" t="str">
        <f t="shared" si="62"/>
        <v/>
      </c>
      <c r="D283" s="15" t="str">
        <f t="shared" si="63"/>
        <v/>
      </c>
      <c r="E283" s="15" t="str">
        <f t="shared" si="64"/>
        <v/>
      </c>
      <c r="F283" s="15" t="str">
        <f t="shared" si="65"/>
        <v/>
      </c>
      <c r="G283" s="15" t="str">
        <f t="shared" si="66"/>
        <v/>
      </c>
      <c r="H283" s="15" t="str">
        <f t="shared" si="67"/>
        <v/>
      </c>
      <c r="I283" s="15" t="str">
        <f t="shared" si="68"/>
        <v/>
      </c>
      <c r="J283" s="15" t="str">
        <f t="shared" si="69"/>
        <v/>
      </c>
      <c r="K283" s="13" t="str">
        <f>IF('Cylinder Detail'!U285=0,"",'Cylinder Detail'!U285)</f>
        <v/>
      </c>
      <c r="L283" s="13" t="str">
        <f>IF('Cylinder Detail'!Z285=0,"",_xlfn.TEXTBEFORE('Cylinder Detail'!Z285, ","))</f>
        <v/>
      </c>
      <c r="M283" s="13" t="str">
        <f t="shared" si="70"/>
        <v/>
      </c>
      <c r="N283" s="17" t="str">
        <f>IF('Cylinder Detail'!V285=0,"",'Cylinder Detail'!V285)</f>
        <v/>
      </c>
      <c r="O283" s="17" t="str">
        <f>IF('Cylinder Detail'!Z285=0,"",_xlfn.TEXTAFTER('Cylinder Detail'!Z285, ", "))</f>
        <v/>
      </c>
      <c r="P283" s="17" t="str">
        <f>IF('Cylinder Detail'!AA285=0,"",'Cylinder Detail'!AA285)</f>
        <v/>
      </c>
      <c r="Q283" s="19" t="str">
        <f>IF('Cylinder Detail'!W285=0,"",'Cylinder Detail'!W285)</f>
        <v/>
      </c>
      <c r="R283" s="19" t="str">
        <f>IF('Cylinder Detail'!Y285=0,"",'Cylinder Detail'!Y285)</f>
        <v/>
      </c>
      <c r="S283" s="21" t="str">
        <f>IF('Cylinder Detail'!X285=0,"",'Cylinder Detail'!X285)</f>
        <v/>
      </c>
      <c r="T283" s="21" t="str">
        <f>IF('Cylinder Detail'!F285=0,"",'Cylinder Detail'!F285)</f>
        <v/>
      </c>
      <c r="U283" s="21" t="str">
        <f>IF('Cylinder Detail'!R285=0,"",'Cylinder Detail'!R285)</f>
        <v/>
      </c>
      <c r="V283" s="21" t="str">
        <f>IF('Cylinder Detail'!Q285=0,"",'Cylinder Detail'!Q285)</f>
        <v/>
      </c>
      <c r="W283" s="21" t="str">
        <f>IF('Cylinder Detail'!E285=0,"","+" &amp; 'Cylinder Detail'!E285)</f>
        <v/>
      </c>
      <c r="X283" s="21" t="str">
        <f t="shared" si="71"/>
        <v/>
      </c>
      <c r="Y283" s="21" t="str">
        <f>IF('Cylinder Detail'!S285=0,"",'Cylinder Detail'!S285)</f>
        <v/>
      </c>
      <c r="Z283" s="21" t="str">
        <f>IF('Cylinder Detail'!T285=0,"",'Cylinder Detail'!T285)</f>
        <v/>
      </c>
      <c r="AA283" s="21" t="str">
        <f>IF('Cylinder Detail'!H285=0,"",'Cylinder Detail'!H285)</f>
        <v/>
      </c>
      <c r="AB283" s="21" t="str">
        <f>IF('Cylinder Detail'!I285=0,"",'Cylinder Detail'!I285)</f>
        <v/>
      </c>
      <c r="AC283" s="22" t="str">
        <f>IF('Cylinder Detail'!AB285=0,"",'Cylinder Detail'!AB285)</f>
        <v/>
      </c>
      <c r="AD283" s="25" t="str">
        <f>IF('Sensor Detail'!F285=0,"","=" &amp; 'Sensor Detail'!F285)</f>
        <v/>
      </c>
      <c r="AE283" s="25" t="str">
        <f>IF('Sensor Detail'!H285=0,"",'Sensor Detail'!H285)</f>
        <v/>
      </c>
      <c r="AF283" s="27" t="str">
        <f>IF('Sensor Detail'!G285=0,"","-" &amp; 'Sensor Detail'!G285)</f>
        <v/>
      </c>
      <c r="AG283" s="27" t="str">
        <f>IF('Sensor Detail'!I285=0,"",'Sensor Detail'!I285)</f>
        <v/>
      </c>
      <c r="AH283" s="27" t="str">
        <f>IF('Sensor Detail'!E285=0,"","+" &amp; 'Sensor Detail'!E285)</f>
        <v/>
      </c>
      <c r="AI283" s="27" t="str">
        <f t="shared" si="72"/>
        <v/>
      </c>
      <c r="AJ283" s="27" t="str">
        <f>IF('Sensor Detail'!J285=0,"",'Sensor Detail'!J285)</f>
        <v/>
      </c>
      <c r="AK283" s="27" t="str">
        <f>IF('Sensor Detail'!K285=0,"",'Sensor Detail'!K285)</f>
        <v/>
      </c>
      <c r="AL283" s="27" t="str">
        <f>IF('Sensor Detail'!L285=0,"",'Sensor Detail'!L285)</f>
        <v/>
      </c>
      <c r="AM283" s="27" t="str">
        <f>IF('Sensor Detail'!M285=0,"",'Sensor Detail'!M285)</f>
        <v/>
      </c>
      <c r="AN283" s="27" t="str">
        <f>IF('Sensor Detail'!N285=0,"",'Sensor Detail'!N285)</f>
        <v/>
      </c>
      <c r="AO283" s="27" t="str">
        <f>IF('Sensor Detail'!O285=0,"",'Sensor Detail'!O285)</f>
        <v/>
      </c>
      <c r="AP283" s="15" t="str">
        <f t="shared" si="73"/>
        <v/>
      </c>
      <c r="AQ283" s="15" t="str">
        <f t="shared" si="74"/>
        <v/>
      </c>
    </row>
    <row r="284" spans="1:43">
      <c r="A284" s="13" t="str">
        <f t="shared" si="60"/>
        <v/>
      </c>
      <c r="B284" s="13" t="str">
        <f t="shared" si="61"/>
        <v/>
      </c>
      <c r="C284" s="15" t="str">
        <f t="shared" si="62"/>
        <v/>
      </c>
      <c r="D284" s="15" t="str">
        <f t="shared" si="63"/>
        <v/>
      </c>
      <c r="E284" s="15" t="str">
        <f t="shared" si="64"/>
        <v/>
      </c>
      <c r="F284" s="15" t="str">
        <f t="shared" si="65"/>
        <v/>
      </c>
      <c r="G284" s="15" t="str">
        <f t="shared" si="66"/>
        <v/>
      </c>
      <c r="H284" s="15" t="str">
        <f t="shared" si="67"/>
        <v/>
      </c>
      <c r="I284" s="15" t="str">
        <f t="shared" si="68"/>
        <v/>
      </c>
      <c r="J284" s="15" t="str">
        <f t="shared" si="69"/>
        <v/>
      </c>
      <c r="K284" s="13" t="str">
        <f>IF('Cylinder Detail'!U286=0,"",'Cylinder Detail'!U286)</f>
        <v/>
      </c>
      <c r="L284" s="13" t="str">
        <f>IF('Cylinder Detail'!Z286=0,"",_xlfn.TEXTBEFORE('Cylinder Detail'!Z286, ","))</f>
        <v/>
      </c>
      <c r="M284" s="13" t="str">
        <f t="shared" si="70"/>
        <v/>
      </c>
      <c r="N284" s="17" t="str">
        <f>IF('Cylinder Detail'!V286=0,"",'Cylinder Detail'!V286)</f>
        <v/>
      </c>
      <c r="O284" s="17" t="str">
        <f>IF('Cylinder Detail'!Z286=0,"",_xlfn.TEXTAFTER('Cylinder Detail'!Z286, ", "))</f>
        <v/>
      </c>
      <c r="P284" s="17" t="str">
        <f>IF('Cylinder Detail'!AA286=0,"",'Cylinder Detail'!AA286)</f>
        <v/>
      </c>
      <c r="Q284" s="19" t="str">
        <f>IF('Cylinder Detail'!W286=0,"",'Cylinder Detail'!W286)</f>
        <v/>
      </c>
      <c r="R284" s="19" t="str">
        <f>IF('Cylinder Detail'!Y286=0,"",'Cylinder Detail'!Y286)</f>
        <v/>
      </c>
      <c r="S284" s="21" t="str">
        <f>IF('Cylinder Detail'!X286=0,"",'Cylinder Detail'!X286)</f>
        <v/>
      </c>
      <c r="T284" s="21" t="str">
        <f>IF('Cylinder Detail'!F286=0,"",'Cylinder Detail'!F286)</f>
        <v/>
      </c>
      <c r="U284" s="21" t="str">
        <f>IF('Cylinder Detail'!R286=0,"",'Cylinder Detail'!R286)</f>
        <v/>
      </c>
      <c r="V284" s="21" t="str">
        <f>IF('Cylinder Detail'!Q286=0,"",'Cylinder Detail'!Q286)</f>
        <v/>
      </c>
      <c r="W284" s="21" t="str">
        <f>IF('Cylinder Detail'!E286=0,"","+" &amp; 'Cylinder Detail'!E286)</f>
        <v/>
      </c>
      <c r="X284" s="21" t="str">
        <f t="shared" si="71"/>
        <v/>
      </c>
      <c r="Y284" s="21" t="str">
        <f>IF('Cylinder Detail'!S286=0,"",'Cylinder Detail'!S286)</f>
        <v/>
      </c>
      <c r="Z284" s="21" t="str">
        <f>IF('Cylinder Detail'!T286=0,"",'Cylinder Detail'!T286)</f>
        <v/>
      </c>
      <c r="AA284" s="21" t="str">
        <f>IF('Cylinder Detail'!H286=0,"",'Cylinder Detail'!H286)</f>
        <v/>
      </c>
      <c r="AB284" s="21" t="str">
        <f>IF('Cylinder Detail'!I286=0,"",'Cylinder Detail'!I286)</f>
        <v/>
      </c>
      <c r="AC284" s="22" t="str">
        <f>IF('Cylinder Detail'!AB286=0,"",'Cylinder Detail'!AB286)</f>
        <v/>
      </c>
      <c r="AD284" s="25" t="str">
        <f>IF('Sensor Detail'!F286=0,"","=" &amp; 'Sensor Detail'!F286)</f>
        <v/>
      </c>
      <c r="AE284" s="25" t="str">
        <f>IF('Sensor Detail'!H286=0,"",'Sensor Detail'!H286)</f>
        <v/>
      </c>
      <c r="AF284" s="27" t="str">
        <f>IF('Sensor Detail'!G286=0,"","-" &amp; 'Sensor Detail'!G286)</f>
        <v/>
      </c>
      <c r="AG284" s="27" t="str">
        <f>IF('Sensor Detail'!I286=0,"",'Sensor Detail'!I286)</f>
        <v/>
      </c>
      <c r="AH284" s="27" t="str">
        <f>IF('Sensor Detail'!E286=0,"","+" &amp; 'Sensor Detail'!E286)</f>
        <v/>
      </c>
      <c r="AI284" s="27" t="str">
        <f t="shared" si="72"/>
        <v/>
      </c>
      <c r="AJ284" s="27" t="str">
        <f>IF('Sensor Detail'!J286=0,"",'Sensor Detail'!J286)</f>
        <v/>
      </c>
      <c r="AK284" s="27" t="str">
        <f>IF('Sensor Detail'!K286=0,"",'Sensor Detail'!K286)</f>
        <v/>
      </c>
      <c r="AL284" s="27" t="str">
        <f>IF('Sensor Detail'!L286=0,"",'Sensor Detail'!L286)</f>
        <v/>
      </c>
      <c r="AM284" s="27" t="str">
        <f>IF('Sensor Detail'!M286=0,"",'Sensor Detail'!M286)</f>
        <v/>
      </c>
      <c r="AN284" s="27" t="str">
        <f>IF('Sensor Detail'!N286=0,"",'Sensor Detail'!N286)</f>
        <v/>
      </c>
      <c r="AO284" s="27" t="str">
        <f>IF('Sensor Detail'!O286=0,"",'Sensor Detail'!O286)</f>
        <v/>
      </c>
      <c r="AP284" s="15" t="str">
        <f t="shared" si="73"/>
        <v/>
      </c>
      <c r="AQ284" s="15" t="str">
        <f t="shared" si="74"/>
        <v/>
      </c>
    </row>
    <row r="285" spans="1:43">
      <c r="A285" s="13" t="str">
        <f t="shared" si="60"/>
        <v/>
      </c>
      <c r="B285" s="13" t="str">
        <f t="shared" si="61"/>
        <v/>
      </c>
      <c r="C285" s="15" t="str">
        <f t="shared" si="62"/>
        <v/>
      </c>
      <c r="D285" s="15" t="str">
        <f t="shared" si="63"/>
        <v/>
      </c>
      <c r="E285" s="15" t="str">
        <f t="shared" si="64"/>
        <v/>
      </c>
      <c r="F285" s="15" t="str">
        <f t="shared" si="65"/>
        <v/>
      </c>
      <c r="G285" s="15" t="str">
        <f t="shared" si="66"/>
        <v/>
      </c>
      <c r="H285" s="15" t="str">
        <f t="shared" si="67"/>
        <v/>
      </c>
      <c r="I285" s="15" t="str">
        <f t="shared" si="68"/>
        <v/>
      </c>
      <c r="J285" s="15" t="str">
        <f t="shared" si="69"/>
        <v/>
      </c>
      <c r="K285" s="13" t="str">
        <f>IF('Cylinder Detail'!U287=0,"",'Cylinder Detail'!U287)</f>
        <v/>
      </c>
      <c r="L285" s="13" t="str">
        <f>IF('Cylinder Detail'!Z287=0,"",_xlfn.TEXTBEFORE('Cylinder Detail'!Z287, ","))</f>
        <v/>
      </c>
      <c r="M285" s="13" t="str">
        <f t="shared" si="70"/>
        <v/>
      </c>
      <c r="N285" s="17" t="str">
        <f>IF('Cylinder Detail'!V287=0,"",'Cylinder Detail'!V287)</f>
        <v/>
      </c>
      <c r="O285" s="17" t="str">
        <f>IF('Cylinder Detail'!Z287=0,"",_xlfn.TEXTAFTER('Cylinder Detail'!Z287, ", "))</f>
        <v/>
      </c>
      <c r="P285" s="17" t="str">
        <f>IF('Cylinder Detail'!AA287=0,"",'Cylinder Detail'!AA287)</f>
        <v/>
      </c>
      <c r="Q285" s="19" t="str">
        <f>IF('Cylinder Detail'!W287=0,"",'Cylinder Detail'!W287)</f>
        <v/>
      </c>
      <c r="R285" s="19" t="str">
        <f>IF('Cylinder Detail'!Y287=0,"",'Cylinder Detail'!Y287)</f>
        <v/>
      </c>
      <c r="S285" s="21" t="str">
        <f>IF('Cylinder Detail'!X287=0,"",'Cylinder Detail'!X287)</f>
        <v/>
      </c>
      <c r="T285" s="21" t="str">
        <f>IF('Cylinder Detail'!F287=0,"",'Cylinder Detail'!F287)</f>
        <v/>
      </c>
      <c r="U285" s="21" t="str">
        <f>IF('Cylinder Detail'!R287=0,"",'Cylinder Detail'!R287)</f>
        <v/>
      </c>
      <c r="V285" s="21" t="str">
        <f>IF('Cylinder Detail'!Q287=0,"",'Cylinder Detail'!Q287)</f>
        <v/>
      </c>
      <c r="W285" s="21" t="str">
        <f>IF('Cylinder Detail'!E287=0,"","+" &amp; 'Cylinder Detail'!E287)</f>
        <v/>
      </c>
      <c r="X285" s="21" t="str">
        <f t="shared" si="71"/>
        <v/>
      </c>
      <c r="Y285" s="21" t="str">
        <f>IF('Cylinder Detail'!S287=0,"",'Cylinder Detail'!S287)</f>
        <v/>
      </c>
      <c r="Z285" s="21" t="str">
        <f>IF('Cylinder Detail'!T287=0,"",'Cylinder Detail'!T287)</f>
        <v/>
      </c>
      <c r="AA285" s="21" t="str">
        <f>IF('Cylinder Detail'!H287=0,"",'Cylinder Detail'!H287)</f>
        <v/>
      </c>
      <c r="AB285" s="21" t="str">
        <f>IF('Cylinder Detail'!I287=0,"",'Cylinder Detail'!I287)</f>
        <v/>
      </c>
      <c r="AC285" s="22" t="str">
        <f>IF('Cylinder Detail'!AB287=0,"",'Cylinder Detail'!AB287)</f>
        <v/>
      </c>
      <c r="AD285" s="25" t="str">
        <f>IF('Sensor Detail'!F287=0,"","=" &amp; 'Sensor Detail'!F287)</f>
        <v/>
      </c>
      <c r="AE285" s="25" t="str">
        <f>IF('Sensor Detail'!H287=0,"",'Sensor Detail'!H287)</f>
        <v/>
      </c>
      <c r="AF285" s="27" t="str">
        <f>IF('Sensor Detail'!G287=0,"","-" &amp; 'Sensor Detail'!G287)</f>
        <v/>
      </c>
      <c r="AG285" s="27" t="str">
        <f>IF('Sensor Detail'!I287=0,"",'Sensor Detail'!I287)</f>
        <v/>
      </c>
      <c r="AH285" s="27" t="str">
        <f>IF('Sensor Detail'!E287=0,"","+" &amp; 'Sensor Detail'!E287)</f>
        <v/>
      </c>
      <c r="AI285" s="27" t="str">
        <f t="shared" si="72"/>
        <v/>
      </c>
      <c r="AJ285" s="27" t="str">
        <f>IF('Sensor Detail'!J287=0,"",'Sensor Detail'!J287)</f>
        <v/>
      </c>
      <c r="AK285" s="27" t="str">
        <f>IF('Sensor Detail'!K287=0,"",'Sensor Detail'!K287)</f>
        <v/>
      </c>
      <c r="AL285" s="27" t="str">
        <f>IF('Sensor Detail'!L287=0,"",'Sensor Detail'!L287)</f>
        <v/>
      </c>
      <c r="AM285" s="27" t="str">
        <f>IF('Sensor Detail'!M287=0,"",'Sensor Detail'!M287)</f>
        <v/>
      </c>
      <c r="AN285" s="27" t="str">
        <f>IF('Sensor Detail'!N287=0,"",'Sensor Detail'!N287)</f>
        <v/>
      </c>
      <c r="AO285" s="27" t="str">
        <f>IF('Sensor Detail'!O287=0,"",'Sensor Detail'!O287)</f>
        <v/>
      </c>
      <c r="AP285" s="15" t="str">
        <f t="shared" si="73"/>
        <v/>
      </c>
      <c r="AQ285" s="15" t="str">
        <f t="shared" si="74"/>
        <v/>
      </c>
    </row>
    <row r="286" spans="1:43">
      <c r="A286" s="13" t="str">
        <f t="shared" si="60"/>
        <v/>
      </c>
      <c r="B286" s="13" t="str">
        <f t="shared" si="61"/>
        <v/>
      </c>
      <c r="C286" s="15" t="str">
        <f t="shared" si="62"/>
        <v/>
      </c>
      <c r="D286" s="15" t="str">
        <f t="shared" si="63"/>
        <v/>
      </c>
      <c r="E286" s="15" t="str">
        <f t="shared" si="64"/>
        <v/>
      </c>
      <c r="F286" s="15" t="str">
        <f t="shared" si="65"/>
        <v/>
      </c>
      <c r="G286" s="15" t="str">
        <f t="shared" si="66"/>
        <v/>
      </c>
      <c r="H286" s="15" t="str">
        <f t="shared" si="67"/>
        <v/>
      </c>
      <c r="I286" s="15" t="str">
        <f t="shared" si="68"/>
        <v/>
      </c>
      <c r="J286" s="15" t="str">
        <f t="shared" si="69"/>
        <v/>
      </c>
      <c r="K286" s="13" t="str">
        <f>IF('Cylinder Detail'!U288=0,"",'Cylinder Detail'!U288)</f>
        <v/>
      </c>
      <c r="L286" s="13" t="str">
        <f>IF('Cylinder Detail'!Z288=0,"",_xlfn.TEXTBEFORE('Cylinder Detail'!Z288, ","))</f>
        <v/>
      </c>
      <c r="M286" s="13" t="str">
        <f t="shared" si="70"/>
        <v/>
      </c>
      <c r="N286" s="17" t="str">
        <f>IF('Cylinder Detail'!V288=0,"",'Cylinder Detail'!V288)</f>
        <v/>
      </c>
      <c r="O286" s="17" t="str">
        <f>IF('Cylinder Detail'!Z288=0,"",_xlfn.TEXTAFTER('Cylinder Detail'!Z288, ", "))</f>
        <v/>
      </c>
      <c r="P286" s="17" t="str">
        <f>IF('Cylinder Detail'!AA288=0,"",'Cylinder Detail'!AA288)</f>
        <v/>
      </c>
      <c r="Q286" s="19" t="str">
        <f>IF('Cylinder Detail'!W288=0,"",'Cylinder Detail'!W288)</f>
        <v/>
      </c>
      <c r="R286" s="19" t="str">
        <f>IF('Cylinder Detail'!Y288=0,"",'Cylinder Detail'!Y288)</f>
        <v/>
      </c>
      <c r="S286" s="21" t="str">
        <f>IF('Cylinder Detail'!X288=0,"",'Cylinder Detail'!X288)</f>
        <v/>
      </c>
      <c r="T286" s="21" t="str">
        <f>IF('Cylinder Detail'!F288=0,"",'Cylinder Detail'!F288)</f>
        <v/>
      </c>
      <c r="U286" s="21" t="str">
        <f>IF('Cylinder Detail'!R288=0,"",'Cylinder Detail'!R288)</f>
        <v/>
      </c>
      <c r="V286" s="21" t="str">
        <f>IF('Cylinder Detail'!Q288=0,"",'Cylinder Detail'!Q288)</f>
        <v/>
      </c>
      <c r="W286" s="21" t="str">
        <f>IF('Cylinder Detail'!E288=0,"","+" &amp; 'Cylinder Detail'!E288)</f>
        <v/>
      </c>
      <c r="X286" s="21" t="str">
        <f t="shared" si="71"/>
        <v/>
      </c>
      <c r="Y286" s="21" t="str">
        <f>IF('Cylinder Detail'!S288=0,"",'Cylinder Detail'!S288)</f>
        <v/>
      </c>
      <c r="Z286" s="21" t="str">
        <f>IF('Cylinder Detail'!T288=0,"",'Cylinder Detail'!T288)</f>
        <v/>
      </c>
      <c r="AA286" s="21" t="str">
        <f>IF('Cylinder Detail'!H288=0,"",'Cylinder Detail'!H288)</f>
        <v/>
      </c>
      <c r="AB286" s="21" t="str">
        <f>IF('Cylinder Detail'!I288=0,"",'Cylinder Detail'!I288)</f>
        <v/>
      </c>
      <c r="AC286" s="22" t="str">
        <f>IF('Cylinder Detail'!AB288=0,"",'Cylinder Detail'!AB288)</f>
        <v/>
      </c>
      <c r="AD286" s="25" t="str">
        <f>IF('Sensor Detail'!F288=0,"","=" &amp; 'Sensor Detail'!F288)</f>
        <v/>
      </c>
      <c r="AE286" s="25" t="str">
        <f>IF('Sensor Detail'!H288=0,"",'Sensor Detail'!H288)</f>
        <v/>
      </c>
      <c r="AF286" s="27" t="str">
        <f>IF('Sensor Detail'!G288=0,"","-" &amp; 'Sensor Detail'!G288)</f>
        <v/>
      </c>
      <c r="AG286" s="27" t="str">
        <f>IF('Sensor Detail'!I288=0,"",'Sensor Detail'!I288)</f>
        <v/>
      </c>
      <c r="AH286" s="27" t="str">
        <f>IF('Sensor Detail'!E288=0,"","+" &amp; 'Sensor Detail'!E288)</f>
        <v/>
      </c>
      <c r="AI286" s="27" t="str">
        <f t="shared" si="72"/>
        <v/>
      </c>
      <c r="AJ286" s="27" t="str">
        <f>IF('Sensor Detail'!J288=0,"",'Sensor Detail'!J288)</f>
        <v/>
      </c>
      <c r="AK286" s="27" t="str">
        <f>IF('Sensor Detail'!K288=0,"",'Sensor Detail'!K288)</f>
        <v/>
      </c>
      <c r="AL286" s="27" t="str">
        <f>IF('Sensor Detail'!L288=0,"",'Sensor Detail'!L288)</f>
        <v/>
      </c>
      <c r="AM286" s="27" t="str">
        <f>IF('Sensor Detail'!M288=0,"",'Sensor Detail'!M288)</f>
        <v/>
      </c>
      <c r="AN286" s="27" t="str">
        <f>IF('Sensor Detail'!N288=0,"",'Sensor Detail'!N288)</f>
        <v/>
      </c>
      <c r="AO286" s="27" t="str">
        <f>IF('Sensor Detail'!O288=0,"",'Sensor Detail'!O288)</f>
        <v/>
      </c>
      <c r="AP286" s="15" t="str">
        <f t="shared" si="73"/>
        <v/>
      </c>
      <c r="AQ286" s="15" t="str">
        <f t="shared" si="74"/>
        <v/>
      </c>
    </row>
    <row r="287" spans="1:43">
      <c r="A287" s="13" t="str">
        <f t="shared" si="60"/>
        <v/>
      </c>
      <c r="B287" s="13" t="str">
        <f t="shared" si="61"/>
        <v/>
      </c>
      <c r="C287" s="15" t="str">
        <f t="shared" si="62"/>
        <v/>
      </c>
      <c r="D287" s="15" t="str">
        <f t="shared" si="63"/>
        <v/>
      </c>
      <c r="E287" s="15" t="str">
        <f t="shared" si="64"/>
        <v/>
      </c>
      <c r="F287" s="15" t="str">
        <f t="shared" si="65"/>
        <v/>
      </c>
      <c r="G287" s="15" t="str">
        <f t="shared" si="66"/>
        <v/>
      </c>
      <c r="H287" s="15" t="str">
        <f t="shared" si="67"/>
        <v/>
      </c>
      <c r="I287" s="15" t="str">
        <f t="shared" si="68"/>
        <v/>
      </c>
      <c r="J287" s="15" t="str">
        <f t="shared" si="69"/>
        <v/>
      </c>
      <c r="K287" s="13" t="str">
        <f>IF('Cylinder Detail'!U289=0,"",'Cylinder Detail'!U289)</f>
        <v/>
      </c>
      <c r="L287" s="13" t="str">
        <f>IF('Cylinder Detail'!Z289=0,"",_xlfn.TEXTBEFORE('Cylinder Detail'!Z289, ","))</f>
        <v/>
      </c>
      <c r="M287" s="13" t="str">
        <f t="shared" si="70"/>
        <v/>
      </c>
      <c r="N287" s="17" t="str">
        <f>IF('Cylinder Detail'!V289=0,"",'Cylinder Detail'!V289)</f>
        <v/>
      </c>
      <c r="O287" s="17" t="str">
        <f>IF('Cylinder Detail'!Z289=0,"",_xlfn.TEXTAFTER('Cylinder Detail'!Z289, ", "))</f>
        <v/>
      </c>
      <c r="P287" s="17" t="str">
        <f>IF('Cylinder Detail'!AA289=0,"",'Cylinder Detail'!AA289)</f>
        <v/>
      </c>
      <c r="Q287" s="19" t="str">
        <f>IF('Cylinder Detail'!W289=0,"",'Cylinder Detail'!W289)</f>
        <v/>
      </c>
      <c r="R287" s="19" t="str">
        <f>IF('Cylinder Detail'!Y289=0,"",'Cylinder Detail'!Y289)</f>
        <v/>
      </c>
      <c r="S287" s="21" t="str">
        <f>IF('Cylinder Detail'!X289=0,"",'Cylinder Detail'!X289)</f>
        <v/>
      </c>
      <c r="T287" s="21" t="str">
        <f>IF('Cylinder Detail'!F289=0,"",'Cylinder Detail'!F289)</f>
        <v/>
      </c>
      <c r="U287" s="21" t="str">
        <f>IF('Cylinder Detail'!R289=0,"",'Cylinder Detail'!R289)</f>
        <v/>
      </c>
      <c r="V287" s="21" t="str">
        <f>IF('Cylinder Detail'!Q289=0,"",'Cylinder Detail'!Q289)</f>
        <v/>
      </c>
      <c r="W287" s="21" t="str">
        <f>IF('Cylinder Detail'!E289=0,"","+" &amp; 'Cylinder Detail'!E289)</f>
        <v/>
      </c>
      <c r="X287" s="21" t="str">
        <f t="shared" si="71"/>
        <v/>
      </c>
      <c r="Y287" s="21" t="str">
        <f>IF('Cylinder Detail'!S289=0,"",'Cylinder Detail'!S289)</f>
        <v/>
      </c>
      <c r="Z287" s="21" t="str">
        <f>IF('Cylinder Detail'!T289=0,"",'Cylinder Detail'!T289)</f>
        <v/>
      </c>
      <c r="AA287" s="21" t="str">
        <f>IF('Cylinder Detail'!H289=0,"",'Cylinder Detail'!H289)</f>
        <v/>
      </c>
      <c r="AB287" s="21" t="str">
        <f>IF('Cylinder Detail'!I289=0,"",'Cylinder Detail'!I289)</f>
        <v/>
      </c>
      <c r="AC287" s="22" t="str">
        <f>IF('Cylinder Detail'!AB289=0,"",'Cylinder Detail'!AB289)</f>
        <v/>
      </c>
      <c r="AD287" s="25" t="str">
        <f>IF('Sensor Detail'!F289=0,"","=" &amp; 'Sensor Detail'!F289)</f>
        <v/>
      </c>
      <c r="AE287" s="25" t="str">
        <f>IF('Sensor Detail'!H289=0,"",'Sensor Detail'!H289)</f>
        <v/>
      </c>
      <c r="AF287" s="27" t="str">
        <f>IF('Sensor Detail'!G289=0,"","-" &amp; 'Sensor Detail'!G289)</f>
        <v/>
      </c>
      <c r="AG287" s="27" t="str">
        <f>IF('Sensor Detail'!I289=0,"",'Sensor Detail'!I289)</f>
        <v/>
      </c>
      <c r="AH287" s="27" t="str">
        <f>IF('Sensor Detail'!E289=0,"","+" &amp; 'Sensor Detail'!E289)</f>
        <v/>
      </c>
      <c r="AI287" s="27" t="str">
        <f t="shared" si="72"/>
        <v/>
      </c>
      <c r="AJ287" s="27" t="str">
        <f>IF('Sensor Detail'!J289=0,"",'Sensor Detail'!J289)</f>
        <v/>
      </c>
      <c r="AK287" s="27" t="str">
        <f>IF('Sensor Detail'!K289=0,"",'Sensor Detail'!K289)</f>
        <v/>
      </c>
      <c r="AL287" s="27" t="str">
        <f>IF('Sensor Detail'!L289=0,"",'Sensor Detail'!L289)</f>
        <v/>
      </c>
      <c r="AM287" s="27" t="str">
        <f>IF('Sensor Detail'!M289=0,"",'Sensor Detail'!M289)</f>
        <v/>
      </c>
      <c r="AN287" s="27" t="str">
        <f>IF('Sensor Detail'!N289=0,"",'Sensor Detail'!N289)</f>
        <v/>
      </c>
      <c r="AO287" s="27" t="str">
        <f>IF('Sensor Detail'!O289=0,"",'Sensor Detail'!O289)</f>
        <v/>
      </c>
      <c r="AP287" s="15" t="str">
        <f t="shared" si="73"/>
        <v/>
      </c>
      <c r="AQ287" s="15" t="str">
        <f t="shared" si="74"/>
        <v/>
      </c>
    </row>
    <row r="288" spans="1:43">
      <c r="A288" s="13" t="str">
        <f t="shared" si="60"/>
        <v/>
      </c>
      <c r="B288" s="13" t="str">
        <f t="shared" si="61"/>
        <v/>
      </c>
      <c r="C288" s="15" t="str">
        <f t="shared" si="62"/>
        <v/>
      </c>
      <c r="D288" s="15" t="str">
        <f t="shared" si="63"/>
        <v/>
      </c>
      <c r="E288" s="15" t="str">
        <f t="shared" si="64"/>
        <v/>
      </c>
      <c r="F288" s="15" t="str">
        <f t="shared" si="65"/>
        <v/>
      </c>
      <c r="G288" s="15" t="str">
        <f t="shared" si="66"/>
        <v/>
      </c>
      <c r="H288" s="15" t="str">
        <f t="shared" si="67"/>
        <v/>
      </c>
      <c r="I288" s="15" t="str">
        <f t="shared" si="68"/>
        <v/>
      </c>
      <c r="J288" s="15" t="str">
        <f t="shared" si="69"/>
        <v/>
      </c>
      <c r="K288" s="13" t="str">
        <f>IF('Cylinder Detail'!U290=0,"",'Cylinder Detail'!U290)</f>
        <v/>
      </c>
      <c r="L288" s="13" t="str">
        <f>IF('Cylinder Detail'!Z290=0,"",_xlfn.TEXTBEFORE('Cylinder Detail'!Z290, ","))</f>
        <v/>
      </c>
      <c r="M288" s="13" t="str">
        <f t="shared" si="70"/>
        <v/>
      </c>
      <c r="N288" s="17" t="str">
        <f>IF('Cylinder Detail'!V290=0,"",'Cylinder Detail'!V290)</f>
        <v/>
      </c>
      <c r="O288" s="17" t="str">
        <f>IF('Cylinder Detail'!Z290=0,"",_xlfn.TEXTAFTER('Cylinder Detail'!Z290, ", "))</f>
        <v/>
      </c>
      <c r="P288" s="17" t="str">
        <f>IF('Cylinder Detail'!AA290=0,"",'Cylinder Detail'!AA290)</f>
        <v/>
      </c>
      <c r="Q288" s="19" t="str">
        <f>IF('Cylinder Detail'!W290=0,"",'Cylinder Detail'!W290)</f>
        <v/>
      </c>
      <c r="R288" s="19" t="str">
        <f>IF('Cylinder Detail'!Y290=0,"",'Cylinder Detail'!Y290)</f>
        <v/>
      </c>
      <c r="S288" s="21" t="str">
        <f>IF('Cylinder Detail'!X290=0,"",'Cylinder Detail'!X290)</f>
        <v/>
      </c>
      <c r="T288" s="21" t="str">
        <f>IF('Cylinder Detail'!F290=0,"",'Cylinder Detail'!F290)</f>
        <v/>
      </c>
      <c r="U288" s="21" t="str">
        <f>IF('Cylinder Detail'!R290=0,"",'Cylinder Detail'!R290)</f>
        <v/>
      </c>
      <c r="V288" s="21" t="str">
        <f>IF('Cylinder Detail'!Q290=0,"",'Cylinder Detail'!Q290)</f>
        <v/>
      </c>
      <c r="W288" s="21" t="str">
        <f>IF('Cylinder Detail'!E290=0,"","+" &amp; 'Cylinder Detail'!E290)</f>
        <v/>
      </c>
      <c r="X288" s="21" t="str">
        <f t="shared" si="71"/>
        <v/>
      </c>
      <c r="Y288" s="21" t="str">
        <f>IF('Cylinder Detail'!S290=0,"",'Cylinder Detail'!S290)</f>
        <v/>
      </c>
      <c r="Z288" s="21" t="str">
        <f>IF('Cylinder Detail'!T290=0,"",'Cylinder Detail'!T290)</f>
        <v/>
      </c>
      <c r="AA288" s="21" t="str">
        <f>IF('Cylinder Detail'!H290=0,"",'Cylinder Detail'!H290)</f>
        <v/>
      </c>
      <c r="AB288" s="21" t="str">
        <f>IF('Cylinder Detail'!I290=0,"",'Cylinder Detail'!I290)</f>
        <v/>
      </c>
      <c r="AC288" s="22" t="str">
        <f>IF('Cylinder Detail'!AB290=0,"",'Cylinder Detail'!AB290)</f>
        <v/>
      </c>
      <c r="AD288" s="25" t="str">
        <f>IF('Sensor Detail'!F290=0,"","=" &amp; 'Sensor Detail'!F290)</f>
        <v/>
      </c>
      <c r="AE288" s="25" t="str">
        <f>IF('Sensor Detail'!H290=0,"",'Sensor Detail'!H290)</f>
        <v/>
      </c>
      <c r="AF288" s="27" t="str">
        <f>IF('Sensor Detail'!G290=0,"","-" &amp; 'Sensor Detail'!G290)</f>
        <v/>
      </c>
      <c r="AG288" s="27" t="str">
        <f>IF('Sensor Detail'!I290=0,"",'Sensor Detail'!I290)</f>
        <v/>
      </c>
      <c r="AH288" s="27" t="str">
        <f>IF('Sensor Detail'!E290=0,"","+" &amp; 'Sensor Detail'!E290)</f>
        <v/>
      </c>
      <c r="AI288" s="27" t="str">
        <f t="shared" si="72"/>
        <v/>
      </c>
      <c r="AJ288" s="27" t="str">
        <f>IF('Sensor Detail'!J290=0,"",'Sensor Detail'!J290)</f>
        <v/>
      </c>
      <c r="AK288" s="27" t="str">
        <f>IF('Sensor Detail'!K290=0,"",'Sensor Detail'!K290)</f>
        <v/>
      </c>
      <c r="AL288" s="27" t="str">
        <f>IF('Sensor Detail'!L290=0,"",'Sensor Detail'!L290)</f>
        <v/>
      </c>
      <c r="AM288" s="27" t="str">
        <f>IF('Sensor Detail'!M290=0,"",'Sensor Detail'!M290)</f>
        <v/>
      </c>
      <c r="AN288" s="27" t="str">
        <f>IF('Sensor Detail'!N290=0,"",'Sensor Detail'!N290)</f>
        <v/>
      </c>
      <c r="AO288" s="27" t="str">
        <f>IF('Sensor Detail'!O290=0,"",'Sensor Detail'!O290)</f>
        <v/>
      </c>
      <c r="AP288" s="15" t="str">
        <f t="shared" si="73"/>
        <v/>
      </c>
      <c r="AQ288" s="15" t="str">
        <f t="shared" si="74"/>
        <v/>
      </c>
    </row>
    <row r="289" spans="1:43">
      <c r="A289" s="13" t="str">
        <f t="shared" si="60"/>
        <v/>
      </c>
      <c r="B289" s="13" t="str">
        <f t="shared" si="61"/>
        <v/>
      </c>
      <c r="C289" s="15" t="str">
        <f t="shared" si="62"/>
        <v/>
      </c>
      <c r="D289" s="15" t="str">
        <f t="shared" si="63"/>
        <v/>
      </c>
      <c r="E289" s="15" t="str">
        <f t="shared" si="64"/>
        <v/>
      </c>
      <c r="F289" s="15" t="str">
        <f t="shared" si="65"/>
        <v/>
      </c>
      <c r="G289" s="15" t="str">
        <f t="shared" si="66"/>
        <v/>
      </c>
      <c r="H289" s="15" t="str">
        <f t="shared" si="67"/>
        <v/>
      </c>
      <c r="I289" s="15" t="str">
        <f t="shared" si="68"/>
        <v/>
      </c>
      <c r="J289" s="15" t="str">
        <f t="shared" si="69"/>
        <v/>
      </c>
      <c r="K289" s="13" t="str">
        <f>IF('Cylinder Detail'!U291=0,"",'Cylinder Detail'!U291)</f>
        <v/>
      </c>
      <c r="L289" s="13" t="str">
        <f>IF('Cylinder Detail'!Z291=0,"",_xlfn.TEXTBEFORE('Cylinder Detail'!Z291, ","))</f>
        <v/>
      </c>
      <c r="M289" s="13" t="str">
        <f t="shared" si="70"/>
        <v/>
      </c>
      <c r="N289" s="17" t="str">
        <f>IF('Cylinder Detail'!V291=0,"",'Cylinder Detail'!V291)</f>
        <v/>
      </c>
      <c r="O289" s="17" t="str">
        <f>IF('Cylinder Detail'!Z291=0,"",_xlfn.TEXTAFTER('Cylinder Detail'!Z291, ", "))</f>
        <v/>
      </c>
      <c r="P289" s="17" t="str">
        <f>IF('Cylinder Detail'!AA291=0,"",'Cylinder Detail'!AA291)</f>
        <v/>
      </c>
      <c r="Q289" s="19" t="str">
        <f>IF('Cylinder Detail'!W291=0,"",'Cylinder Detail'!W291)</f>
        <v/>
      </c>
      <c r="R289" s="19" t="str">
        <f>IF('Cylinder Detail'!Y291=0,"",'Cylinder Detail'!Y291)</f>
        <v/>
      </c>
      <c r="S289" s="21" t="str">
        <f>IF('Cylinder Detail'!X291=0,"",'Cylinder Detail'!X291)</f>
        <v/>
      </c>
      <c r="T289" s="21" t="str">
        <f>IF('Cylinder Detail'!F291=0,"",'Cylinder Detail'!F291)</f>
        <v/>
      </c>
      <c r="U289" s="21" t="str">
        <f>IF('Cylinder Detail'!R291=0,"",'Cylinder Detail'!R291)</f>
        <v/>
      </c>
      <c r="V289" s="21" t="str">
        <f>IF('Cylinder Detail'!Q291=0,"",'Cylinder Detail'!Q291)</f>
        <v/>
      </c>
      <c r="W289" s="21" t="str">
        <f>IF('Cylinder Detail'!E291=0,"","+" &amp; 'Cylinder Detail'!E291)</f>
        <v/>
      </c>
      <c r="X289" s="21" t="str">
        <f t="shared" si="71"/>
        <v/>
      </c>
      <c r="Y289" s="21" t="str">
        <f>IF('Cylinder Detail'!S291=0,"",'Cylinder Detail'!S291)</f>
        <v/>
      </c>
      <c r="Z289" s="21" t="str">
        <f>IF('Cylinder Detail'!T291=0,"",'Cylinder Detail'!T291)</f>
        <v/>
      </c>
      <c r="AA289" s="21" t="str">
        <f>IF('Cylinder Detail'!H291=0,"",'Cylinder Detail'!H291)</f>
        <v/>
      </c>
      <c r="AB289" s="21" t="str">
        <f>IF('Cylinder Detail'!I291=0,"",'Cylinder Detail'!I291)</f>
        <v/>
      </c>
      <c r="AC289" s="22" t="str">
        <f>IF('Cylinder Detail'!AB291=0,"",'Cylinder Detail'!AB291)</f>
        <v/>
      </c>
      <c r="AD289" s="25" t="str">
        <f>IF('Sensor Detail'!F291=0,"","=" &amp; 'Sensor Detail'!F291)</f>
        <v/>
      </c>
      <c r="AE289" s="25" t="str">
        <f>IF('Sensor Detail'!H291=0,"",'Sensor Detail'!H291)</f>
        <v/>
      </c>
      <c r="AF289" s="27" t="str">
        <f>IF('Sensor Detail'!G291=0,"","-" &amp; 'Sensor Detail'!G291)</f>
        <v/>
      </c>
      <c r="AG289" s="27" t="str">
        <f>IF('Sensor Detail'!I291=0,"",'Sensor Detail'!I291)</f>
        <v/>
      </c>
      <c r="AH289" s="27" t="str">
        <f>IF('Sensor Detail'!E291=0,"","+" &amp; 'Sensor Detail'!E291)</f>
        <v/>
      </c>
      <c r="AI289" s="27" t="str">
        <f t="shared" si="72"/>
        <v/>
      </c>
      <c r="AJ289" s="27" t="str">
        <f>IF('Sensor Detail'!J291=0,"",'Sensor Detail'!J291)</f>
        <v/>
      </c>
      <c r="AK289" s="27" t="str">
        <f>IF('Sensor Detail'!K291=0,"",'Sensor Detail'!K291)</f>
        <v/>
      </c>
      <c r="AL289" s="27" t="str">
        <f>IF('Sensor Detail'!L291=0,"",'Sensor Detail'!L291)</f>
        <v/>
      </c>
      <c r="AM289" s="27" t="str">
        <f>IF('Sensor Detail'!M291=0,"",'Sensor Detail'!M291)</f>
        <v/>
      </c>
      <c r="AN289" s="27" t="str">
        <f>IF('Sensor Detail'!N291=0,"",'Sensor Detail'!N291)</f>
        <v/>
      </c>
      <c r="AO289" s="27" t="str">
        <f>IF('Sensor Detail'!O291=0,"",'Sensor Detail'!O291)</f>
        <v/>
      </c>
      <c r="AP289" s="15" t="str">
        <f t="shared" si="73"/>
        <v/>
      </c>
      <c r="AQ289" s="15" t="str">
        <f t="shared" si="74"/>
        <v/>
      </c>
    </row>
    <row r="290" spans="1:43">
      <c r="A290" s="13" t="str">
        <f t="shared" si="60"/>
        <v/>
      </c>
      <c r="B290" s="13" t="str">
        <f t="shared" si="61"/>
        <v/>
      </c>
      <c r="C290" s="15" t="str">
        <f t="shared" si="62"/>
        <v/>
      </c>
      <c r="D290" s="15" t="str">
        <f t="shared" si="63"/>
        <v/>
      </c>
      <c r="E290" s="15" t="str">
        <f t="shared" si="64"/>
        <v/>
      </c>
      <c r="F290" s="15" t="str">
        <f t="shared" si="65"/>
        <v/>
      </c>
      <c r="G290" s="15" t="str">
        <f t="shared" si="66"/>
        <v/>
      </c>
      <c r="H290" s="15" t="str">
        <f t="shared" si="67"/>
        <v/>
      </c>
      <c r="I290" s="15" t="str">
        <f t="shared" si="68"/>
        <v/>
      </c>
      <c r="J290" s="15" t="str">
        <f t="shared" si="69"/>
        <v/>
      </c>
      <c r="K290" s="13" t="str">
        <f>IF('Cylinder Detail'!U292=0,"",'Cylinder Detail'!U292)</f>
        <v/>
      </c>
      <c r="L290" s="13" t="str">
        <f>IF('Cylinder Detail'!Z292=0,"",_xlfn.TEXTBEFORE('Cylinder Detail'!Z292, ","))</f>
        <v/>
      </c>
      <c r="M290" s="13" t="str">
        <f t="shared" si="70"/>
        <v/>
      </c>
      <c r="N290" s="17" t="str">
        <f>IF('Cylinder Detail'!V292=0,"",'Cylinder Detail'!V292)</f>
        <v/>
      </c>
      <c r="O290" s="17" t="str">
        <f>IF('Cylinder Detail'!Z292=0,"",_xlfn.TEXTAFTER('Cylinder Detail'!Z292, ", "))</f>
        <v/>
      </c>
      <c r="P290" s="17" t="str">
        <f>IF('Cylinder Detail'!AA292=0,"",'Cylinder Detail'!AA292)</f>
        <v/>
      </c>
      <c r="Q290" s="19" t="str">
        <f>IF('Cylinder Detail'!W292=0,"",'Cylinder Detail'!W292)</f>
        <v/>
      </c>
      <c r="R290" s="19" t="str">
        <f>IF('Cylinder Detail'!Y292=0,"",'Cylinder Detail'!Y292)</f>
        <v/>
      </c>
      <c r="S290" s="21" t="str">
        <f>IF('Cylinder Detail'!X292=0,"",'Cylinder Detail'!X292)</f>
        <v/>
      </c>
      <c r="T290" s="21" t="str">
        <f>IF('Cylinder Detail'!F292=0,"",'Cylinder Detail'!F292)</f>
        <v/>
      </c>
      <c r="U290" s="21" t="str">
        <f>IF('Cylinder Detail'!R292=0,"",'Cylinder Detail'!R292)</f>
        <v/>
      </c>
      <c r="V290" s="21" t="str">
        <f>IF('Cylinder Detail'!Q292=0,"",'Cylinder Detail'!Q292)</f>
        <v/>
      </c>
      <c r="W290" s="21" t="str">
        <f>IF('Cylinder Detail'!E292=0,"","+" &amp; 'Cylinder Detail'!E292)</f>
        <v/>
      </c>
      <c r="X290" s="21" t="str">
        <f t="shared" si="71"/>
        <v/>
      </c>
      <c r="Y290" s="21" t="str">
        <f>IF('Cylinder Detail'!S292=0,"",'Cylinder Detail'!S292)</f>
        <v/>
      </c>
      <c r="Z290" s="21" t="str">
        <f>IF('Cylinder Detail'!T292=0,"",'Cylinder Detail'!T292)</f>
        <v/>
      </c>
      <c r="AA290" s="21" t="str">
        <f>IF('Cylinder Detail'!H292=0,"",'Cylinder Detail'!H292)</f>
        <v/>
      </c>
      <c r="AB290" s="21" t="str">
        <f>IF('Cylinder Detail'!I292=0,"",'Cylinder Detail'!I292)</f>
        <v/>
      </c>
      <c r="AC290" s="22" t="str">
        <f>IF('Cylinder Detail'!AB292=0,"",'Cylinder Detail'!AB292)</f>
        <v/>
      </c>
      <c r="AD290" s="25" t="str">
        <f>IF('Sensor Detail'!F292=0,"","=" &amp; 'Sensor Detail'!F292)</f>
        <v/>
      </c>
      <c r="AE290" s="25" t="str">
        <f>IF('Sensor Detail'!H292=0,"",'Sensor Detail'!H292)</f>
        <v/>
      </c>
      <c r="AF290" s="27" t="str">
        <f>IF('Sensor Detail'!G292=0,"","-" &amp; 'Sensor Detail'!G292)</f>
        <v/>
      </c>
      <c r="AG290" s="27" t="str">
        <f>IF('Sensor Detail'!I292=0,"",'Sensor Detail'!I292)</f>
        <v/>
      </c>
      <c r="AH290" s="27" t="str">
        <f>IF('Sensor Detail'!E292=0,"","+" &amp; 'Sensor Detail'!E292)</f>
        <v/>
      </c>
      <c r="AI290" s="27" t="str">
        <f t="shared" si="72"/>
        <v/>
      </c>
      <c r="AJ290" s="27" t="str">
        <f>IF('Sensor Detail'!J292=0,"",'Sensor Detail'!J292)</f>
        <v/>
      </c>
      <c r="AK290" s="27" t="str">
        <f>IF('Sensor Detail'!K292=0,"",'Sensor Detail'!K292)</f>
        <v/>
      </c>
      <c r="AL290" s="27" t="str">
        <f>IF('Sensor Detail'!L292=0,"",'Sensor Detail'!L292)</f>
        <v/>
      </c>
      <c r="AM290" s="27" t="str">
        <f>IF('Sensor Detail'!M292=0,"",'Sensor Detail'!M292)</f>
        <v/>
      </c>
      <c r="AN290" s="27" t="str">
        <f>IF('Sensor Detail'!N292=0,"",'Sensor Detail'!N292)</f>
        <v/>
      </c>
      <c r="AO290" s="27" t="str">
        <f>IF('Sensor Detail'!O292=0,"",'Sensor Detail'!O292)</f>
        <v/>
      </c>
      <c r="AP290" s="15" t="str">
        <f t="shared" si="73"/>
        <v/>
      </c>
      <c r="AQ290" s="15" t="str">
        <f t="shared" si="74"/>
        <v/>
      </c>
    </row>
    <row r="291" spans="1:43">
      <c r="A291" s="13" t="str">
        <f t="shared" si="60"/>
        <v/>
      </c>
      <c r="B291" s="13" t="str">
        <f t="shared" si="61"/>
        <v/>
      </c>
      <c r="C291" s="15" t="str">
        <f t="shared" si="62"/>
        <v/>
      </c>
      <c r="D291" s="15" t="str">
        <f t="shared" si="63"/>
        <v/>
      </c>
      <c r="E291" s="15" t="str">
        <f t="shared" si="64"/>
        <v/>
      </c>
      <c r="F291" s="15" t="str">
        <f t="shared" si="65"/>
        <v/>
      </c>
      <c r="G291" s="15" t="str">
        <f t="shared" si="66"/>
        <v/>
      </c>
      <c r="H291" s="15" t="str">
        <f t="shared" si="67"/>
        <v/>
      </c>
      <c r="I291" s="15" t="str">
        <f t="shared" si="68"/>
        <v/>
      </c>
      <c r="J291" s="15" t="str">
        <f t="shared" si="69"/>
        <v/>
      </c>
      <c r="K291" s="13" t="str">
        <f>IF('Cylinder Detail'!U293=0,"",'Cylinder Detail'!U293)</f>
        <v/>
      </c>
      <c r="L291" s="13" t="str">
        <f>IF('Cylinder Detail'!Z293=0,"",_xlfn.TEXTBEFORE('Cylinder Detail'!Z293, ","))</f>
        <v/>
      </c>
      <c r="M291" s="13" t="str">
        <f t="shared" si="70"/>
        <v/>
      </c>
      <c r="N291" s="17" t="str">
        <f>IF('Cylinder Detail'!V293=0,"",'Cylinder Detail'!V293)</f>
        <v/>
      </c>
      <c r="O291" s="17" t="str">
        <f>IF('Cylinder Detail'!Z293=0,"",_xlfn.TEXTAFTER('Cylinder Detail'!Z293, ", "))</f>
        <v/>
      </c>
      <c r="P291" s="17" t="str">
        <f>IF('Cylinder Detail'!AA293=0,"",'Cylinder Detail'!AA293)</f>
        <v/>
      </c>
      <c r="Q291" s="19" t="str">
        <f>IF('Cylinder Detail'!W293=0,"",'Cylinder Detail'!W293)</f>
        <v/>
      </c>
      <c r="R291" s="19" t="str">
        <f>IF('Cylinder Detail'!Y293=0,"",'Cylinder Detail'!Y293)</f>
        <v/>
      </c>
      <c r="S291" s="21" t="str">
        <f>IF('Cylinder Detail'!X293=0,"",'Cylinder Detail'!X293)</f>
        <v/>
      </c>
      <c r="T291" s="21" t="str">
        <f>IF('Cylinder Detail'!F293=0,"",'Cylinder Detail'!F293)</f>
        <v/>
      </c>
      <c r="U291" s="21" t="str">
        <f>IF('Cylinder Detail'!R293=0,"",'Cylinder Detail'!R293)</f>
        <v/>
      </c>
      <c r="V291" s="21" t="str">
        <f>IF('Cylinder Detail'!Q293=0,"",'Cylinder Detail'!Q293)</f>
        <v/>
      </c>
      <c r="W291" s="21" t="str">
        <f>IF('Cylinder Detail'!E293=0,"","+" &amp; 'Cylinder Detail'!E293)</f>
        <v/>
      </c>
      <c r="X291" s="21" t="str">
        <f t="shared" si="71"/>
        <v/>
      </c>
      <c r="Y291" s="21" t="str">
        <f>IF('Cylinder Detail'!S293=0,"",'Cylinder Detail'!S293)</f>
        <v/>
      </c>
      <c r="Z291" s="21" t="str">
        <f>IF('Cylinder Detail'!T293=0,"",'Cylinder Detail'!T293)</f>
        <v/>
      </c>
      <c r="AA291" s="21" t="str">
        <f>IF('Cylinder Detail'!H293=0,"",'Cylinder Detail'!H293)</f>
        <v/>
      </c>
      <c r="AB291" s="21" t="str">
        <f>IF('Cylinder Detail'!I293=0,"",'Cylinder Detail'!I293)</f>
        <v/>
      </c>
      <c r="AC291" s="22" t="str">
        <f>IF('Cylinder Detail'!AB293=0,"",'Cylinder Detail'!AB293)</f>
        <v/>
      </c>
      <c r="AD291" s="25" t="str">
        <f>IF('Sensor Detail'!F293=0,"","=" &amp; 'Sensor Detail'!F293)</f>
        <v/>
      </c>
      <c r="AE291" s="25" t="str">
        <f>IF('Sensor Detail'!H293=0,"",'Sensor Detail'!H293)</f>
        <v/>
      </c>
      <c r="AF291" s="27" t="str">
        <f>IF('Sensor Detail'!G293=0,"","-" &amp; 'Sensor Detail'!G293)</f>
        <v/>
      </c>
      <c r="AG291" s="27" t="str">
        <f>IF('Sensor Detail'!I293=0,"",'Sensor Detail'!I293)</f>
        <v/>
      </c>
      <c r="AH291" s="27" t="str">
        <f>IF('Sensor Detail'!E293=0,"","+" &amp; 'Sensor Detail'!E293)</f>
        <v/>
      </c>
      <c r="AI291" s="27" t="str">
        <f t="shared" si="72"/>
        <v/>
      </c>
      <c r="AJ291" s="27" t="str">
        <f>IF('Sensor Detail'!J293=0,"",'Sensor Detail'!J293)</f>
        <v/>
      </c>
      <c r="AK291" s="27" t="str">
        <f>IF('Sensor Detail'!K293=0,"",'Sensor Detail'!K293)</f>
        <v/>
      </c>
      <c r="AL291" s="27" t="str">
        <f>IF('Sensor Detail'!L293=0,"",'Sensor Detail'!L293)</f>
        <v/>
      </c>
      <c r="AM291" s="27" t="str">
        <f>IF('Sensor Detail'!M293=0,"",'Sensor Detail'!M293)</f>
        <v/>
      </c>
      <c r="AN291" s="27" t="str">
        <f>IF('Sensor Detail'!N293=0,"",'Sensor Detail'!N293)</f>
        <v/>
      </c>
      <c r="AO291" s="27" t="str">
        <f>IF('Sensor Detail'!O293=0,"",'Sensor Detail'!O293)</f>
        <v/>
      </c>
      <c r="AP291" s="15" t="str">
        <f t="shared" si="73"/>
        <v/>
      </c>
      <c r="AQ291" s="15" t="str">
        <f t="shared" si="74"/>
        <v/>
      </c>
    </row>
    <row r="292" spans="1:43">
      <c r="A292" s="13" t="str">
        <f t="shared" si="60"/>
        <v/>
      </c>
      <c r="B292" s="13" t="str">
        <f t="shared" si="61"/>
        <v/>
      </c>
      <c r="C292" s="15" t="str">
        <f t="shared" si="62"/>
        <v/>
      </c>
      <c r="D292" s="15" t="str">
        <f t="shared" si="63"/>
        <v/>
      </c>
      <c r="E292" s="15" t="str">
        <f t="shared" si="64"/>
        <v/>
      </c>
      <c r="F292" s="15" t="str">
        <f t="shared" si="65"/>
        <v/>
      </c>
      <c r="G292" s="15" t="str">
        <f t="shared" si="66"/>
        <v/>
      </c>
      <c r="H292" s="15" t="str">
        <f t="shared" si="67"/>
        <v/>
      </c>
      <c r="I292" s="15" t="str">
        <f t="shared" si="68"/>
        <v/>
      </c>
      <c r="J292" s="15" t="str">
        <f t="shared" si="69"/>
        <v/>
      </c>
      <c r="K292" s="13" t="str">
        <f>IF('Cylinder Detail'!U294=0,"",'Cylinder Detail'!U294)</f>
        <v/>
      </c>
      <c r="L292" s="13" t="str">
        <f>IF('Cylinder Detail'!Z294=0,"",_xlfn.TEXTBEFORE('Cylinder Detail'!Z294, ","))</f>
        <v/>
      </c>
      <c r="M292" s="13" t="str">
        <f t="shared" si="70"/>
        <v/>
      </c>
      <c r="N292" s="17" t="str">
        <f>IF('Cylinder Detail'!V294=0,"",'Cylinder Detail'!V294)</f>
        <v/>
      </c>
      <c r="O292" s="17" t="str">
        <f>IF('Cylinder Detail'!Z294=0,"",_xlfn.TEXTAFTER('Cylinder Detail'!Z294, ", "))</f>
        <v/>
      </c>
      <c r="P292" s="17" t="str">
        <f>IF('Cylinder Detail'!AA294=0,"",'Cylinder Detail'!AA294)</f>
        <v/>
      </c>
      <c r="Q292" s="19" t="str">
        <f>IF('Cylinder Detail'!W294=0,"",'Cylinder Detail'!W294)</f>
        <v/>
      </c>
      <c r="R292" s="19" t="str">
        <f>IF('Cylinder Detail'!Y294=0,"",'Cylinder Detail'!Y294)</f>
        <v/>
      </c>
      <c r="S292" s="21" t="str">
        <f>IF('Cylinder Detail'!X294=0,"",'Cylinder Detail'!X294)</f>
        <v/>
      </c>
      <c r="T292" s="21" t="str">
        <f>IF('Cylinder Detail'!F294=0,"",'Cylinder Detail'!F294)</f>
        <v/>
      </c>
      <c r="U292" s="21" t="str">
        <f>IF('Cylinder Detail'!R294=0,"",'Cylinder Detail'!R294)</f>
        <v/>
      </c>
      <c r="V292" s="21" t="str">
        <f>IF('Cylinder Detail'!Q294=0,"",'Cylinder Detail'!Q294)</f>
        <v/>
      </c>
      <c r="W292" s="21" t="str">
        <f>IF('Cylinder Detail'!E294=0,"","+" &amp; 'Cylinder Detail'!E294)</f>
        <v/>
      </c>
      <c r="X292" s="21" t="str">
        <f t="shared" si="71"/>
        <v/>
      </c>
      <c r="Y292" s="21" t="str">
        <f>IF('Cylinder Detail'!S294=0,"",'Cylinder Detail'!S294)</f>
        <v/>
      </c>
      <c r="Z292" s="21" t="str">
        <f>IF('Cylinder Detail'!T294=0,"",'Cylinder Detail'!T294)</f>
        <v/>
      </c>
      <c r="AA292" s="21" t="str">
        <f>IF('Cylinder Detail'!H294=0,"",'Cylinder Detail'!H294)</f>
        <v/>
      </c>
      <c r="AB292" s="21" t="str">
        <f>IF('Cylinder Detail'!I294=0,"",'Cylinder Detail'!I294)</f>
        <v/>
      </c>
      <c r="AC292" s="22" t="str">
        <f>IF('Cylinder Detail'!AB294=0,"",'Cylinder Detail'!AB294)</f>
        <v/>
      </c>
      <c r="AD292" s="25" t="str">
        <f>IF('Sensor Detail'!F294=0,"","=" &amp; 'Sensor Detail'!F294)</f>
        <v/>
      </c>
      <c r="AE292" s="25" t="str">
        <f>IF('Sensor Detail'!H294=0,"",'Sensor Detail'!H294)</f>
        <v/>
      </c>
      <c r="AF292" s="27" t="str">
        <f>IF('Sensor Detail'!G294=0,"","-" &amp; 'Sensor Detail'!G294)</f>
        <v/>
      </c>
      <c r="AG292" s="27" t="str">
        <f>IF('Sensor Detail'!I294=0,"",'Sensor Detail'!I294)</f>
        <v/>
      </c>
      <c r="AH292" s="27" t="str">
        <f>IF('Sensor Detail'!E294=0,"","+" &amp; 'Sensor Detail'!E294)</f>
        <v/>
      </c>
      <c r="AI292" s="27" t="str">
        <f t="shared" si="72"/>
        <v/>
      </c>
      <c r="AJ292" s="27" t="str">
        <f>IF('Sensor Detail'!J294=0,"",'Sensor Detail'!J294)</f>
        <v/>
      </c>
      <c r="AK292" s="27" t="str">
        <f>IF('Sensor Detail'!K294=0,"",'Sensor Detail'!K294)</f>
        <v/>
      </c>
      <c r="AL292" s="27" t="str">
        <f>IF('Sensor Detail'!L294=0,"",'Sensor Detail'!L294)</f>
        <v/>
      </c>
      <c r="AM292" s="27" t="str">
        <f>IF('Sensor Detail'!M294=0,"",'Sensor Detail'!M294)</f>
        <v/>
      </c>
      <c r="AN292" s="27" t="str">
        <f>IF('Sensor Detail'!N294=0,"",'Sensor Detail'!N294)</f>
        <v/>
      </c>
      <c r="AO292" s="27" t="str">
        <f>IF('Sensor Detail'!O294=0,"",'Sensor Detail'!O294)</f>
        <v/>
      </c>
      <c r="AP292" s="15" t="str">
        <f t="shared" si="73"/>
        <v/>
      </c>
      <c r="AQ292" s="15" t="str">
        <f t="shared" si="74"/>
        <v/>
      </c>
    </row>
    <row r="293" spans="1:43">
      <c r="A293" s="13" t="str">
        <f t="shared" si="60"/>
        <v/>
      </c>
      <c r="B293" s="13" t="str">
        <f t="shared" si="61"/>
        <v/>
      </c>
      <c r="C293" s="15" t="str">
        <f t="shared" si="62"/>
        <v/>
      </c>
      <c r="D293" s="15" t="str">
        <f t="shared" si="63"/>
        <v/>
      </c>
      <c r="E293" s="15" t="str">
        <f t="shared" si="64"/>
        <v/>
      </c>
      <c r="F293" s="15" t="str">
        <f t="shared" si="65"/>
        <v/>
      </c>
      <c r="G293" s="15" t="str">
        <f t="shared" si="66"/>
        <v/>
      </c>
      <c r="H293" s="15" t="str">
        <f t="shared" si="67"/>
        <v/>
      </c>
      <c r="I293" s="15" t="str">
        <f t="shared" si="68"/>
        <v/>
      </c>
      <c r="J293" s="15" t="str">
        <f t="shared" si="69"/>
        <v/>
      </c>
      <c r="K293" s="13" t="str">
        <f>IF('Cylinder Detail'!U295=0,"",'Cylinder Detail'!U295)</f>
        <v/>
      </c>
      <c r="L293" s="13" t="str">
        <f>IF('Cylinder Detail'!Z295=0,"",_xlfn.TEXTBEFORE('Cylinder Detail'!Z295, ","))</f>
        <v/>
      </c>
      <c r="M293" s="13" t="str">
        <f t="shared" si="70"/>
        <v/>
      </c>
      <c r="N293" s="17" t="str">
        <f>IF('Cylinder Detail'!V295=0,"",'Cylinder Detail'!V295)</f>
        <v/>
      </c>
      <c r="O293" s="17" t="str">
        <f>IF('Cylinder Detail'!Z295=0,"",_xlfn.TEXTAFTER('Cylinder Detail'!Z295, ", "))</f>
        <v/>
      </c>
      <c r="P293" s="17" t="str">
        <f>IF('Cylinder Detail'!AA295=0,"",'Cylinder Detail'!AA295)</f>
        <v/>
      </c>
      <c r="Q293" s="19" t="str">
        <f>IF('Cylinder Detail'!W295=0,"",'Cylinder Detail'!W295)</f>
        <v/>
      </c>
      <c r="R293" s="19" t="str">
        <f>IF('Cylinder Detail'!Y295=0,"",'Cylinder Detail'!Y295)</f>
        <v/>
      </c>
      <c r="S293" s="21" t="str">
        <f>IF('Cylinder Detail'!X295=0,"",'Cylinder Detail'!X295)</f>
        <v/>
      </c>
      <c r="T293" s="21" t="str">
        <f>IF('Cylinder Detail'!F295=0,"",'Cylinder Detail'!F295)</f>
        <v/>
      </c>
      <c r="U293" s="21" t="str">
        <f>IF('Cylinder Detail'!R295=0,"",'Cylinder Detail'!R295)</f>
        <v/>
      </c>
      <c r="V293" s="21" t="str">
        <f>IF('Cylinder Detail'!Q295=0,"",'Cylinder Detail'!Q295)</f>
        <v/>
      </c>
      <c r="W293" s="21" t="str">
        <f>IF('Cylinder Detail'!E295=0,"","+" &amp; 'Cylinder Detail'!E295)</f>
        <v/>
      </c>
      <c r="X293" s="21" t="str">
        <f t="shared" si="71"/>
        <v/>
      </c>
      <c r="Y293" s="21" t="str">
        <f>IF('Cylinder Detail'!S295=0,"",'Cylinder Detail'!S295)</f>
        <v/>
      </c>
      <c r="Z293" s="21" t="str">
        <f>IF('Cylinder Detail'!T295=0,"",'Cylinder Detail'!T295)</f>
        <v/>
      </c>
      <c r="AA293" s="21" t="str">
        <f>IF('Cylinder Detail'!H295=0,"",'Cylinder Detail'!H295)</f>
        <v/>
      </c>
      <c r="AB293" s="21" t="str">
        <f>IF('Cylinder Detail'!I295=0,"",'Cylinder Detail'!I295)</f>
        <v/>
      </c>
      <c r="AC293" s="22" t="str">
        <f>IF('Cylinder Detail'!AB295=0,"",'Cylinder Detail'!AB295)</f>
        <v/>
      </c>
      <c r="AD293" s="25" t="str">
        <f>IF('Sensor Detail'!F295=0,"","=" &amp; 'Sensor Detail'!F295)</f>
        <v/>
      </c>
      <c r="AE293" s="25" t="str">
        <f>IF('Sensor Detail'!H295=0,"",'Sensor Detail'!H295)</f>
        <v/>
      </c>
      <c r="AF293" s="27" t="str">
        <f>IF('Sensor Detail'!G295=0,"","-" &amp; 'Sensor Detail'!G295)</f>
        <v/>
      </c>
      <c r="AG293" s="27" t="str">
        <f>IF('Sensor Detail'!I295=0,"",'Sensor Detail'!I295)</f>
        <v/>
      </c>
      <c r="AH293" s="27" t="str">
        <f>IF('Sensor Detail'!E295=0,"","+" &amp; 'Sensor Detail'!E295)</f>
        <v/>
      </c>
      <c r="AI293" s="27" t="str">
        <f t="shared" si="72"/>
        <v/>
      </c>
      <c r="AJ293" s="27" t="str">
        <f>IF('Sensor Detail'!J295=0,"",'Sensor Detail'!J295)</f>
        <v/>
      </c>
      <c r="AK293" s="27" t="str">
        <f>IF('Sensor Detail'!K295=0,"",'Sensor Detail'!K295)</f>
        <v/>
      </c>
      <c r="AL293" s="27" t="str">
        <f>IF('Sensor Detail'!L295=0,"",'Sensor Detail'!L295)</f>
        <v/>
      </c>
      <c r="AM293" s="27" t="str">
        <f>IF('Sensor Detail'!M295=0,"",'Sensor Detail'!M295)</f>
        <v/>
      </c>
      <c r="AN293" s="27" t="str">
        <f>IF('Sensor Detail'!N295=0,"",'Sensor Detail'!N295)</f>
        <v/>
      </c>
      <c r="AO293" s="27" t="str">
        <f>IF('Sensor Detail'!O295=0,"",'Sensor Detail'!O295)</f>
        <v/>
      </c>
      <c r="AP293" s="15" t="str">
        <f t="shared" si="73"/>
        <v/>
      </c>
      <c r="AQ293" s="15" t="str">
        <f t="shared" si="74"/>
        <v/>
      </c>
    </row>
    <row r="294" spans="1:43">
      <c r="A294" s="13" t="str">
        <f t="shared" si="60"/>
        <v/>
      </c>
      <c r="B294" s="13" t="str">
        <f t="shared" si="61"/>
        <v/>
      </c>
      <c r="C294" s="15" t="str">
        <f t="shared" si="62"/>
        <v/>
      </c>
      <c r="D294" s="15" t="str">
        <f t="shared" si="63"/>
        <v/>
      </c>
      <c r="E294" s="15" t="str">
        <f t="shared" si="64"/>
        <v/>
      </c>
      <c r="F294" s="15" t="str">
        <f t="shared" si="65"/>
        <v/>
      </c>
      <c r="G294" s="15" t="str">
        <f t="shared" si="66"/>
        <v/>
      </c>
      <c r="H294" s="15" t="str">
        <f t="shared" si="67"/>
        <v/>
      </c>
      <c r="I294" s="15" t="str">
        <f t="shared" si="68"/>
        <v/>
      </c>
      <c r="J294" s="15" t="str">
        <f t="shared" si="69"/>
        <v/>
      </c>
      <c r="K294" s="13" t="str">
        <f>IF('Cylinder Detail'!U296=0,"",'Cylinder Detail'!U296)</f>
        <v/>
      </c>
      <c r="L294" s="13" t="str">
        <f>IF('Cylinder Detail'!Z296=0,"",_xlfn.TEXTBEFORE('Cylinder Detail'!Z296, ","))</f>
        <v/>
      </c>
      <c r="M294" s="13" t="str">
        <f t="shared" si="70"/>
        <v/>
      </c>
      <c r="N294" s="17" t="str">
        <f>IF('Cylinder Detail'!V296=0,"",'Cylinder Detail'!V296)</f>
        <v/>
      </c>
      <c r="O294" s="17" t="str">
        <f>IF('Cylinder Detail'!Z296=0,"",_xlfn.TEXTAFTER('Cylinder Detail'!Z296, ", "))</f>
        <v/>
      </c>
      <c r="P294" s="17" t="str">
        <f>IF('Cylinder Detail'!AA296=0,"",'Cylinder Detail'!AA296)</f>
        <v/>
      </c>
      <c r="Q294" s="19" t="str">
        <f>IF('Cylinder Detail'!W296=0,"",'Cylinder Detail'!W296)</f>
        <v/>
      </c>
      <c r="R294" s="19" t="str">
        <f>IF('Cylinder Detail'!Y296=0,"",'Cylinder Detail'!Y296)</f>
        <v/>
      </c>
      <c r="S294" s="21" t="str">
        <f>IF('Cylinder Detail'!X296=0,"",'Cylinder Detail'!X296)</f>
        <v/>
      </c>
      <c r="T294" s="21" t="str">
        <f>IF('Cylinder Detail'!F296=0,"",'Cylinder Detail'!F296)</f>
        <v/>
      </c>
      <c r="U294" s="21" t="str">
        <f>IF('Cylinder Detail'!R296=0,"",'Cylinder Detail'!R296)</f>
        <v/>
      </c>
      <c r="V294" s="21" t="str">
        <f>IF('Cylinder Detail'!Q296=0,"",'Cylinder Detail'!Q296)</f>
        <v/>
      </c>
      <c r="W294" s="21" t="str">
        <f>IF('Cylinder Detail'!E296=0,"","+" &amp; 'Cylinder Detail'!E296)</f>
        <v/>
      </c>
      <c r="X294" s="21" t="str">
        <f t="shared" si="71"/>
        <v/>
      </c>
      <c r="Y294" s="21" t="str">
        <f>IF('Cylinder Detail'!S296=0,"",'Cylinder Detail'!S296)</f>
        <v/>
      </c>
      <c r="Z294" s="21" t="str">
        <f>IF('Cylinder Detail'!T296=0,"",'Cylinder Detail'!T296)</f>
        <v/>
      </c>
      <c r="AA294" s="21" t="str">
        <f>IF('Cylinder Detail'!H296=0,"",'Cylinder Detail'!H296)</f>
        <v/>
      </c>
      <c r="AB294" s="21" t="str">
        <f>IF('Cylinder Detail'!I296=0,"",'Cylinder Detail'!I296)</f>
        <v/>
      </c>
      <c r="AC294" s="22" t="str">
        <f>IF('Cylinder Detail'!AB296=0,"",'Cylinder Detail'!AB296)</f>
        <v/>
      </c>
      <c r="AD294" s="25" t="str">
        <f>IF('Sensor Detail'!F296=0,"","=" &amp; 'Sensor Detail'!F296)</f>
        <v/>
      </c>
      <c r="AE294" s="25" t="str">
        <f>IF('Sensor Detail'!H296=0,"",'Sensor Detail'!H296)</f>
        <v/>
      </c>
      <c r="AF294" s="27" t="str">
        <f>IF('Sensor Detail'!G296=0,"","-" &amp; 'Sensor Detail'!G296)</f>
        <v/>
      </c>
      <c r="AG294" s="27" t="str">
        <f>IF('Sensor Detail'!I296=0,"",'Sensor Detail'!I296)</f>
        <v/>
      </c>
      <c r="AH294" s="27" t="str">
        <f>IF('Sensor Detail'!E296=0,"","+" &amp; 'Sensor Detail'!E296)</f>
        <v/>
      </c>
      <c r="AI294" s="27" t="str">
        <f t="shared" si="72"/>
        <v/>
      </c>
      <c r="AJ294" s="27" t="str">
        <f>IF('Sensor Detail'!J296=0,"",'Sensor Detail'!J296)</f>
        <v/>
      </c>
      <c r="AK294" s="27" t="str">
        <f>IF('Sensor Detail'!K296=0,"",'Sensor Detail'!K296)</f>
        <v/>
      </c>
      <c r="AL294" s="27" t="str">
        <f>IF('Sensor Detail'!L296=0,"",'Sensor Detail'!L296)</f>
        <v/>
      </c>
      <c r="AM294" s="27" t="str">
        <f>IF('Sensor Detail'!M296=0,"",'Sensor Detail'!M296)</f>
        <v/>
      </c>
      <c r="AN294" s="27" t="str">
        <f>IF('Sensor Detail'!N296=0,"",'Sensor Detail'!N296)</f>
        <v/>
      </c>
      <c r="AO294" s="27" t="str">
        <f>IF('Sensor Detail'!O296=0,"",'Sensor Detail'!O296)</f>
        <v/>
      </c>
      <c r="AP294" s="15" t="str">
        <f t="shared" si="73"/>
        <v/>
      </c>
      <c r="AQ294" s="15" t="str">
        <f t="shared" si="74"/>
        <v/>
      </c>
    </row>
    <row r="295" spans="1:43">
      <c r="A295" s="13" t="str">
        <f t="shared" si="60"/>
        <v/>
      </c>
      <c r="B295" s="13" t="str">
        <f t="shared" si="61"/>
        <v/>
      </c>
      <c r="C295" s="15" t="str">
        <f t="shared" si="62"/>
        <v/>
      </c>
      <c r="D295" s="15" t="str">
        <f t="shared" si="63"/>
        <v/>
      </c>
      <c r="E295" s="15" t="str">
        <f t="shared" si="64"/>
        <v/>
      </c>
      <c r="F295" s="15" t="str">
        <f t="shared" si="65"/>
        <v/>
      </c>
      <c r="G295" s="15" t="str">
        <f t="shared" si="66"/>
        <v/>
      </c>
      <c r="H295" s="15" t="str">
        <f t="shared" si="67"/>
        <v/>
      </c>
      <c r="I295" s="15" t="str">
        <f t="shared" si="68"/>
        <v/>
      </c>
      <c r="J295" s="15" t="str">
        <f t="shared" si="69"/>
        <v/>
      </c>
      <c r="K295" s="13" t="str">
        <f>IF('Cylinder Detail'!U297=0,"",'Cylinder Detail'!U297)</f>
        <v/>
      </c>
      <c r="L295" s="13" t="str">
        <f>IF('Cylinder Detail'!Z297=0,"",_xlfn.TEXTBEFORE('Cylinder Detail'!Z297, ","))</f>
        <v/>
      </c>
      <c r="M295" s="13" t="str">
        <f t="shared" si="70"/>
        <v/>
      </c>
      <c r="N295" s="17" t="str">
        <f>IF('Cylinder Detail'!V297=0,"",'Cylinder Detail'!V297)</f>
        <v/>
      </c>
      <c r="O295" s="17" t="str">
        <f>IF('Cylinder Detail'!Z297=0,"",_xlfn.TEXTAFTER('Cylinder Detail'!Z297, ", "))</f>
        <v/>
      </c>
      <c r="P295" s="17" t="str">
        <f>IF('Cylinder Detail'!AA297=0,"",'Cylinder Detail'!AA297)</f>
        <v/>
      </c>
      <c r="Q295" s="19" t="str">
        <f>IF('Cylinder Detail'!W297=0,"",'Cylinder Detail'!W297)</f>
        <v/>
      </c>
      <c r="R295" s="19" t="str">
        <f>IF('Cylinder Detail'!Y297=0,"",'Cylinder Detail'!Y297)</f>
        <v/>
      </c>
      <c r="S295" s="21" t="str">
        <f>IF('Cylinder Detail'!X297=0,"",'Cylinder Detail'!X297)</f>
        <v/>
      </c>
      <c r="T295" s="21" t="str">
        <f>IF('Cylinder Detail'!F297=0,"",'Cylinder Detail'!F297)</f>
        <v/>
      </c>
      <c r="U295" s="21" t="str">
        <f>IF('Cylinder Detail'!R297=0,"",'Cylinder Detail'!R297)</f>
        <v/>
      </c>
      <c r="V295" s="21" t="str">
        <f>IF('Cylinder Detail'!Q297=0,"",'Cylinder Detail'!Q297)</f>
        <v/>
      </c>
      <c r="W295" s="21" t="str">
        <f>IF('Cylinder Detail'!E297=0,"","+" &amp; 'Cylinder Detail'!E297)</f>
        <v/>
      </c>
      <c r="X295" s="21" t="str">
        <f t="shared" si="71"/>
        <v/>
      </c>
      <c r="Y295" s="21" t="str">
        <f>IF('Cylinder Detail'!S297=0,"",'Cylinder Detail'!S297)</f>
        <v/>
      </c>
      <c r="Z295" s="21" t="str">
        <f>IF('Cylinder Detail'!T297=0,"",'Cylinder Detail'!T297)</f>
        <v/>
      </c>
      <c r="AA295" s="21" t="str">
        <f>IF('Cylinder Detail'!H297=0,"",'Cylinder Detail'!H297)</f>
        <v/>
      </c>
      <c r="AB295" s="21" t="str">
        <f>IF('Cylinder Detail'!I297=0,"",'Cylinder Detail'!I297)</f>
        <v/>
      </c>
      <c r="AC295" s="22" t="str">
        <f>IF('Cylinder Detail'!AB297=0,"",'Cylinder Detail'!AB297)</f>
        <v/>
      </c>
      <c r="AD295" s="25" t="str">
        <f>IF('Sensor Detail'!F297=0,"","=" &amp; 'Sensor Detail'!F297)</f>
        <v/>
      </c>
      <c r="AE295" s="25" t="str">
        <f>IF('Sensor Detail'!H297=0,"",'Sensor Detail'!H297)</f>
        <v/>
      </c>
      <c r="AF295" s="27" t="str">
        <f>IF('Sensor Detail'!G297=0,"","-" &amp; 'Sensor Detail'!G297)</f>
        <v/>
      </c>
      <c r="AG295" s="27" t="str">
        <f>IF('Sensor Detail'!I297=0,"",'Sensor Detail'!I297)</f>
        <v/>
      </c>
      <c r="AH295" s="27" t="str">
        <f>IF('Sensor Detail'!E297=0,"","+" &amp; 'Sensor Detail'!E297)</f>
        <v/>
      </c>
      <c r="AI295" s="27" t="str">
        <f t="shared" si="72"/>
        <v/>
      </c>
      <c r="AJ295" s="27" t="str">
        <f>IF('Sensor Detail'!J297=0,"",'Sensor Detail'!J297)</f>
        <v/>
      </c>
      <c r="AK295" s="27" t="str">
        <f>IF('Sensor Detail'!K297=0,"",'Sensor Detail'!K297)</f>
        <v/>
      </c>
      <c r="AL295" s="27" t="str">
        <f>IF('Sensor Detail'!L297=0,"",'Sensor Detail'!L297)</f>
        <v/>
      </c>
      <c r="AM295" s="27" t="str">
        <f>IF('Sensor Detail'!M297=0,"",'Sensor Detail'!M297)</f>
        <v/>
      </c>
      <c r="AN295" s="27" t="str">
        <f>IF('Sensor Detail'!N297=0,"",'Sensor Detail'!N297)</f>
        <v/>
      </c>
      <c r="AO295" s="27" t="str">
        <f>IF('Sensor Detail'!O297=0,"",'Sensor Detail'!O297)</f>
        <v/>
      </c>
      <c r="AP295" s="15" t="str">
        <f t="shared" si="73"/>
        <v/>
      </c>
      <c r="AQ295" s="15" t="str">
        <f t="shared" si="74"/>
        <v/>
      </c>
    </row>
    <row r="296" spans="1:43">
      <c r="A296" s="13" t="str">
        <f t="shared" si="60"/>
        <v/>
      </c>
      <c r="B296" s="13" t="str">
        <f t="shared" si="61"/>
        <v/>
      </c>
      <c r="C296" s="15" t="str">
        <f t="shared" si="62"/>
        <v/>
      </c>
      <c r="D296" s="15" t="str">
        <f t="shared" si="63"/>
        <v/>
      </c>
      <c r="E296" s="15" t="str">
        <f t="shared" si="64"/>
        <v/>
      </c>
      <c r="F296" s="15" t="str">
        <f t="shared" si="65"/>
        <v/>
      </c>
      <c r="G296" s="15" t="str">
        <f t="shared" si="66"/>
        <v/>
      </c>
      <c r="H296" s="15" t="str">
        <f t="shared" si="67"/>
        <v/>
      </c>
      <c r="I296" s="15" t="str">
        <f t="shared" si="68"/>
        <v/>
      </c>
      <c r="J296" s="15" t="str">
        <f t="shared" si="69"/>
        <v/>
      </c>
      <c r="K296" s="13" t="str">
        <f>IF('Cylinder Detail'!U298=0,"",'Cylinder Detail'!U298)</f>
        <v/>
      </c>
      <c r="L296" s="13" t="str">
        <f>IF('Cylinder Detail'!Z298=0,"",_xlfn.TEXTBEFORE('Cylinder Detail'!Z298, ","))</f>
        <v/>
      </c>
      <c r="M296" s="13" t="str">
        <f t="shared" si="70"/>
        <v/>
      </c>
      <c r="N296" s="17" t="str">
        <f>IF('Cylinder Detail'!V298=0,"",'Cylinder Detail'!V298)</f>
        <v/>
      </c>
      <c r="O296" s="17" t="str">
        <f>IF('Cylinder Detail'!Z298=0,"",_xlfn.TEXTAFTER('Cylinder Detail'!Z298, ", "))</f>
        <v/>
      </c>
      <c r="P296" s="17" t="str">
        <f>IF('Cylinder Detail'!AA298=0,"",'Cylinder Detail'!AA298)</f>
        <v/>
      </c>
      <c r="Q296" s="19" t="str">
        <f>IF('Cylinder Detail'!W298=0,"",'Cylinder Detail'!W298)</f>
        <v/>
      </c>
      <c r="R296" s="19" t="str">
        <f>IF('Cylinder Detail'!Y298=0,"",'Cylinder Detail'!Y298)</f>
        <v/>
      </c>
      <c r="S296" s="21" t="str">
        <f>IF('Cylinder Detail'!X298=0,"",'Cylinder Detail'!X298)</f>
        <v/>
      </c>
      <c r="T296" s="21" t="str">
        <f>IF('Cylinder Detail'!F298=0,"",'Cylinder Detail'!F298)</f>
        <v/>
      </c>
      <c r="U296" s="21" t="str">
        <f>IF('Cylinder Detail'!R298=0,"",'Cylinder Detail'!R298)</f>
        <v/>
      </c>
      <c r="V296" s="21" t="str">
        <f>IF('Cylinder Detail'!Q298=0,"",'Cylinder Detail'!Q298)</f>
        <v/>
      </c>
      <c r="W296" s="21" t="str">
        <f>IF('Cylinder Detail'!E298=0,"","+" &amp; 'Cylinder Detail'!E298)</f>
        <v/>
      </c>
      <c r="X296" s="21" t="str">
        <f t="shared" si="71"/>
        <v/>
      </c>
      <c r="Y296" s="21" t="str">
        <f>IF('Cylinder Detail'!S298=0,"",'Cylinder Detail'!S298)</f>
        <v/>
      </c>
      <c r="Z296" s="21" t="str">
        <f>IF('Cylinder Detail'!T298=0,"",'Cylinder Detail'!T298)</f>
        <v/>
      </c>
      <c r="AA296" s="21" t="str">
        <f>IF('Cylinder Detail'!H298=0,"",'Cylinder Detail'!H298)</f>
        <v/>
      </c>
      <c r="AB296" s="21" t="str">
        <f>IF('Cylinder Detail'!I298=0,"",'Cylinder Detail'!I298)</f>
        <v/>
      </c>
      <c r="AC296" s="22" t="str">
        <f>IF('Cylinder Detail'!AB298=0,"",'Cylinder Detail'!AB298)</f>
        <v/>
      </c>
      <c r="AD296" s="25" t="str">
        <f>IF('Sensor Detail'!F298=0,"","=" &amp; 'Sensor Detail'!F298)</f>
        <v/>
      </c>
      <c r="AE296" s="25" t="str">
        <f>IF('Sensor Detail'!H298=0,"",'Sensor Detail'!H298)</f>
        <v/>
      </c>
      <c r="AF296" s="27" t="str">
        <f>IF('Sensor Detail'!G298=0,"","-" &amp; 'Sensor Detail'!G298)</f>
        <v/>
      </c>
      <c r="AG296" s="27" t="str">
        <f>IF('Sensor Detail'!I298=0,"",'Sensor Detail'!I298)</f>
        <v/>
      </c>
      <c r="AH296" s="27" t="str">
        <f>IF('Sensor Detail'!E298=0,"","+" &amp; 'Sensor Detail'!E298)</f>
        <v/>
      </c>
      <c r="AI296" s="27" t="str">
        <f t="shared" si="72"/>
        <v/>
      </c>
      <c r="AJ296" s="27" t="str">
        <f>IF('Sensor Detail'!J298=0,"",'Sensor Detail'!J298)</f>
        <v/>
      </c>
      <c r="AK296" s="27" t="str">
        <f>IF('Sensor Detail'!K298=0,"",'Sensor Detail'!K298)</f>
        <v/>
      </c>
      <c r="AL296" s="27" t="str">
        <f>IF('Sensor Detail'!L298=0,"",'Sensor Detail'!L298)</f>
        <v/>
      </c>
      <c r="AM296" s="27" t="str">
        <f>IF('Sensor Detail'!M298=0,"",'Sensor Detail'!M298)</f>
        <v/>
      </c>
      <c r="AN296" s="27" t="str">
        <f>IF('Sensor Detail'!N298=0,"",'Sensor Detail'!N298)</f>
        <v/>
      </c>
      <c r="AO296" s="27" t="str">
        <f>IF('Sensor Detail'!O298=0,"",'Sensor Detail'!O298)</f>
        <v/>
      </c>
      <c r="AP296" s="15" t="str">
        <f t="shared" si="73"/>
        <v/>
      </c>
      <c r="AQ296" s="15" t="str">
        <f t="shared" si="74"/>
        <v/>
      </c>
    </row>
    <row r="297" spans="1:43">
      <c r="A297" s="13" t="str">
        <f t="shared" si="60"/>
        <v/>
      </c>
      <c r="B297" s="13" t="str">
        <f t="shared" si="61"/>
        <v/>
      </c>
      <c r="C297" s="15" t="str">
        <f t="shared" si="62"/>
        <v/>
      </c>
      <c r="D297" s="15" t="str">
        <f t="shared" si="63"/>
        <v/>
      </c>
      <c r="E297" s="15" t="str">
        <f t="shared" si="64"/>
        <v/>
      </c>
      <c r="F297" s="15" t="str">
        <f t="shared" si="65"/>
        <v/>
      </c>
      <c r="G297" s="15" t="str">
        <f t="shared" si="66"/>
        <v/>
      </c>
      <c r="H297" s="15" t="str">
        <f t="shared" si="67"/>
        <v/>
      </c>
      <c r="I297" s="15" t="str">
        <f t="shared" si="68"/>
        <v/>
      </c>
      <c r="J297" s="15" t="str">
        <f t="shared" si="69"/>
        <v/>
      </c>
      <c r="K297" s="13" t="str">
        <f>IF('Cylinder Detail'!U299=0,"",'Cylinder Detail'!U299)</f>
        <v/>
      </c>
      <c r="L297" s="13" t="str">
        <f>IF('Cylinder Detail'!Z299=0,"",_xlfn.TEXTBEFORE('Cylinder Detail'!Z299, ","))</f>
        <v/>
      </c>
      <c r="M297" s="13" t="str">
        <f t="shared" si="70"/>
        <v/>
      </c>
      <c r="N297" s="17" t="str">
        <f>IF('Cylinder Detail'!V299=0,"",'Cylinder Detail'!V299)</f>
        <v/>
      </c>
      <c r="O297" s="17" t="str">
        <f>IF('Cylinder Detail'!Z299=0,"",_xlfn.TEXTAFTER('Cylinder Detail'!Z299, ", "))</f>
        <v/>
      </c>
      <c r="P297" s="17" t="str">
        <f>IF('Cylinder Detail'!AA299=0,"",'Cylinder Detail'!AA299)</f>
        <v/>
      </c>
      <c r="Q297" s="19" t="str">
        <f>IF('Cylinder Detail'!W299=0,"",'Cylinder Detail'!W299)</f>
        <v/>
      </c>
      <c r="R297" s="19" t="str">
        <f>IF('Cylinder Detail'!Y299=0,"",'Cylinder Detail'!Y299)</f>
        <v/>
      </c>
      <c r="S297" s="21" t="str">
        <f>IF('Cylinder Detail'!X299=0,"",'Cylinder Detail'!X299)</f>
        <v/>
      </c>
      <c r="T297" s="21" t="str">
        <f>IF('Cylinder Detail'!F299=0,"",'Cylinder Detail'!F299)</f>
        <v/>
      </c>
      <c r="U297" s="21" t="str">
        <f>IF('Cylinder Detail'!R299=0,"",'Cylinder Detail'!R299)</f>
        <v/>
      </c>
      <c r="V297" s="21" t="str">
        <f>IF('Cylinder Detail'!Q299=0,"",'Cylinder Detail'!Q299)</f>
        <v/>
      </c>
      <c r="W297" s="21" t="str">
        <f>IF('Cylinder Detail'!E299=0,"","+" &amp; 'Cylinder Detail'!E299)</f>
        <v/>
      </c>
      <c r="X297" s="21" t="str">
        <f t="shared" si="71"/>
        <v/>
      </c>
      <c r="Y297" s="21" t="str">
        <f>IF('Cylinder Detail'!S299=0,"",'Cylinder Detail'!S299)</f>
        <v/>
      </c>
      <c r="Z297" s="21" t="str">
        <f>IF('Cylinder Detail'!T299=0,"",'Cylinder Detail'!T299)</f>
        <v/>
      </c>
      <c r="AA297" s="21" t="str">
        <f>IF('Cylinder Detail'!H299=0,"",'Cylinder Detail'!H299)</f>
        <v/>
      </c>
      <c r="AB297" s="21" t="str">
        <f>IF('Cylinder Detail'!I299=0,"",'Cylinder Detail'!I299)</f>
        <v/>
      </c>
      <c r="AC297" s="22" t="str">
        <f>IF('Cylinder Detail'!AB299=0,"",'Cylinder Detail'!AB299)</f>
        <v/>
      </c>
      <c r="AD297" s="25" t="str">
        <f>IF('Sensor Detail'!F299=0,"","=" &amp; 'Sensor Detail'!F299)</f>
        <v/>
      </c>
      <c r="AE297" s="25" t="str">
        <f>IF('Sensor Detail'!H299=0,"",'Sensor Detail'!H299)</f>
        <v/>
      </c>
      <c r="AF297" s="27" t="str">
        <f>IF('Sensor Detail'!G299=0,"","-" &amp; 'Sensor Detail'!G299)</f>
        <v/>
      </c>
      <c r="AG297" s="27" t="str">
        <f>IF('Sensor Detail'!I299=0,"",'Sensor Detail'!I299)</f>
        <v/>
      </c>
      <c r="AH297" s="27" t="str">
        <f>IF('Sensor Detail'!E299=0,"","+" &amp; 'Sensor Detail'!E299)</f>
        <v/>
      </c>
      <c r="AI297" s="27" t="str">
        <f t="shared" si="72"/>
        <v/>
      </c>
      <c r="AJ297" s="27" t="str">
        <f>IF('Sensor Detail'!J299=0,"",'Sensor Detail'!J299)</f>
        <v/>
      </c>
      <c r="AK297" s="27" t="str">
        <f>IF('Sensor Detail'!K299=0,"",'Sensor Detail'!K299)</f>
        <v/>
      </c>
      <c r="AL297" s="27" t="str">
        <f>IF('Sensor Detail'!L299=0,"",'Sensor Detail'!L299)</f>
        <v/>
      </c>
      <c r="AM297" s="27" t="str">
        <f>IF('Sensor Detail'!M299=0,"",'Sensor Detail'!M299)</f>
        <v/>
      </c>
      <c r="AN297" s="27" t="str">
        <f>IF('Sensor Detail'!N299=0,"",'Sensor Detail'!N299)</f>
        <v/>
      </c>
      <c r="AO297" s="27" t="str">
        <f>IF('Sensor Detail'!O299=0,"",'Sensor Detail'!O299)</f>
        <v/>
      </c>
      <c r="AP297" s="15" t="str">
        <f t="shared" si="73"/>
        <v/>
      </c>
      <c r="AQ297" s="15" t="str">
        <f t="shared" si="74"/>
        <v/>
      </c>
    </row>
    <row r="298" spans="1:43">
      <c r="A298" s="13" t="str">
        <f t="shared" si="60"/>
        <v/>
      </c>
      <c r="B298" s="13" t="str">
        <f t="shared" si="61"/>
        <v/>
      </c>
      <c r="C298" s="15" t="str">
        <f t="shared" si="62"/>
        <v/>
      </c>
      <c r="D298" s="15" t="str">
        <f t="shared" si="63"/>
        <v/>
      </c>
      <c r="E298" s="15" t="str">
        <f t="shared" si="64"/>
        <v/>
      </c>
      <c r="F298" s="15" t="str">
        <f t="shared" si="65"/>
        <v/>
      </c>
      <c r="G298" s="15" t="str">
        <f t="shared" si="66"/>
        <v/>
      </c>
      <c r="H298" s="15" t="str">
        <f t="shared" si="67"/>
        <v/>
      </c>
      <c r="I298" s="15" t="str">
        <f t="shared" si="68"/>
        <v/>
      </c>
      <c r="J298" s="15" t="str">
        <f t="shared" si="69"/>
        <v/>
      </c>
      <c r="K298" s="13" t="str">
        <f>IF('Cylinder Detail'!U300=0,"",'Cylinder Detail'!U300)</f>
        <v/>
      </c>
      <c r="L298" s="13" t="str">
        <f>IF('Cylinder Detail'!Z300=0,"",_xlfn.TEXTBEFORE('Cylinder Detail'!Z300, ","))</f>
        <v/>
      </c>
      <c r="M298" s="13" t="str">
        <f t="shared" si="70"/>
        <v/>
      </c>
      <c r="N298" s="17" t="str">
        <f>IF('Cylinder Detail'!V300=0,"",'Cylinder Detail'!V300)</f>
        <v/>
      </c>
      <c r="O298" s="17" t="str">
        <f>IF('Cylinder Detail'!Z300=0,"",_xlfn.TEXTAFTER('Cylinder Detail'!Z300, ", "))</f>
        <v/>
      </c>
      <c r="P298" s="17" t="str">
        <f>IF('Cylinder Detail'!AA300=0,"",'Cylinder Detail'!AA300)</f>
        <v/>
      </c>
      <c r="Q298" s="19" t="str">
        <f>IF('Cylinder Detail'!W300=0,"",'Cylinder Detail'!W300)</f>
        <v/>
      </c>
      <c r="R298" s="19" t="str">
        <f>IF('Cylinder Detail'!Y300=0,"",'Cylinder Detail'!Y300)</f>
        <v/>
      </c>
      <c r="S298" s="21" t="str">
        <f>IF('Cylinder Detail'!X300=0,"",'Cylinder Detail'!X300)</f>
        <v/>
      </c>
      <c r="T298" s="21" t="str">
        <f>IF('Cylinder Detail'!F300=0,"",'Cylinder Detail'!F300)</f>
        <v/>
      </c>
      <c r="U298" s="21" t="str">
        <f>IF('Cylinder Detail'!R300=0,"",'Cylinder Detail'!R300)</f>
        <v/>
      </c>
      <c r="V298" s="21" t="str">
        <f>IF('Cylinder Detail'!Q300=0,"",'Cylinder Detail'!Q300)</f>
        <v/>
      </c>
      <c r="W298" s="21" t="str">
        <f>IF('Cylinder Detail'!E300=0,"","+" &amp; 'Cylinder Detail'!E300)</f>
        <v/>
      </c>
      <c r="X298" s="21" t="str">
        <f t="shared" si="71"/>
        <v/>
      </c>
      <c r="Y298" s="21" t="str">
        <f>IF('Cylinder Detail'!S300=0,"",'Cylinder Detail'!S300)</f>
        <v/>
      </c>
      <c r="Z298" s="21" t="str">
        <f>IF('Cylinder Detail'!T300=0,"",'Cylinder Detail'!T300)</f>
        <v/>
      </c>
      <c r="AA298" s="21" t="str">
        <f>IF('Cylinder Detail'!H300=0,"",'Cylinder Detail'!H300)</f>
        <v/>
      </c>
      <c r="AB298" s="21" t="str">
        <f>IF('Cylinder Detail'!I300=0,"",'Cylinder Detail'!I300)</f>
        <v/>
      </c>
      <c r="AC298" s="22" t="str">
        <f>IF('Cylinder Detail'!AB300=0,"",'Cylinder Detail'!AB300)</f>
        <v/>
      </c>
      <c r="AD298" s="25" t="str">
        <f>IF('Sensor Detail'!F300=0,"","=" &amp; 'Sensor Detail'!F300)</f>
        <v/>
      </c>
      <c r="AE298" s="25" t="str">
        <f>IF('Sensor Detail'!H300=0,"",'Sensor Detail'!H300)</f>
        <v/>
      </c>
      <c r="AF298" s="27" t="str">
        <f>IF('Sensor Detail'!G300=0,"","-" &amp; 'Sensor Detail'!G300)</f>
        <v/>
      </c>
      <c r="AG298" s="27" t="str">
        <f>IF('Sensor Detail'!I300=0,"",'Sensor Detail'!I300)</f>
        <v/>
      </c>
      <c r="AH298" s="27" t="str">
        <f>IF('Sensor Detail'!E300=0,"","+" &amp; 'Sensor Detail'!E300)</f>
        <v/>
      </c>
      <c r="AI298" s="27" t="str">
        <f t="shared" si="72"/>
        <v/>
      </c>
      <c r="AJ298" s="27" t="str">
        <f>IF('Sensor Detail'!J300=0,"",'Sensor Detail'!J300)</f>
        <v/>
      </c>
      <c r="AK298" s="27" t="str">
        <f>IF('Sensor Detail'!K300=0,"",'Sensor Detail'!K300)</f>
        <v/>
      </c>
      <c r="AL298" s="27" t="str">
        <f>IF('Sensor Detail'!L300=0,"",'Sensor Detail'!L300)</f>
        <v/>
      </c>
      <c r="AM298" s="27" t="str">
        <f>IF('Sensor Detail'!M300=0,"",'Sensor Detail'!M300)</f>
        <v/>
      </c>
      <c r="AN298" s="27" t="str">
        <f>IF('Sensor Detail'!N300=0,"",'Sensor Detail'!N300)</f>
        <v/>
      </c>
      <c r="AO298" s="27" t="str">
        <f>IF('Sensor Detail'!O300=0,"",'Sensor Detail'!O300)</f>
        <v/>
      </c>
      <c r="AP298" s="15" t="str">
        <f t="shared" si="73"/>
        <v/>
      </c>
      <c r="AQ298" s="15" t="str">
        <f t="shared" si="74"/>
        <v/>
      </c>
    </row>
    <row r="299" spans="1:43">
      <c r="A299" s="13" t="str">
        <f t="shared" si="60"/>
        <v/>
      </c>
      <c r="B299" s="13" t="str">
        <f t="shared" si="61"/>
        <v/>
      </c>
      <c r="C299" s="15" t="str">
        <f t="shared" si="62"/>
        <v/>
      </c>
      <c r="D299" s="15" t="str">
        <f t="shared" si="63"/>
        <v/>
      </c>
      <c r="E299" s="15" t="str">
        <f t="shared" si="64"/>
        <v/>
      </c>
      <c r="F299" s="15" t="str">
        <f t="shared" si="65"/>
        <v/>
      </c>
      <c r="G299" s="15" t="str">
        <f t="shared" si="66"/>
        <v/>
      </c>
      <c r="H299" s="15" t="str">
        <f t="shared" si="67"/>
        <v/>
      </c>
      <c r="I299" s="15" t="str">
        <f t="shared" si="68"/>
        <v/>
      </c>
      <c r="J299" s="15" t="str">
        <f t="shared" si="69"/>
        <v/>
      </c>
      <c r="K299" s="13" t="str">
        <f>IF('Cylinder Detail'!U301=0,"",'Cylinder Detail'!U301)</f>
        <v/>
      </c>
      <c r="L299" s="13" t="str">
        <f>IF('Cylinder Detail'!Z301=0,"",_xlfn.TEXTBEFORE('Cylinder Detail'!Z301, ","))</f>
        <v/>
      </c>
      <c r="M299" s="13" t="str">
        <f t="shared" si="70"/>
        <v/>
      </c>
      <c r="N299" s="17" t="str">
        <f>IF('Cylinder Detail'!V301=0,"",'Cylinder Detail'!V301)</f>
        <v/>
      </c>
      <c r="O299" s="17" t="str">
        <f>IF('Cylinder Detail'!Z301=0,"",_xlfn.TEXTAFTER('Cylinder Detail'!Z301, ", "))</f>
        <v/>
      </c>
      <c r="P299" s="17" t="str">
        <f>IF('Cylinder Detail'!AA301=0,"",'Cylinder Detail'!AA301)</f>
        <v/>
      </c>
      <c r="Q299" s="19" t="str">
        <f>IF('Cylinder Detail'!W301=0,"",'Cylinder Detail'!W301)</f>
        <v/>
      </c>
      <c r="R299" s="19" t="str">
        <f>IF('Cylinder Detail'!Y301=0,"",'Cylinder Detail'!Y301)</f>
        <v/>
      </c>
      <c r="S299" s="21" t="str">
        <f>IF('Cylinder Detail'!X301=0,"",'Cylinder Detail'!X301)</f>
        <v/>
      </c>
      <c r="T299" s="21" t="str">
        <f>IF('Cylinder Detail'!F301=0,"",'Cylinder Detail'!F301)</f>
        <v/>
      </c>
      <c r="U299" s="21" t="str">
        <f>IF('Cylinder Detail'!R301=0,"",'Cylinder Detail'!R301)</f>
        <v/>
      </c>
      <c r="V299" s="21" t="str">
        <f>IF('Cylinder Detail'!Q301=0,"",'Cylinder Detail'!Q301)</f>
        <v/>
      </c>
      <c r="W299" s="21" t="str">
        <f>IF('Cylinder Detail'!E301=0,"","+" &amp; 'Cylinder Detail'!E301)</f>
        <v/>
      </c>
      <c r="X299" s="21" t="str">
        <f t="shared" si="71"/>
        <v/>
      </c>
      <c r="Y299" s="21" t="str">
        <f>IF('Cylinder Detail'!S301=0,"",'Cylinder Detail'!S301)</f>
        <v/>
      </c>
      <c r="Z299" s="21" t="str">
        <f>IF('Cylinder Detail'!T301=0,"",'Cylinder Detail'!T301)</f>
        <v/>
      </c>
      <c r="AA299" s="21" t="str">
        <f>IF('Cylinder Detail'!H301=0,"",'Cylinder Detail'!H301)</f>
        <v/>
      </c>
      <c r="AB299" s="21" t="str">
        <f>IF('Cylinder Detail'!I301=0,"",'Cylinder Detail'!I301)</f>
        <v/>
      </c>
      <c r="AC299" s="22" t="str">
        <f>IF('Cylinder Detail'!AB301=0,"",'Cylinder Detail'!AB301)</f>
        <v/>
      </c>
      <c r="AD299" s="25" t="str">
        <f>IF('Sensor Detail'!F301=0,"","=" &amp; 'Sensor Detail'!F301)</f>
        <v/>
      </c>
      <c r="AE299" s="25" t="str">
        <f>IF('Sensor Detail'!H301=0,"",'Sensor Detail'!H301)</f>
        <v/>
      </c>
      <c r="AF299" s="27" t="str">
        <f>IF('Sensor Detail'!G301=0,"","-" &amp; 'Sensor Detail'!G301)</f>
        <v/>
      </c>
      <c r="AG299" s="27" t="str">
        <f>IF('Sensor Detail'!I301=0,"",'Sensor Detail'!I301)</f>
        <v/>
      </c>
      <c r="AH299" s="27" t="str">
        <f>IF('Sensor Detail'!E301=0,"","+" &amp; 'Sensor Detail'!E301)</f>
        <v/>
      </c>
      <c r="AI299" s="27" t="str">
        <f t="shared" si="72"/>
        <v/>
      </c>
      <c r="AJ299" s="27" t="str">
        <f>IF('Sensor Detail'!J301=0,"",'Sensor Detail'!J301)</f>
        <v/>
      </c>
      <c r="AK299" s="27" t="str">
        <f>IF('Sensor Detail'!K301=0,"",'Sensor Detail'!K301)</f>
        <v/>
      </c>
      <c r="AL299" s="27" t="str">
        <f>IF('Sensor Detail'!L301=0,"",'Sensor Detail'!L301)</f>
        <v/>
      </c>
      <c r="AM299" s="27" t="str">
        <f>IF('Sensor Detail'!M301=0,"",'Sensor Detail'!M301)</f>
        <v/>
      </c>
      <c r="AN299" s="27" t="str">
        <f>IF('Sensor Detail'!N301=0,"",'Sensor Detail'!N301)</f>
        <v/>
      </c>
      <c r="AO299" s="27" t="str">
        <f>IF('Sensor Detail'!O301=0,"",'Sensor Detail'!O301)</f>
        <v/>
      </c>
      <c r="AP299" s="15" t="str">
        <f t="shared" si="73"/>
        <v/>
      </c>
      <c r="AQ299" s="15" t="str">
        <f t="shared" si="74"/>
        <v/>
      </c>
    </row>
    <row r="300" spans="1:43">
      <c r="A300" s="13" t="str">
        <f t="shared" si="60"/>
        <v/>
      </c>
      <c r="B300" s="13" t="str">
        <f t="shared" si="61"/>
        <v/>
      </c>
      <c r="C300" s="15" t="str">
        <f t="shared" si="62"/>
        <v/>
      </c>
      <c r="D300" s="15" t="str">
        <f t="shared" si="63"/>
        <v/>
      </c>
      <c r="E300" s="15" t="str">
        <f t="shared" si="64"/>
        <v/>
      </c>
      <c r="F300" s="15" t="str">
        <f t="shared" si="65"/>
        <v/>
      </c>
      <c r="G300" s="15" t="str">
        <f t="shared" si="66"/>
        <v/>
      </c>
      <c r="H300" s="15" t="str">
        <f t="shared" si="67"/>
        <v/>
      </c>
      <c r="I300" s="15" t="str">
        <f t="shared" si="68"/>
        <v/>
      </c>
      <c r="J300" s="15" t="str">
        <f t="shared" si="69"/>
        <v/>
      </c>
      <c r="K300" s="13" t="str">
        <f>IF('Cylinder Detail'!U302=0,"",'Cylinder Detail'!U302)</f>
        <v/>
      </c>
      <c r="L300" s="13" t="str">
        <f>IF('Cylinder Detail'!Z302=0,"",_xlfn.TEXTBEFORE('Cylinder Detail'!Z302, ","))</f>
        <v/>
      </c>
      <c r="M300" s="13" t="str">
        <f t="shared" si="70"/>
        <v/>
      </c>
      <c r="N300" s="17" t="str">
        <f>IF('Cylinder Detail'!V302=0,"",'Cylinder Detail'!V302)</f>
        <v/>
      </c>
      <c r="O300" s="17" t="str">
        <f>IF('Cylinder Detail'!Z302=0,"",_xlfn.TEXTAFTER('Cylinder Detail'!Z302, ", "))</f>
        <v/>
      </c>
      <c r="P300" s="17" t="str">
        <f>IF('Cylinder Detail'!AA302=0,"",'Cylinder Detail'!AA302)</f>
        <v/>
      </c>
      <c r="Q300" s="19" t="str">
        <f>IF('Cylinder Detail'!W302=0,"",'Cylinder Detail'!W302)</f>
        <v/>
      </c>
      <c r="R300" s="19" t="str">
        <f>IF('Cylinder Detail'!Y302=0,"",'Cylinder Detail'!Y302)</f>
        <v/>
      </c>
      <c r="S300" s="21" t="str">
        <f>IF('Cylinder Detail'!X302=0,"",'Cylinder Detail'!X302)</f>
        <v/>
      </c>
      <c r="T300" s="21" t="str">
        <f>IF('Cylinder Detail'!F302=0,"",'Cylinder Detail'!F302)</f>
        <v/>
      </c>
      <c r="U300" s="21" t="str">
        <f>IF('Cylinder Detail'!R302=0,"",'Cylinder Detail'!R302)</f>
        <v/>
      </c>
      <c r="V300" s="21" t="str">
        <f>IF('Cylinder Detail'!Q302=0,"",'Cylinder Detail'!Q302)</f>
        <v/>
      </c>
      <c r="W300" s="21" t="str">
        <f>IF('Cylinder Detail'!E302=0,"","+" &amp; 'Cylinder Detail'!E302)</f>
        <v/>
      </c>
      <c r="X300" s="21" t="str">
        <f t="shared" si="71"/>
        <v/>
      </c>
      <c r="Y300" s="21" t="str">
        <f>IF('Cylinder Detail'!S302=0,"",'Cylinder Detail'!S302)</f>
        <v/>
      </c>
      <c r="Z300" s="21" t="str">
        <f>IF('Cylinder Detail'!T302=0,"",'Cylinder Detail'!T302)</f>
        <v/>
      </c>
      <c r="AA300" s="21" t="str">
        <f>IF('Cylinder Detail'!H302=0,"",'Cylinder Detail'!H302)</f>
        <v/>
      </c>
      <c r="AB300" s="21" t="str">
        <f>IF('Cylinder Detail'!I302=0,"",'Cylinder Detail'!I302)</f>
        <v/>
      </c>
      <c r="AC300" s="22" t="str">
        <f>IF('Cylinder Detail'!AB302=0,"",'Cylinder Detail'!AB302)</f>
        <v/>
      </c>
      <c r="AD300" s="25" t="str">
        <f>IF('Sensor Detail'!F302=0,"","=" &amp; 'Sensor Detail'!F302)</f>
        <v/>
      </c>
      <c r="AE300" s="25" t="str">
        <f>IF('Sensor Detail'!H302=0,"",'Sensor Detail'!H302)</f>
        <v/>
      </c>
      <c r="AF300" s="27" t="str">
        <f>IF('Sensor Detail'!G302=0,"","-" &amp; 'Sensor Detail'!G302)</f>
        <v/>
      </c>
      <c r="AG300" s="27" t="str">
        <f>IF('Sensor Detail'!I302=0,"",'Sensor Detail'!I302)</f>
        <v/>
      </c>
      <c r="AH300" s="27" t="str">
        <f>IF('Sensor Detail'!E302=0,"","+" &amp; 'Sensor Detail'!E302)</f>
        <v/>
      </c>
      <c r="AI300" s="27" t="str">
        <f t="shared" si="72"/>
        <v/>
      </c>
      <c r="AJ300" s="27" t="str">
        <f>IF('Sensor Detail'!J302=0,"",'Sensor Detail'!J302)</f>
        <v/>
      </c>
      <c r="AK300" s="27" t="str">
        <f>IF('Sensor Detail'!K302=0,"",'Sensor Detail'!K302)</f>
        <v/>
      </c>
      <c r="AL300" s="27" t="str">
        <f>IF('Sensor Detail'!L302=0,"",'Sensor Detail'!L302)</f>
        <v/>
      </c>
      <c r="AM300" s="27" t="str">
        <f>IF('Sensor Detail'!M302=0,"",'Sensor Detail'!M302)</f>
        <v/>
      </c>
      <c r="AN300" s="27" t="str">
        <f>IF('Sensor Detail'!N302=0,"",'Sensor Detail'!N302)</f>
        <v/>
      </c>
      <c r="AO300" s="27" t="str">
        <f>IF('Sensor Detail'!O302=0,"",'Sensor Detail'!O302)</f>
        <v/>
      </c>
      <c r="AP300" s="15" t="str">
        <f t="shared" si="73"/>
        <v/>
      </c>
      <c r="AQ300" s="15" t="str">
        <f t="shared" si="74"/>
        <v/>
      </c>
    </row>
    <row r="301" spans="1:43">
      <c r="A301" s="13" t="str">
        <f t="shared" si="60"/>
        <v/>
      </c>
      <c r="B301" s="13" t="str">
        <f t="shared" si="61"/>
        <v/>
      </c>
      <c r="C301" s="15" t="str">
        <f t="shared" si="62"/>
        <v/>
      </c>
      <c r="D301" s="15" t="str">
        <f t="shared" si="63"/>
        <v/>
      </c>
      <c r="E301" s="15" t="str">
        <f t="shared" si="64"/>
        <v/>
      </c>
      <c r="F301" s="15" t="str">
        <f t="shared" si="65"/>
        <v/>
      </c>
      <c r="G301" s="15" t="str">
        <f t="shared" si="66"/>
        <v/>
      </c>
      <c r="H301" s="15" t="str">
        <f t="shared" si="67"/>
        <v/>
      </c>
      <c r="I301" s="15" t="str">
        <f t="shared" si="68"/>
        <v/>
      </c>
      <c r="J301" s="15" t="str">
        <f t="shared" si="69"/>
        <v/>
      </c>
      <c r="K301" s="13" t="str">
        <f>IF('Cylinder Detail'!U303=0,"",'Cylinder Detail'!U303)</f>
        <v/>
      </c>
      <c r="L301" s="13" t="str">
        <f>IF('Cylinder Detail'!Z303=0,"",_xlfn.TEXTBEFORE('Cylinder Detail'!Z303, ","))</f>
        <v/>
      </c>
      <c r="M301" s="13" t="str">
        <f t="shared" si="70"/>
        <v/>
      </c>
      <c r="N301" s="17" t="str">
        <f>IF('Cylinder Detail'!V303=0,"",'Cylinder Detail'!V303)</f>
        <v/>
      </c>
      <c r="O301" s="17" t="str">
        <f>IF('Cylinder Detail'!Z303=0,"",_xlfn.TEXTAFTER('Cylinder Detail'!Z303, ", "))</f>
        <v/>
      </c>
      <c r="P301" s="17" t="str">
        <f>IF('Cylinder Detail'!AA303=0,"",'Cylinder Detail'!AA303)</f>
        <v/>
      </c>
      <c r="Q301" s="19" t="str">
        <f>IF('Cylinder Detail'!W303=0,"",'Cylinder Detail'!W303)</f>
        <v/>
      </c>
      <c r="R301" s="19" t="str">
        <f>IF('Cylinder Detail'!Y303=0,"",'Cylinder Detail'!Y303)</f>
        <v/>
      </c>
      <c r="S301" s="21" t="str">
        <f>IF('Cylinder Detail'!X303=0,"",'Cylinder Detail'!X303)</f>
        <v/>
      </c>
      <c r="T301" s="21" t="str">
        <f>IF('Cylinder Detail'!F303=0,"",'Cylinder Detail'!F303)</f>
        <v/>
      </c>
      <c r="U301" s="21" t="str">
        <f>IF('Cylinder Detail'!R303=0,"",'Cylinder Detail'!R303)</f>
        <v/>
      </c>
      <c r="V301" s="21" t="str">
        <f>IF('Cylinder Detail'!Q303=0,"",'Cylinder Detail'!Q303)</f>
        <v/>
      </c>
      <c r="W301" s="21" t="str">
        <f>IF('Cylinder Detail'!E303=0,"","+" &amp; 'Cylinder Detail'!E303)</f>
        <v/>
      </c>
      <c r="X301" s="21" t="str">
        <f t="shared" si="71"/>
        <v/>
      </c>
      <c r="Y301" s="21" t="str">
        <f>IF('Cylinder Detail'!S303=0,"",'Cylinder Detail'!S303)</f>
        <v/>
      </c>
      <c r="Z301" s="21" t="str">
        <f>IF('Cylinder Detail'!T303=0,"",'Cylinder Detail'!T303)</f>
        <v/>
      </c>
      <c r="AA301" s="21" t="str">
        <f>IF('Cylinder Detail'!H303=0,"",'Cylinder Detail'!H303)</f>
        <v/>
      </c>
      <c r="AB301" s="21" t="str">
        <f>IF('Cylinder Detail'!I303=0,"",'Cylinder Detail'!I303)</f>
        <v/>
      </c>
      <c r="AC301" s="22" t="str">
        <f>IF('Cylinder Detail'!AB303=0,"",'Cylinder Detail'!AB303)</f>
        <v/>
      </c>
      <c r="AD301" s="25" t="str">
        <f>IF('Sensor Detail'!F303=0,"","=" &amp; 'Sensor Detail'!F303)</f>
        <v/>
      </c>
      <c r="AE301" s="25" t="str">
        <f>IF('Sensor Detail'!H303=0,"",'Sensor Detail'!H303)</f>
        <v/>
      </c>
      <c r="AF301" s="27" t="str">
        <f>IF('Sensor Detail'!G303=0,"","-" &amp; 'Sensor Detail'!G303)</f>
        <v/>
      </c>
      <c r="AG301" s="27" t="str">
        <f>IF('Sensor Detail'!I303=0,"",'Sensor Detail'!I303)</f>
        <v/>
      </c>
      <c r="AH301" s="27" t="str">
        <f>IF('Sensor Detail'!E303=0,"","+" &amp; 'Sensor Detail'!E303)</f>
        <v/>
      </c>
      <c r="AI301" s="27" t="str">
        <f t="shared" si="72"/>
        <v/>
      </c>
      <c r="AJ301" s="27" t="str">
        <f>IF('Sensor Detail'!J303=0,"",'Sensor Detail'!J303)</f>
        <v/>
      </c>
      <c r="AK301" s="27" t="str">
        <f>IF('Sensor Detail'!K303=0,"",'Sensor Detail'!K303)</f>
        <v/>
      </c>
      <c r="AL301" s="27" t="str">
        <f>IF('Sensor Detail'!L303=0,"",'Sensor Detail'!L303)</f>
        <v/>
      </c>
      <c r="AM301" s="27" t="str">
        <f>IF('Sensor Detail'!M303=0,"",'Sensor Detail'!M303)</f>
        <v/>
      </c>
      <c r="AN301" s="27" t="str">
        <f>IF('Sensor Detail'!N303=0,"",'Sensor Detail'!N303)</f>
        <v/>
      </c>
      <c r="AO301" s="27" t="str">
        <f>IF('Sensor Detail'!O303=0,"",'Sensor Detail'!O303)</f>
        <v/>
      </c>
      <c r="AP301" s="15" t="str">
        <f t="shared" si="73"/>
        <v/>
      </c>
      <c r="AQ301" s="15" t="str">
        <f t="shared" si="74"/>
        <v/>
      </c>
    </row>
    <row r="302" spans="1:43">
      <c r="A302" s="13" t="str">
        <f t="shared" si="60"/>
        <v/>
      </c>
      <c r="B302" s="13" t="str">
        <f t="shared" si="61"/>
        <v/>
      </c>
      <c r="C302" s="15" t="str">
        <f t="shared" si="62"/>
        <v/>
      </c>
      <c r="D302" s="15" t="str">
        <f t="shared" si="63"/>
        <v/>
      </c>
      <c r="E302" s="15" t="str">
        <f t="shared" si="64"/>
        <v/>
      </c>
      <c r="F302" s="15" t="str">
        <f t="shared" si="65"/>
        <v/>
      </c>
      <c r="G302" s="15" t="str">
        <f t="shared" si="66"/>
        <v/>
      </c>
      <c r="H302" s="15" t="str">
        <f t="shared" si="67"/>
        <v/>
      </c>
      <c r="I302" s="15" t="str">
        <f t="shared" si="68"/>
        <v/>
      </c>
      <c r="J302" s="15" t="str">
        <f t="shared" si="69"/>
        <v/>
      </c>
      <c r="K302" s="13" t="str">
        <f>IF('Cylinder Detail'!U304=0,"",'Cylinder Detail'!U304)</f>
        <v/>
      </c>
      <c r="L302" s="13" t="str">
        <f>IF('Cylinder Detail'!Z304=0,"",_xlfn.TEXTBEFORE('Cylinder Detail'!Z304, ","))</f>
        <v/>
      </c>
      <c r="M302" s="13" t="str">
        <f t="shared" si="70"/>
        <v/>
      </c>
      <c r="N302" s="17" t="str">
        <f>IF('Cylinder Detail'!V304=0,"",'Cylinder Detail'!V304)</f>
        <v/>
      </c>
      <c r="O302" s="17" t="str">
        <f>IF('Cylinder Detail'!Z304=0,"",_xlfn.TEXTAFTER('Cylinder Detail'!Z304, ", "))</f>
        <v/>
      </c>
      <c r="P302" s="17" t="str">
        <f>IF('Cylinder Detail'!AA304=0,"",'Cylinder Detail'!AA304)</f>
        <v/>
      </c>
      <c r="Q302" s="19" t="str">
        <f>IF('Cylinder Detail'!W304=0,"",'Cylinder Detail'!W304)</f>
        <v/>
      </c>
      <c r="R302" s="19" t="str">
        <f>IF('Cylinder Detail'!Y304=0,"",'Cylinder Detail'!Y304)</f>
        <v/>
      </c>
      <c r="S302" s="21" t="str">
        <f>IF('Cylinder Detail'!X304=0,"",'Cylinder Detail'!X304)</f>
        <v/>
      </c>
      <c r="T302" s="21" t="str">
        <f>IF('Cylinder Detail'!F304=0,"",'Cylinder Detail'!F304)</f>
        <v/>
      </c>
      <c r="U302" s="21" t="str">
        <f>IF('Cylinder Detail'!R304=0,"",'Cylinder Detail'!R304)</f>
        <v/>
      </c>
      <c r="V302" s="21" t="str">
        <f>IF('Cylinder Detail'!Q304=0,"",'Cylinder Detail'!Q304)</f>
        <v/>
      </c>
      <c r="W302" s="21" t="str">
        <f>IF('Cylinder Detail'!E304=0,"","+" &amp; 'Cylinder Detail'!E304)</f>
        <v/>
      </c>
      <c r="X302" s="21" t="str">
        <f t="shared" si="71"/>
        <v/>
      </c>
      <c r="Y302" s="21" t="str">
        <f>IF('Cylinder Detail'!S304=0,"",'Cylinder Detail'!S304)</f>
        <v/>
      </c>
      <c r="Z302" s="21" t="str">
        <f>IF('Cylinder Detail'!T304=0,"",'Cylinder Detail'!T304)</f>
        <v/>
      </c>
      <c r="AA302" s="21" t="str">
        <f>IF('Cylinder Detail'!H304=0,"",'Cylinder Detail'!H304)</f>
        <v/>
      </c>
      <c r="AB302" s="21" t="str">
        <f>IF('Cylinder Detail'!I304=0,"",'Cylinder Detail'!I304)</f>
        <v/>
      </c>
      <c r="AC302" s="22" t="str">
        <f>IF('Cylinder Detail'!AB304=0,"",'Cylinder Detail'!AB304)</f>
        <v/>
      </c>
      <c r="AD302" s="25" t="str">
        <f>IF('Sensor Detail'!F304=0,"","=" &amp; 'Sensor Detail'!F304)</f>
        <v/>
      </c>
      <c r="AE302" s="25" t="str">
        <f>IF('Sensor Detail'!H304=0,"",'Sensor Detail'!H304)</f>
        <v/>
      </c>
      <c r="AF302" s="27" t="str">
        <f>IF('Sensor Detail'!G304=0,"","-" &amp; 'Sensor Detail'!G304)</f>
        <v/>
      </c>
      <c r="AG302" s="27" t="str">
        <f>IF('Sensor Detail'!I304=0,"",'Sensor Detail'!I304)</f>
        <v/>
      </c>
      <c r="AH302" s="27" t="str">
        <f>IF('Sensor Detail'!E304=0,"","+" &amp; 'Sensor Detail'!E304)</f>
        <v/>
      </c>
      <c r="AI302" s="27" t="str">
        <f t="shared" si="72"/>
        <v/>
      </c>
      <c r="AJ302" s="27" t="str">
        <f>IF('Sensor Detail'!J304=0,"",'Sensor Detail'!J304)</f>
        <v/>
      </c>
      <c r="AK302" s="27" t="str">
        <f>IF('Sensor Detail'!K304=0,"",'Sensor Detail'!K304)</f>
        <v/>
      </c>
      <c r="AL302" s="27" t="str">
        <f>IF('Sensor Detail'!L304=0,"",'Sensor Detail'!L304)</f>
        <v/>
      </c>
      <c r="AM302" s="27" t="str">
        <f>IF('Sensor Detail'!M304=0,"",'Sensor Detail'!M304)</f>
        <v/>
      </c>
      <c r="AN302" s="27" t="str">
        <f>IF('Sensor Detail'!N304=0,"",'Sensor Detail'!N304)</f>
        <v/>
      </c>
      <c r="AO302" s="27" t="str">
        <f>IF('Sensor Detail'!O304=0,"",'Sensor Detail'!O304)</f>
        <v/>
      </c>
      <c r="AP302" s="15" t="str">
        <f t="shared" si="73"/>
        <v/>
      </c>
      <c r="AQ302" s="15" t="str">
        <f t="shared" si="74"/>
        <v/>
      </c>
    </row>
    <row r="303" spans="1:43">
      <c r="A303" s="13" t="str">
        <f t="shared" si="60"/>
        <v/>
      </c>
      <c r="B303" s="13" t="str">
        <f t="shared" si="61"/>
        <v/>
      </c>
      <c r="C303" s="15" t="str">
        <f t="shared" si="62"/>
        <v/>
      </c>
      <c r="D303" s="15" t="str">
        <f t="shared" si="63"/>
        <v/>
      </c>
      <c r="E303" s="15" t="str">
        <f t="shared" si="64"/>
        <v/>
      </c>
      <c r="F303" s="15" t="str">
        <f t="shared" si="65"/>
        <v/>
      </c>
      <c r="G303" s="15" t="str">
        <f t="shared" si="66"/>
        <v/>
      </c>
      <c r="H303" s="15" t="str">
        <f t="shared" si="67"/>
        <v/>
      </c>
      <c r="I303" s="15" t="str">
        <f t="shared" si="68"/>
        <v/>
      </c>
      <c r="J303" s="15" t="str">
        <f t="shared" si="69"/>
        <v/>
      </c>
      <c r="K303" s="13" t="str">
        <f>IF('Cylinder Detail'!U305=0,"",'Cylinder Detail'!U305)</f>
        <v/>
      </c>
      <c r="L303" s="13" t="str">
        <f>IF('Cylinder Detail'!Z305=0,"",_xlfn.TEXTBEFORE('Cylinder Detail'!Z305, ","))</f>
        <v/>
      </c>
      <c r="M303" s="13" t="str">
        <f t="shared" si="70"/>
        <v/>
      </c>
      <c r="N303" s="17" t="str">
        <f>IF('Cylinder Detail'!V305=0,"",'Cylinder Detail'!V305)</f>
        <v/>
      </c>
      <c r="O303" s="17" t="str">
        <f>IF('Cylinder Detail'!Z305=0,"",_xlfn.TEXTAFTER('Cylinder Detail'!Z305, ", "))</f>
        <v/>
      </c>
      <c r="P303" s="17" t="str">
        <f>IF('Cylinder Detail'!AA305=0,"",'Cylinder Detail'!AA305)</f>
        <v/>
      </c>
      <c r="Q303" s="19" t="str">
        <f>IF('Cylinder Detail'!W305=0,"",'Cylinder Detail'!W305)</f>
        <v/>
      </c>
      <c r="R303" s="19" t="str">
        <f>IF('Cylinder Detail'!Y305=0,"",'Cylinder Detail'!Y305)</f>
        <v/>
      </c>
      <c r="S303" s="21" t="str">
        <f>IF('Cylinder Detail'!X305=0,"",'Cylinder Detail'!X305)</f>
        <v/>
      </c>
      <c r="T303" s="21" t="str">
        <f>IF('Cylinder Detail'!F305=0,"",'Cylinder Detail'!F305)</f>
        <v/>
      </c>
      <c r="U303" s="21" t="str">
        <f>IF('Cylinder Detail'!R305=0,"",'Cylinder Detail'!R305)</f>
        <v/>
      </c>
      <c r="V303" s="21" t="str">
        <f>IF('Cylinder Detail'!Q305=0,"",'Cylinder Detail'!Q305)</f>
        <v/>
      </c>
      <c r="W303" s="21" t="str">
        <f>IF('Cylinder Detail'!E305=0,"","+" &amp; 'Cylinder Detail'!E305)</f>
        <v/>
      </c>
      <c r="X303" s="21" t="str">
        <f t="shared" si="71"/>
        <v/>
      </c>
      <c r="Y303" s="21" t="str">
        <f>IF('Cylinder Detail'!S305=0,"",'Cylinder Detail'!S305)</f>
        <v/>
      </c>
      <c r="Z303" s="21" t="str">
        <f>IF('Cylinder Detail'!T305=0,"",'Cylinder Detail'!T305)</f>
        <v/>
      </c>
      <c r="AA303" s="21" t="str">
        <f>IF('Cylinder Detail'!H305=0,"",'Cylinder Detail'!H305)</f>
        <v/>
      </c>
      <c r="AB303" s="21" t="str">
        <f>IF('Cylinder Detail'!I305=0,"",'Cylinder Detail'!I305)</f>
        <v/>
      </c>
      <c r="AC303" s="22" t="str">
        <f>IF('Cylinder Detail'!AB305=0,"",'Cylinder Detail'!AB305)</f>
        <v/>
      </c>
      <c r="AD303" s="25" t="str">
        <f>IF('Sensor Detail'!F305=0,"","=" &amp; 'Sensor Detail'!F305)</f>
        <v/>
      </c>
      <c r="AE303" s="25" t="str">
        <f>IF('Sensor Detail'!H305=0,"",'Sensor Detail'!H305)</f>
        <v/>
      </c>
      <c r="AF303" s="27" t="str">
        <f>IF('Sensor Detail'!G305=0,"","-" &amp; 'Sensor Detail'!G305)</f>
        <v/>
      </c>
      <c r="AG303" s="27" t="str">
        <f>IF('Sensor Detail'!I305=0,"",'Sensor Detail'!I305)</f>
        <v/>
      </c>
      <c r="AH303" s="27" t="str">
        <f>IF('Sensor Detail'!E305=0,"","+" &amp; 'Sensor Detail'!E305)</f>
        <v/>
      </c>
      <c r="AI303" s="27" t="str">
        <f t="shared" si="72"/>
        <v/>
      </c>
      <c r="AJ303" s="27" t="str">
        <f>IF('Sensor Detail'!J305=0,"",'Sensor Detail'!J305)</f>
        <v/>
      </c>
      <c r="AK303" s="27" t="str">
        <f>IF('Sensor Detail'!K305=0,"",'Sensor Detail'!K305)</f>
        <v/>
      </c>
      <c r="AL303" s="27" t="str">
        <f>IF('Sensor Detail'!L305=0,"",'Sensor Detail'!L305)</f>
        <v/>
      </c>
      <c r="AM303" s="27" t="str">
        <f>IF('Sensor Detail'!M305=0,"",'Sensor Detail'!M305)</f>
        <v/>
      </c>
      <c r="AN303" s="27" t="str">
        <f>IF('Sensor Detail'!N305=0,"",'Sensor Detail'!N305)</f>
        <v/>
      </c>
      <c r="AO303" s="27" t="str">
        <f>IF('Sensor Detail'!O305=0,"",'Sensor Detail'!O305)</f>
        <v/>
      </c>
      <c r="AP303" s="15" t="str">
        <f t="shared" si="73"/>
        <v/>
      </c>
      <c r="AQ303" s="15" t="str">
        <f t="shared" si="74"/>
        <v/>
      </c>
    </row>
    <row r="304" spans="1:43">
      <c r="A304" s="13" t="str">
        <f t="shared" si="60"/>
        <v/>
      </c>
      <c r="B304" s="13" t="str">
        <f t="shared" si="61"/>
        <v/>
      </c>
      <c r="C304" s="15" t="str">
        <f t="shared" si="62"/>
        <v/>
      </c>
      <c r="D304" s="15" t="str">
        <f t="shared" si="63"/>
        <v/>
      </c>
      <c r="E304" s="15" t="str">
        <f t="shared" si="64"/>
        <v/>
      </c>
      <c r="F304" s="15" t="str">
        <f t="shared" si="65"/>
        <v/>
      </c>
      <c r="G304" s="15" t="str">
        <f t="shared" si="66"/>
        <v/>
      </c>
      <c r="H304" s="15" t="str">
        <f t="shared" si="67"/>
        <v/>
      </c>
      <c r="I304" s="15" t="str">
        <f t="shared" si="68"/>
        <v/>
      </c>
      <c r="J304" s="15" t="str">
        <f t="shared" si="69"/>
        <v/>
      </c>
      <c r="K304" s="13" t="str">
        <f>IF('Cylinder Detail'!U306=0,"",'Cylinder Detail'!U306)</f>
        <v/>
      </c>
      <c r="L304" s="13" t="str">
        <f>IF('Cylinder Detail'!Z306=0,"",_xlfn.TEXTBEFORE('Cylinder Detail'!Z306, ","))</f>
        <v/>
      </c>
      <c r="M304" s="13" t="str">
        <f t="shared" si="70"/>
        <v/>
      </c>
      <c r="N304" s="17" t="str">
        <f>IF('Cylinder Detail'!V306=0,"",'Cylinder Detail'!V306)</f>
        <v/>
      </c>
      <c r="O304" s="17" t="str">
        <f>IF('Cylinder Detail'!Z306=0,"",_xlfn.TEXTAFTER('Cylinder Detail'!Z306, ", "))</f>
        <v/>
      </c>
      <c r="P304" s="17" t="str">
        <f>IF('Cylinder Detail'!AA306=0,"",'Cylinder Detail'!AA306)</f>
        <v/>
      </c>
      <c r="Q304" s="19" t="str">
        <f>IF('Cylinder Detail'!W306=0,"",'Cylinder Detail'!W306)</f>
        <v/>
      </c>
      <c r="R304" s="19" t="str">
        <f>IF('Cylinder Detail'!Y306=0,"",'Cylinder Detail'!Y306)</f>
        <v/>
      </c>
      <c r="S304" s="21" t="str">
        <f>IF('Cylinder Detail'!X306=0,"",'Cylinder Detail'!X306)</f>
        <v/>
      </c>
      <c r="T304" s="21" t="str">
        <f>IF('Cylinder Detail'!F306=0,"",'Cylinder Detail'!F306)</f>
        <v/>
      </c>
      <c r="U304" s="21" t="str">
        <f>IF('Cylinder Detail'!R306=0,"",'Cylinder Detail'!R306)</f>
        <v/>
      </c>
      <c r="V304" s="21" t="str">
        <f>IF('Cylinder Detail'!Q306=0,"",'Cylinder Detail'!Q306)</f>
        <v/>
      </c>
      <c r="W304" s="21" t="str">
        <f>IF('Cylinder Detail'!E306=0,"","+" &amp; 'Cylinder Detail'!E306)</f>
        <v/>
      </c>
      <c r="X304" s="21" t="str">
        <f t="shared" si="71"/>
        <v/>
      </c>
      <c r="Y304" s="21" t="str">
        <f>IF('Cylinder Detail'!S306=0,"",'Cylinder Detail'!S306)</f>
        <v/>
      </c>
      <c r="Z304" s="21" t="str">
        <f>IF('Cylinder Detail'!T306=0,"",'Cylinder Detail'!T306)</f>
        <v/>
      </c>
      <c r="AA304" s="21" t="str">
        <f>IF('Cylinder Detail'!H306=0,"",'Cylinder Detail'!H306)</f>
        <v/>
      </c>
      <c r="AB304" s="21" t="str">
        <f>IF('Cylinder Detail'!I306=0,"",'Cylinder Detail'!I306)</f>
        <v/>
      </c>
      <c r="AC304" s="22" t="str">
        <f>IF('Cylinder Detail'!AB306=0,"",'Cylinder Detail'!AB306)</f>
        <v/>
      </c>
      <c r="AD304" s="25" t="str">
        <f>IF('Sensor Detail'!F306=0,"","=" &amp; 'Sensor Detail'!F306)</f>
        <v/>
      </c>
      <c r="AE304" s="25" t="str">
        <f>IF('Sensor Detail'!H306=0,"",'Sensor Detail'!H306)</f>
        <v/>
      </c>
      <c r="AF304" s="27" t="str">
        <f>IF('Sensor Detail'!G306=0,"","-" &amp; 'Sensor Detail'!G306)</f>
        <v/>
      </c>
      <c r="AG304" s="27" t="str">
        <f>IF('Sensor Detail'!I306=0,"",'Sensor Detail'!I306)</f>
        <v/>
      </c>
      <c r="AH304" s="27" t="str">
        <f>IF('Sensor Detail'!E306=0,"","+" &amp; 'Sensor Detail'!E306)</f>
        <v/>
      </c>
      <c r="AI304" s="27" t="str">
        <f t="shared" si="72"/>
        <v/>
      </c>
      <c r="AJ304" s="27" t="str">
        <f>IF('Sensor Detail'!J306=0,"",'Sensor Detail'!J306)</f>
        <v/>
      </c>
      <c r="AK304" s="27" t="str">
        <f>IF('Sensor Detail'!K306=0,"",'Sensor Detail'!K306)</f>
        <v/>
      </c>
      <c r="AL304" s="27" t="str">
        <f>IF('Sensor Detail'!L306=0,"",'Sensor Detail'!L306)</f>
        <v/>
      </c>
      <c r="AM304" s="27" t="str">
        <f>IF('Sensor Detail'!M306=0,"",'Sensor Detail'!M306)</f>
        <v/>
      </c>
      <c r="AN304" s="27" t="str">
        <f>IF('Sensor Detail'!N306=0,"",'Sensor Detail'!N306)</f>
        <v/>
      </c>
      <c r="AO304" s="27" t="str">
        <f>IF('Sensor Detail'!O306=0,"",'Sensor Detail'!O306)</f>
        <v/>
      </c>
      <c r="AP304" s="15" t="str">
        <f t="shared" si="73"/>
        <v/>
      </c>
      <c r="AQ304" s="15" t="str">
        <f t="shared" si="74"/>
        <v/>
      </c>
    </row>
    <row r="305" spans="1:43">
      <c r="A305" s="13" t="str">
        <f t="shared" si="60"/>
        <v/>
      </c>
      <c r="B305" s="13" t="str">
        <f t="shared" si="61"/>
        <v/>
      </c>
      <c r="C305" s="15" t="str">
        <f t="shared" si="62"/>
        <v/>
      </c>
      <c r="D305" s="15" t="str">
        <f t="shared" si="63"/>
        <v/>
      </c>
      <c r="E305" s="15" t="str">
        <f t="shared" si="64"/>
        <v/>
      </c>
      <c r="F305" s="15" t="str">
        <f t="shared" si="65"/>
        <v/>
      </c>
      <c r="G305" s="15" t="str">
        <f t="shared" si="66"/>
        <v/>
      </c>
      <c r="H305" s="15" t="str">
        <f t="shared" si="67"/>
        <v/>
      </c>
      <c r="I305" s="15" t="str">
        <f t="shared" si="68"/>
        <v/>
      </c>
      <c r="J305" s="15" t="str">
        <f t="shared" si="69"/>
        <v/>
      </c>
      <c r="K305" s="13" t="str">
        <f>IF('Cylinder Detail'!U307=0,"",'Cylinder Detail'!U307)</f>
        <v/>
      </c>
      <c r="L305" s="13" t="str">
        <f>IF('Cylinder Detail'!Z307=0,"",_xlfn.TEXTBEFORE('Cylinder Detail'!Z307, ","))</f>
        <v/>
      </c>
      <c r="M305" s="13" t="str">
        <f t="shared" si="70"/>
        <v/>
      </c>
      <c r="N305" s="17" t="str">
        <f>IF('Cylinder Detail'!V307=0,"",'Cylinder Detail'!V307)</f>
        <v/>
      </c>
      <c r="O305" s="17" t="str">
        <f>IF('Cylinder Detail'!Z307=0,"",_xlfn.TEXTAFTER('Cylinder Detail'!Z307, ", "))</f>
        <v/>
      </c>
      <c r="P305" s="17" t="str">
        <f>IF('Cylinder Detail'!AA307=0,"",'Cylinder Detail'!AA307)</f>
        <v/>
      </c>
      <c r="Q305" s="19" t="str">
        <f>IF('Cylinder Detail'!W307=0,"",'Cylinder Detail'!W307)</f>
        <v/>
      </c>
      <c r="R305" s="19" t="str">
        <f>IF('Cylinder Detail'!Y307=0,"",'Cylinder Detail'!Y307)</f>
        <v/>
      </c>
      <c r="S305" s="21" t="str">
        <f>IF('Cylinder Detail'!X307=0,"",'Cylinder Detail'!X307)</f>
        <v/>
      </c>
      <c r="T305" s="21" t="str">
        <f>IF('Cylinder Detail'!F307=0,"",'Cylinder Detail'!F307)</f>
        <v/>
      </c>
      <c r="U305" s="21" t="str">
        <f>IF('Cylinder Detail'!R307=0,"",'Cylinder Detail'!R307)</f>
        <v/>
      </c>
      <c r="V305" s="21" t="str">
        <f>IF('Cylinder Detail'!Q307=0,"",'Cylinder Detail'!Q307)</f>
        <v/>
      </c>
      <c r="W305" s="21" t="str">
        <f>IF('Cylinder Detail'!E307=0,"","+" &amp; 'Cylinder Detail'!E307)</f>
        <v/>
      </c>
      <c r="X305" s="21" t="str">
        <f t="shared" si="71"/>
        <v/>
      </c>
      <c r="Y305" s="21" t="str">
        <f>IF('Cylinder Detail'!S307=0,"",'Cylinder Detail'!S307)</f>
        <v/>
      </c>
      <c r="Z305" s="21" t="str">
        <f>IF('Cylinder Detail'!T307=0,"",'Cylinder Detail'!T307)</f>
        <v/>
      </c>
      <c r="AA305" s="21" t="str">
        <f>IF('Cylinder Detail'!H307=0,"",'Cylinder Detail'!H307)</f>
        <v/>
      </c>
      <c r="AB305" s="21" t="str">
        <f>IF('Cylinder Detail'!I307=0,"",'Cylinder Detail'!I307)</f>
        <v/>
      </c>
      <c r="AC305" s="22" t="str">
        <f>IF('Cylinder Detail'!AB307=0,"",'Cylinder Detail'!AB307)</f>
        <v/>
      </c>
      <c r="AD305" s="25" t="str">
        <f>IF('Sensor Detail'!F307=0,"","=" &amp; 'Sensor Detail'!F307)</f>
        <v/>
      </c>
      <c r="AE305" s="25" t="str">
        <f>IF('Sensor Detail'!H307=0,"",'Sensor Detail'!H307)</f>
        <v/>
      </c>
      <c r="AF305" s="27" t="str">
        <f>IF('Sensor Detail'!G307=0,"","-" &amp; 'Sensor Detail'!G307)</f>
        <v/>
      </c>
      <c r="AG305" s="27" t="str">
        <f>IF('Sensor Detail'!I307=0,"",'Sensor Detail'!I307)</f>
        <v/>
      </c>
      <c r="AH305" s="27" t="str">
        <f>IF('Sensor Detail'!E307=0,"","+" &amp; 'Sensor Detail'!E307)</f>
        <v/>
      </c>
      <c r="AI305" s="27" t="str">
        <f t="shared" si="72"/>
        <v/>
      </c>
      <c r="AJ305" s="27" t="str">
        <f>IF('Sensor Detail'!J307=0,"",'Sensor Detail'!J307)</f>
        <v/>
      </c>
      <c r="AK305" s="27" t="str">
        <f>IF('Sensor Detail'!K307=0,"",'Sensor Detail'!K307)</f>
        <v/>
      </c>
      <c r="AL305" s="27" t="str">
        <f>IF('Sensor Detail'!L307=0,"",'Sensor Detail'!L307)</f>
        <v/>
      </c>
      <c r="AM305" s="27" t="str">
        <f>IF('Sensor Detail'!M307=0,"",'Sensor Detail'!M307)</f>
        <v/>
      </c>
      <c r="AN305" s="27" t="str">
        <f>IF('Sensor Detail'!N307=0,"",'Sensor Detail'!N307)</f>
        <v/>
      </c>
      <c r="AO305" s="27" t="str">
        <f>IF('Sensor Detail'!O307=0,"",'Sensor Detail'!O307)</f>
        <v/>
      </c>
      <c r="AP305" s="15" t="str">
        <f t="shared" si="73"/>
        <v/>
      </c>
      <c r="AQ305" s="15" t="str">
        <f t="shared" si="74"/>
        <v/>
      </c>
    </row>
    <row r="306" spans="1:43">
      <c r="A306" s="13" t="str">
        <f t="shared" si="60"/>
        <v/>
      </c>
      <c r="B306" s="13" t="str">
        <f t="shared" si="61"/>
        <v/>
      </c>
      <c r="C306" s="15" t="str">
        <f t="shared" si="62"/>
        <v/>
      </c>
      <c r="D306" s="15" t="str">
        <f t="shared" si="63"/>
        <v/>
      </c>
      <c r="E306" s="15" t="str">
        <f t="shared" si="64"/>
        <v/>
      </c>
      <c r="F306" s="15" t="str">
        <f t="shared" si="65"/>
        <v/>
      </c>
      <c r="G306" s="15" t="str">
        <f t="shared" si="66"/>
        <v/>
      </c>
      <c r="H306" s="15" t="str">
        <f t="shared" si="67"/>
        <v/>
      </c>
      <c r="I306" s="15" t="str">
        <f t="shared" si="68"/>
        <v/>
      </c>
      <c r="J306" s="15" t="str">
        <f t="shared" si="69"/>
        <v/>
      </c>
      <c r="K306" s="13" t="str">
        <f>IF('Cylinder Detail'!U308=0,"",'Cylinder Detail'!U308)</f>
        <v/>
      </c>
      <c r="L306" s="13" t="str">
        <f>IF('Cylinder Detail'!Z308=0,"",_xlfn.TEXTBEFORE('Cylinder Detail'!Z308, ","))</f>
        <v/>
      </c>
      <c r="M306" s="13" t="str">
        <f t="shared" si="70"/>
        <v/>
      </c>
      <c r="N306" s="17" t="str">
        <f>IF('Cylinder Detail'!V308=0,"",'Cylinder Detail'!V308)</f>
        <v/>
      </c>
      <c r="O306" s="17" t="str">
        <f>IF('Cylinder Detail'!Z308=0,"",_xlfn.TEXTAFTER('Cylinder Detail'!Z308, ", "))</f>
        <v/>
      </c>
      <c r="P306" s="17" t="str">
        <f>IF('Cylinder Detail'!AA308=0,"",'Cylinder Detail'!AA308)</f>
        <v/>
      </c>
      <c r="Q306" s="19" t="str">
        <f>IF('Cylinder Detail'!W308=0,"",'Cylinder Detail'!W308)</f>
        <v/>
      </c>
      <c r="R306" s="19" t="str">
        <f>IF('Cylinder Detail'!Y308=0,"",'Cylinder Detail'!Y308)</f>
        <v/>
      </c>
      <c r="S306" s="21" t="str">
        <f>IF('Cylinder Detail'!X308=0,"",'Cylinder Detail'!X308)</f>
        <v/>
      </c>
      <c r="T306" s="21" t="str">
        <f>IF('Cylinder Detail'!F308=0,"",'Cylinder Detail'!F308)</f>
        <v/>
      </c>
      <c r="U306" s="21" t="str">
        <f>IF('Cylinder Detail'!R308=0,"",'Cylinder Detail'!R308)</f>
        <v/>
      </c>
      <c r="V306" s="21" t="str">
        <f>IF('Cylinder Detail'!Q308=0,"",'Cylinder Detail'!Q308)</f>
        <v/>
      </c>
      <c r="W306" s="21" t="str">
        <f>IF('Cylinder Detail'!E308=0,"","+" &amp; 'Cylinder Detail'!E308)</f>
        <v/>
      </c>
      <c r="X306" s="21" t="str">
        <f t="shared" si="71"/>
        <v/>
      </c>
      <c r="Y306" s="21" t="str">
        <f>IF('Cylinder Detail'!S308=0,"",'Cylinder Detail'!S308)</f>
        <v/>
      </c>
      <c r="Z306" s="21" t="str">
        <f>IF('Cylinder Detail'!T308=0,"",'Cylinder Detail'!T308)</f>
        <v/>
      </c>
      <c r="AA306" s="21" t="str">
        <f>IF('Cylinder Detail'!H308=0,"",'Cylinder Detail'!H308)</f>
        <v/>
      </c>
      <c r="AB306" s="21" t="str">
        <f>IF('Cylinder Detail'!I308=0,"",'Cylinder Detail'!I308)</f>
        <v/>
      </c>
      <c r="AC306" s="22" t="str">
        <f>IF('Cylinder Detail'!AB308=0,"",'Cylinder Detail'!AB308)</f>
        <v/>
      </c>
      <c r="AD306" s="25" t="str">
        <f>IF('Sensor Detail'!F308=0,"","=" &amp; 'Sensor Detail'!F308)</f>
        <v/>
      </c>
      <c r="AE306" s="25" t="str">
        <f>IF('Sensor Detail'!H308=0,"",'Sensor Detail'!H308)</f>
        <v/>
      </c>
      <c r="AF306" s="27" t="str">
        <f>IF('Sensor Detail'!G308=0,"","-" &amp; 'Sensor Detail'!G308)</f>
        <v/>
      </c>
      <c r="AG306" s="27" t="str">
        <f>IF('Sensor Detail'!I308=0,"",'Sensor Detail'!I308)</f>
        <v/>
      </c>
      <c r="AH306" s="27" t="str">
        <f>IF('Sensor Detail'!E308=0,"","+" &amp; 'Sensor Detail'!E308)</f>
        <v/>
      </c>
      <c r="AI306" s="27" t="str">
        <f t="shared" si="72"/>
        <v/>
      </c>
      <c r="AJ306" s="27" t="str">
        <f>IF('Sensor Detail'!J308=0,"",'Sensor Detail'!J308)</f>
        <v/>
      </c>
      <c r="AK306" s="27" t="str">
        <f>IF('Sensor Detail'!K308=0,"",'Sensor Detail'!K308)</f>
        <v/>
      </c>
      <c r="AL306" s="27" t="str">
        <f>IF('Sensor Detail'!L308=0,"",'Sensor Detail'!L308)</f>
        <v/>
      </c>
      <c r="AM306" s="27" t="str">
        <f>IF('Sensor Detail'!M308=0,"",'Sensor Detail'!M308)</f>
        <v/>
      </c>
      <c r="AN306" s="27" t="str">
        <f>IF('Sensor Detail'!N308=0,"",'Sensor Detail'!N308)</f>
        <v/>
      </c>
      <c r="AO306" s="27" t="str">
        <f>IF('Sensor Detail'!O308=0,"",'Sensor Detail'!O308)</f>
        <v/>
      </c>
      <c r="AP306" s="15" t="str">
        <f t="shared" si="73"/>
        <v/>
      </c>
      <c r="AQ306" s="15" t="str">
        <f t="shared" si="74"/>
        <v/>
      </c>
    </row>
    <row r="307" spans="1:43">
      <c r="A307" s="13" t="str">
        <f t="shared" si="60"/>
        <v/>
      </c>
      <c r="B307" s="13" t="str">
        <f t="shared" si="61"/>
        <v/>
      </c>
      <c r="C307" s="15" t="str">
        <f t="shared" si="62"/>
        <v/>
      </c>
      <c r="D307" s="15" t="str">
        <f t="shared" si="63"/>
        <v/>
      </c>
      <c r="E307" s="15" t="str">
        <f t="shared" si="64"/>
        <v/>
      </c>
      <c r="F307" s="15" t="str">
        <f t="shared" si="65"/>
        <v/>
      </c>
      <c r="G307" s="15" t="str">
        <f t="shared" si="66"/>
        <v/>
      </c>
      <c r="H307" s="15" t="str">
        <f t="shared" si="67"/>
        <v/>
      </c>
      <c r="I307" s="15" t="str">
        <f t="shared" si="68"/>
        <v/>
      </c>
      <c r="J307" s="15" t="str">
        <f t="shared" si="69"/>
        <v/>
      </c>
      <c r="K307" s="13" t="str">
        <f>IF('Cylinder Detail'!U309=0,"",'Cylinder Detail'!U309)</f>
        <v/>
      </c>
      <c r="L307" s="13" t="str">
        <f>IF('Cylinder Detail'!Z309=0,"",_xlfn.TEXTBEFORE('Cylinder Detail'!Z309, ","))</f>
        <v/>
      </c>
      <c r="M307" s="13" t="str">
        <f t="shared" si="70"/>
        <v/>
      </c>
      <c r="N307" s="17" t="str">
        <f>IF('Cylinder Detail'!V309=0,"",'Cylinder Detail'!V309)</f>
        <v/>
      </c>
      <c r="O307" s="17" t="str">
        <f>IF('Cylinder Detail'!Z309=0,"",_xlfn.TEXTAFTER('Cylinder Detail'!Z309, ", "))</f>
        <v/>
      </c>
      <c r="P307" s="17" t="str">
        <f>IF('Cylinder Detail'!AA309=0,"",'Cylinder Detail'!AA309)</f>
        <v/>
      </c>
      <c r="Q307" s="19" t="str">
        <f>IF('Cylinder Detail'!W309=0,"",'Cylinder Detail'!W309)</f>
        <v/>
      </c>
      <c r="R307" s="19" t="str">
        <f>IF('Cylinder Detail'!Y309=0,"",'Cylinder Detail'!Y309)</f>
        <v/>
      </c>
      <c r="S307" s="21" t="str">
        <f>IF('Cylinder Detail'!X309=0,"",'Cylinder Detail'!X309)</f>
        <v/>
      </c>
      <c r="T307" s="21" t="str">
        <f>IF('Cylinder Detail'!F309=0,"",'Cylinder Detail'!F309)</f>
        <v/>
      </c>
      <c r="U307" s="21" t="str">
        <f>IF('Cylinder Detail'!R309=0,"",'Cylinder Detail'!R309)</f>
        <v/>
      </c>
      <c r="V307" s="21" t="str">
        <f>IF('Cylinder Detail'!Q309=0,"",'Cylinder Detail'!Q309)</f>
        <v/>
      </c>
      <c r="W307" s="21" t="str">
        <f>IF('Cylinder Detail'!E309=0,"","+" &amp; 'Cylinder Detail'!E309)</f>
        <v/>
      </c>
      <c r="X307" s="21" t="str">
        <f t="shared" si="71"/>
        <v/>
      </c>
      <c r="Y307" s="21" t="str">
        <f>IF('Cylinder Detail'!S309=0,"",'Cylinder Detail'!S309)</f>
        <v/>
      </c>
      <c r="Z307" s="21" t="str">
        <f>IF('Cylinder Detail'!T309=0,"",'Cylinder Detail'!T309)</f>
        <v/>
      </c>
      <c r="AA307" s="21" t="str">
        <f>IF('Cylinder Detail'!H309=0,"",'Cylinder Detail'!H309)</f>
        <v/>
      </c>
      <c r="AB307" s="21" t="str">
        <f>IF('Cylinder Detail'!I309=0,"",'Cylinder Detail'!I309)</f>
        <v/>
      </c>
      <c r="AC307" s="22" t="str">
        <f>IF('Cylinder Detail'!AB309=0,"",'Cylinder Detail'!AB309)</f>
        <v/>
      </c>
      <c r="AD307" s="25" t="str">
        <f>IF('Sensor Detail'!F309=0,"","=" &amp; 'Sensor Detail'!F309)</f>
        <v/>
      </c>
      <c r="AE307" s="25" t="str">
        <f>IF('Sensor Detail'!H309=0,"",'Sensor Detail'!H309)</f>
        <v/>
      </c>
      <c r="AF307" s="27" t="str">
        <f>IF('Sensor Detail'!G309=0,"","-" &amp; 'Sensor Detail'!G309)</f>
        <v/>
      </c>
      <c r="AG307" s="27" t="str">
        <f>IF('Sensor Detail'!I309=0,"",'Sensor Detail'!I309)</f>
        <v/>
      </c>
      <c r="AH307" s="27" t="str">
        <f>IF('Sensor Detail'!E309=0,"","+" &amp; 'Sensor Detail'!E309)</f>
        <v/>
      </c>
      <c r="AI307" s="27" t="str">
        <f t="shared" si="72"/>
        <v/>
      </c>
      <c r="AJ307" s="27" t="str">
        <f>IF('Sensor Detail'!J309=0,"",'Sensor Detail'!J309)</f>
        <v/>
      </c>
      <c r="AK307" s="27" t="str">
        <f>IF('Sensor Detail'!K309=0,"",'Sensor Detail'!K309)</f>
        <v/>
      </c>
      <c r="AL307" s="27" t="str">
        <f>IF('Sensor Detail'!L309=0,"",'Sensor Detail'!L309)</f>
        <v/>
      </c>
      <c r="AM307" s="27" t="str">
        <f>IF('Sensor Detail'!M309=0,"",'Sensor Detail'!M309)</f>
        <v/>
      </c>
      <c r="AN307" s="27" t="str">
        <f>IF('Sensor Detail'!N309=0,"",'Sensor Detail'!N309)</f>
        <v/>
      </c>
      <c r="AO307" s="27" t="str">
        <f>IF('Sensor Detail'!O309=0,"",'Sensor Detail'!O309)</f>
        <v/>
      </c>
      <c r="AP307" s="15" t="str">
        <f t="shared" si="73"/>
        <v/>
      </c>
      <c r="AQ307" s="15" t="str">
        <f t="shared" si="74"/>
        <v/>
      </c>
    </row>
    <row r="308" spans="1:43">
      <c r="A308" s="13" t="str">
        <f t="shared" si="60"/>
        <v/>
      </c>
      <c r="B308" s="13" t="str">
        <f t="shared" si="61"/>
        <v/>
      </c>
      <c r="C308" s="15" t="str">
        <f t="shared" si="62"/>
        <v/>
      </c>
      <c r="D308" s="15" t="str">
        <f t="shared" si="63"/>
        <v/>
      </c>
      <c r="E308" s="15" t="str">
        <f t="shared" si="64"/>
        <v/>
      </c>
      <c r="F308" s="15" t="str">
        <f t="shared" si="65"/>
        <v/>
      </c>
      <c r="G308" s="15" t="str">
        <f t="shared" si="66"/>
        <v/>
      </c>
      <c r="H308" s="15" t="str">
        <f t="shared" si="67"/>
        <v/>
      </c>
      <c r="I308" s="15" t="str">
        <f t="shared" si="68"/>
        <v/>
      </c>
      <c r="J308" s="15" t="str">
        <f t="shared" si="69"/>
        <v/>
      </c>
      <c r="K308" s="13" t="str">
        <f>IF('Cylinder Detail'!U310=0,"",'Cylinder Detail'!U310)</f>
        <v/>
      </c>
      <c r="L308" s="13" t="str">
        <f>IF('Cylinder Detail'!Z310=0,"",_xlfn.TEXTBEFORE('Cylinder Detail'!Z310, ","))</f>
        <v/>
      </c>
      <c r="M308" s="13" t="str">
        <f t="shared" si="70"/>
        <v/>
      </c>
      <c r="N308" s="17" t="str">
        <f>IF('Cylinder Detail'!V310=0,"",'Cylinder Detail'!V310)</f>
        <v/>
      </c>
      <c r="O308" s="17" t="str">
        <f>IF('Cylinder Detail'!Z310=0,"",_xlfn.TEXTAFTER('Cylinder Detail'!Z310, ", "))</f>
        <v/>
      </c>
      <c r="P308" s="17" t="str">
        <f>IF('Cylinder Detail'!AA310=0,"",'Cylinder Detail'!AA310)</f>
        <v/>
      </c>
      <c r="Q308" s="19" t="str">
        <f>IF('Cylinder Detail'!W310=0,"",'Cylinder Detail'!W310)</f>
        <v/>
      </c>
      <c r="R308" s="19" t="str">
        <f>IF('Cylinder Detail'!Y310=0,"",'Cylinder Detail'!Y310)</f>
        <v/>
      </c>
      <c r="S308" s="21" t="str">
        <f>IF('Cylinder Detail'!X310=0,"",'Cylinder Detail'!X310)</f>
        <v/>
      </c>
      <c r="T308" s="21" t="str">
        <f>IF('Cylinder Detail'!F310=0,"",'Cylinder Detail'!F310)</f>
        <v/>
      </c>
      <c r="U308" s="21" t="str">
        <f>IF('Cylinder Detail'!R310=0,"",'Cylinder Detail'!R310)</f>
        <v/>
      </c>
      <c r="V308" s="21" t="str">
        <f>IF('Cylinder Detail'!Q310=0,"",'Cylinder Detail'!Q310)</f>
        <v/>
      </c>
      <c r="W308" s="21" t="str">
        <f>IF('Cylinder Detail'!E310=0,"","+" &amp; 'Cylinder Detail'!E310)</f>
        <v/>
      </c>
      <c r="X308" s="21" t="str">
        <f t="shared" si="71"/>
        <v/>
      </c>
      <c r="Y308" s="21" t="str">
        <f>IF('Cylinder Detail'!S310=0,"",'Cylinder Detail'!S310)</f>
        <v/>
      </c>
      <c r="Z308" s="21" t="str">
        <f>IF('Cylinder Detail'!T310=0,"",'Cylinder Detail'!T310)</f>
        <v/>
      </c>
      <c r="AA308" s="21" t="str">
        <f>IF('Cylinder Detail'!H310=0,"",'Cylinder Detail'!H310)</f>
        <v/>
      </c>
      <c r="AB308" s="21" t="str">
        <f>IF('Cylinder Detail'!I310=0,"",'Cylinder Detail'!I310)</f>
        <v/>
      </c>
      <c r="AC308" s="22" t="str">
        <f>IF('Cylinder Detail'!AB310=0,"",'Cylinder Detail'!AB310)</f>
        <v/>
      </c>
      <c r="AD308" s="25" t="str">
        <f>IF('Sensor Detail'!F310=0,"","=" &amp; 'Sensor Detail'!F310)</f>
        <v/>
      </c>
      <c r="AE308" s="25" t="str">
        <f>IF('Sensor Detail'!H310=0,"",'Sensor Detail'!H310)</f>
        <v/>
      </c>
      <c r="AF308" s="27" t="str">
        <f>IF('Sensor Detail'!G310=0,"","-" &amp; 'Sensor Detail'!G310)</f>
        <v/>
      </c>
      <c r="AG308" s="27" t="str">
        <f>IF('Sensor Detail'!I310=0,"",'Sensor Detail'!I310)</f>
        <v/>
      </c>
      <c r="AH308" s="27" t="str">
        <f>IF('Sensor Detail'!E310=0,"","+" &amp; 'Sensor Detail'!E310)</f>
        <v/>
      </c>
      <c r="AI308" s="27" t="str">
        <f t="shared" si="72"/>
        <v/>
      </c>
      <c r="AJ308" s="27" t="str">
        <f>IF('Sensor Detail'!J310=0,"",'Sensor Detail'!J310)</f>
        <v/>
      </c>
      <c r="AK308" s="27" t="str">
        <f>IF('Sensor Detail'!K310=0,"",'Sensor Detail'!K310)</f>
        <v/>
      </c>
      <c r="AL308" s="27" t="str">
        <f>IF('Sensor Detail'!L310=0,"",'Sensor Detail'!L310)</f>
        <v/>
      </c>
      <c r="AM308" s="27" t="str">
        <f>IF('Sensor Detail'!M310=0,"",'Sensor Detail'!M310)</f>
        <v/>
      </c>
      <c r="AN308" s="27" t="str">
        <f>IF('Sensor Detail'!N310=0,"",'Sensor Detail'!N310)</f>
        <v/>
      </c>
      <c r="AO308" s="27" t="str">
        <f>IF('Sensor Detail'!O310=0,"",'Sensor Detail'!O310)</f>
        <v/>
      </c>
      <c r="AP308" s="15" t="str">
        <f t="shared" si="73"/>
        <v/>
      </c>
      <c r="AQ308" s="15" t="str">
        <f t="shared" si="74"/>
        <v/>
      </c>
    </row>
    <row r="309" spans="1:43">
      <c r="A309" s="13" t="str">
        <f t="shared" si="60"/>
        <v/>
      </c>
      <c r="B309" s="13" t="str">
        <f t="shared" si="61"/>
        <v/>
      </c>
      <c r="C309" s="15" t="str">
        <f t="shared" si="62"/>
        <v/>
      </c>
      <c r="D309" s="15" t="str">
        <f t="shared" si="63"/>
        <v/>
      </c>
      <c r="E309" s="15" t="str">
        <f t="shared" si="64"/>
        <v/>
      </c>
      <c r="F309" s="15" t="str">
        <f t="shared" si="65"/>
        <v/>
      </c>
      <c r="G309" s="15" t="str">
        <f t="shared" si="66"/>
        <v/>
      </c>
      <c r="H309" s="15" t="str">
        <f t="shared" si="67"/>
        <v/>
      </c>
      <c r="I309" s="15" t="str">
        <f t="shared" si="68"/>
        <v/>
      </c>
      <c r="J309" s="15" t="str">
        <f t="shared" si="69"/>
        <v/>
      </c>
      <c r="K309" s="13" t="str">
        <f>IF('Cylinder Detail'!U311=0,"",'Cylinder Detail'!U311)</f>
        <v/>
      </c>
      <c r="L309" s="13" t="str">
        <f>IF('Cylinder Detail'!Z311=0,"",_xlfn.TEXTBEFORE('Cylinder Detail'!Z311, ","))</f>
        <v/>
      </c>
      <c r="M309" s="13" t="str">
        <f t="shared" si="70"/>
        <v/>
      </c>
      <c r="N309" s="17" t="str">
        <f>IF('Cylinder Detail'!V311=0,"",'Cylinder Detail'!V311)</f>
        <v/>
      </c>
      <c r="O309" s="17" t="str">
        <f>IF('Cylinder Detail'!Z311=0,"",_xlfn.TEXTAFTER('Cylinder Detail'!Z311, ", "))</f>
        <v/>
      </c>
      <c r="P309" s="17" t="str">
        <f>IF('Cylinder Detail'!AA311=0,"",'Cylinder Detail'!AA311)</f>
        <v/>
      </c>
      <c r="Q309" s="19" t="str">
        <f>IF('Cylinder Detail'!W311=0,"",'Cylinder Detail'!W311)</f>
        <v/>
      </c>
      <c r="R309" s="19" t="str">
        <f>IF('Cylinder Detail'!Y311=0,"",'Cylinder Detail'!Y311)</f>
        <v/>
      </c>
      <c r="S309" s="21" t="str">
        <f>IF('Cylinder Detail'!X311=0,"",'Cylinder Detail'!X311)</f>
        <v/>
      </c>
      <c r="T309" s="21" t="str">
        <f>IF('Cylinder Detail'!F311=0,"",'Cylinder Detail'!F311)</f>
        <v/>
      </c>
      <c r="U309" s="21" t="str">
        <f>IF('Cylinder Detail'!R311=0,"",'Cylinder Detail'!R311)</f>
        <v/>
      </c>
      <c r="V309" s="21" t="str">
        <f>IF('Cylinder Detail'!Q311=0,"",'Cylinder Detail'!Q311)</f>
        <v/>
      </c>
      <c r="W309" s="21" t="str">
        <f>IF('Cylinder Detail'!E311=0,"","+" &amp; 'Cylinder Detail'!E311)</f>
        <v/>
      </c>
      <c r="X309" s="21" t="str">
        <f t="shared" si="71"/>
        <v/>
      </c>
      <c r="Y309" s="21" t="str">
        <f>IF('Cylinder Detail'!S311=0,"",'Cylinder Detail'!S311)</f>
        <v/>
      </c>
      <c r="Z309" s="21" t="str">
        <f>IF('Cylinder Detail'!T311=0,"",'Cylinder Detail'!T311)</f>
        <v/>
      </c>
      <c r="AA309" s="21" t="str">
        <f>IF('Cylinder Detail'!H311=0,"",'Cylinder Detail'!H311)</f>
        <v/>
      </c>
      <c r="AB309" s="21" t="str">
        <f>IF('Cylinder Detail'!I311=0,"",'Cylinder Detail'!I311)</f>
        <v/>
      </c>
      <c r="AC309" s="22" t="str">
        <f>IF('Cylinder Detail'!AB311=0,"",'Cylinder Detail'!AB311)</f>
        <v/>
      </c>
      <c r="AD309" s="25" t="str">
        <f>IF('Sensor Detail'!F311=0,"","=" &amp; 'Sensor Detail'!F311)</f>
        <v/>
      </c>
      <c r="AE309" s="25" t="str">
        <f>IF('Sensor Detail'!H311=0,"",'Sensor Detail'!H311)</f>
        <v/>
      </c>
      <c r="AF309" s="27" t="str">
        <f>IF('Sensor Detail'!G311=0,"","-" &amp; 'Sensor Detail'!G311)</f>
        <v/>
      </c>
      <c r="AG309" s="27" t="str">
        <f>IF('Sensor Detail'!I311=0,"",'Sensor Detail'!I311)</f>
        <v/>
      </c>
      <c r="AH309" s="27" t="str">
        <f>IF('Sensor Detail'!E311=0,"","+" &amp; 'Sensor Detail'!E311)</f>
        <v/>
      </c>
      <c r="AI309" s="27" t="str">
        <f t="shared" si="72"/>
        <v/>
      </c>
      <c r="AJ309" s="27" t="str">
        <f>IF('Sensor Detail'!J311=0,"",'Sensor Detail'!J311)</f>
        <v/>
      </c>
      <c r="AK309" s="27" t="str">
        <f>IF('Sensor Detail'!K311=0,"",'Sensor Detail'!K311)</f>
        <v/>
      </c>
      <c r="AL309" s="27" t="str">
        <f>IF('Sensor Detail'!L311=0,"",'Sensor Detail'!L311)</f>
        <v/>
      </c>
      <c r="AM309" s="27" t="str">
        <f>IF('Sensor Detail'!M311=0,"",'Sensor Detail'!M311)</f>
        <v/>
      </c>
      <c r="AN309" s="27" t="str">
        <f>IF('Sensor Detail'!N311=0,"",'Sensor Detail'!N311)</f>
        <v/>
      </c>
      <c r="AO309" s="27" t="str">
        <f>IF('Sensor Detail'!O311=0,"",'Sensor Detail'!O311)</f>
        <v/>
      </c>
      <c r="AP309" s="15" t="str">
        <f t="shared" si="73"/>
        <v/>
      </c>
      <c r="AQ309" s="15" t="str">
        <f t="shared" si="74"/>
        <v/>
      </c>
    </row>
    <row r="310" spans="1:43">
      <c r="A310" s="13" t="str">
        <f t="shared" si="60"/>
        <v/>
      </c>
      <c r="B310" s="13" t="str">
        <f t="shared" si="61"/>
        <v/>
      </c>
      <c r="C310" s="15" t="str">
        <f t="shared" si="62"/>
        <v/>
      </c>
      <c r="D310" s="15" t="str">
        <f t="shared" si="63"/>
        <v/>
      </c>
      <c r="E310" s="15" t="str">
        <f t="shared" si="64"/>
        <v/>
      </c>
      <c r="F310" s="15" t="str">
        <f t="shared" si="65"/>
        <v/>
      </c>
      <c r="G310" s="15" t="str">
        <f t="shared" si="66"/>
        <v/>
      </c>
      <c r="H310" s="15" t="str">
        <f t="shared" si="67"/>
        <v/>
      </c>
      <c r="I310" s="15" t="str">
        <f t="shared" si="68"/>
        <v/>
      </c>
      <c r="J310" s="15" t="str">
        <f t="shared" si="69"/>
        <v/>
      </c>
      <c r="K310" s="13" t="str">
        <f>IF('Cylinder Detail'!U312=0,"",'Cylinder Detail'!U312)</f>
        <v/>
      </c>
      <c r="L310" s="13" t="str">
        <f>IF('Cylinder Detail'!Z312=0,"",_xlfn.TEXTBEFORE('Cylinder Detail'!Z312, ","))</f>
        <v/>
      </c>
      <c r="M310" s="13" t="str">
        <f t="shared" si="70"/>
        <v/>
      </c>
      <c r="N310" s="17" t="str">
        <f>IF('Cylinder Detail'!V312=0,"",'Cylinder Detail'!V312)</f>
        <v/>
      </c>
      <c r="O310" s="17" t="str">
        <f>IF('Cylinder Detail'!Z312=0,"",_xlfn.TEXTAFTER('Cylinder Detail'!Z312, ", "))</f>
        <v/>
      </c>
      <c r="P310" s="17" t="str">
        <f>IF('Cylinder Detail'!AA312=0,"",'Cylinder Detail'!AA312)</f>
        <v/>
      </c>
      <c r="Q310" s="19" t="str">
        <f>IF('Cylinder Detail'!W312=0,"",'Cylinder Detail'!W312)</f>
        <v/>
      </c>
      <c r="R310" s="19" t="str">
        <f>IF('Cylinder Detail'!Y312=0,"",'Cylinder Detail'!Y312)</f>
        <v/>
      </c>
      <c r="S310" s="21" t="str">
        <f>IF('Cylinder Detail'!X312=0,"",'Cylinder Detail'!X312)</f>
        <v/>
      </c>
      <c r="T310" s="21" t="str">
        <f>IF('Cylinder Detail'!F312=0,"",'Cylinder Detail'!F312)</f>
        <v/>
      </c>
      <c r="U310" s="21" t="str">
        <f>IF('Cylinder Detail'!R312=0,"",'Cylinder Detail'!R312)</f>
        <v/>
      </c>
      <c r="V310" s="21" t="str">
        <f>IF('Cylinder Detail'!Q312=0,"",'Cylinder Detail'!Q312)</f>
        <v/>
      </c>
      <c r="W310" s="21" t="str">
        <f>IF('Cylinder Detail'!E312=0,"","+" &amp; 'Cylinder Detail'!E312)</f>
        <v/>
      </c>
      <c r="X310" s="21" t="str">
        <f t="shared" si="71"/>
        <v/>
      </c>
      <c r="Y310" s="21" t="str">
        <f>IF('Cylinder Detail'!S312=0,"",'Cylinder Detail'!S312)</f>
        <v/>
      </c>
      <c r="Z310" s="21" t="str">
        <f>IF('Cylinder Detail'!T312=0,"",'Cylinder Detail'!T312)</f>
        <v/>
      </c>
      <c r="AA310" s="21" t="str">
        <f>IF('Cylinder Detail'!H312=0,"",'Cylinder Detail'!H312)</f>
        <v/>
      </c>
      <c r="AB310" s="21" t="str">
        <f>IF('Cylinder Detail'!I312=0,"",'Cylinder Detail'!I312)</f>
        <v/>
      </c>
      <c r="AC310" s="22" t="str">
        <f>IF('Cylinder Detail'!AB312=0,"",'Cylinder Detail'!AB312)</f>
        <v/>
      </c>
      <c r="AD310" s="25" t="str">
        <f>IF('Sensor Detail'!F312=0,"","=" &amp; 'Sensor Detail'!F312)</f>
        <v/>
      </c>
      <c r="AE310" s="25" t="str">
        <f>IF('Sensor Detail'!H312=0,"",'Sensor Detail'!H312)</f>
        <v/>
      </c>
      <c r="AF310" s="27" t="str">
        <f>IF('Sensor Detail'!G312=0,"","-" &amp; 'Sensor Detail'!G312)</f>
        <v/>
      </c>
      <c r="AG310" s="27" t="str">
        <f>IF('Sensor Detail'!I312=0,"",'Sensor Detail'!I312)</f>
        <v/>
      </c>
      <c r="AH310" s="27" t="str">
        <f>IF('Sensor Detail'!E312=0,"","+" &amp; 'Sensor Detail'!E312)</f>
        <v/>
      </c>
      <c r="AI310" s="27" t="str">
        <f t="shared" si="72"/>
        <v/>
      </c>
      <c r="AJ310" s="27" t="str">
        <f>IF('Sensor Detail'!J312=0,"",'Sensor Detail'!J312)</f>
        <v/>
      </c>
      <c r="AK310" s="27" t="str">
        <f>IF('Sensor Detail'!K312=0,"",'Sensor Detail'!K312)</f>
        <v/>
      </c>
      <c r="AL310" s="27" t="str">
        <f>IF('Sensor Detail'!L312=0,"",'Sensor Detail'!L312)</f>
        <v/>
      </c>
      <c r="AM310" s="27" t="str">
        <f>IF('Sensor Detail'!M312=0,"",'Sensor Detail'!M312)</f>
        <v/>
      </c>
      <c r="AN310" s="27" t="str">
        <f>IF('Sensor Detail'!N312=0,"",'Sensor Detail'!N312)</f>
        <v/>
      </c>
      <c r="AO310" s="27" t="str">
        <f>IF('Sensor Detail'!O312=0,"",'Sensor Detail'!O312)</f>
        <v/>
      </c>
      <c r="AP310" s="15" t="str">
        <f t="shared" si="73"/>
        <v/>
      </c>
      <c r="AQ310" s="15" t="str">
        <f t="shared" si="74"/>
        <v/>
      </c>
    </row>
    <row r="311" spans="1:43">
      <c r="A311" s="13" t="str">
        <f t="shared" si="60"/>
        <v/>
      </c>
      <c r="B311" s="13" t="str">
        <f t="shared" si="61"/>
        <v/>
      </c>
      <c r="C311" s="15" t="str">
        <f t="shared" si="62"/>
        <v/>
      </c>
      <c r="D311" s="15" t="str">
        <f t="shared" si="63"/>
        <v/>
      </c>
      <c r="E311" s="15" t="str">
        <f t="shared" si="64"/>
        <v/>
      </c>
      <c r="F311" s="15" t="str">
        <f t="shared" si="65"/>
        <v/>
      </c>
      <c r="G311" s="15" t="str">
        <f t="shared" si="66"/>
        <v/>
      </c>
      <c r="H311" s="15" t="str">
        <f t="shared" si="67"/>
        <v/>
      </c>
      <c r="I311" s="15" t="str">
        <f t="shared" si="68"/>
        <v/>
      </c>
      <c r="J311" s="15" t="str">
        <f t="shared" si="69"/>
        <v/>
      </c>
      <c r="K311" s="13" t="str">
        <f>IF('Cylinder Detail'!U313=0,"",'Cylinder Detail'!U313)</f>
        <v/>
      </c>
      <c r="L311" s="13" t="str">
        <f>IF('Cylinder Detail'!Z313=0,"",_xlfn.TEXTBEFORE('Cylinder Detail'!Z313, ","))</f>
        <v/>
      </c>
      <c r="M311" s="13" t="str">
        <f t="shared" si="70"/>
        <v/>
      </c>
      <c r="N311" s="17" t="str">
        <f>IF('Cylinder Detail'!V313=0,"",'Cylinder Detail'!V313)</f>
        <v/>
      </c>
      <c r="O311" s="17" t="str">
        <f>IF('Cylinder Detail'!Z313=0,"",_xlfn.TEXTAFTER('Cylinder Detail'!Z313, ", "))</f>
        <v/>
      </c>
      <c r="P311" s="17" t="str">
        <f>IF('Cylinder Detail'!AA313=0,"",'Cylinder Detail'!AA313)</f>
        <v/>
      </c>
      <c r="Q311" s="19" t="str">
        <f>IF('Cylinder Detail'!W313=0,"",'Cylinder Detail'!W313)</f>
        <v/>
      </c>
      <c r="R311" s="19" t="str">
        <f>IF('Cylinder Detail'!Y313=0,"",'Cylinder Detail'!Y313)</f>
        <v/>
      </c>
      <c r="S311" s="21" t="str">
        <f>IF('Cylinder Detail'!X313=0,"",'Cylinder Detail'!X313)</f>
        <v/>
      </c>
      <c r="T311" s="21" t="str">
        <f>IF('Cylinder Detail'!F313=0,"",'Cylinder Detail'!F313)</f>
        <v/>
      </c>
      <c r="U311" s="21" t="str">
        <f>IF('Cylinder Detail'!R313=0,"",'Cylinder Detail'!R313)</f>
        <v/>
      </c>
      <c r="V311" s="21" t="str">
        <f>IF('Cylinder Detail'!Q313=0,"",'Cylinder Detail'!Q313)</f>
        <v/>
      </c>
      <c r="W311" s="21" t="str">
        <f>IF('Cylinder Detail'!E313=0,"","+" &amp; 'Cylinder Detail'!E313)</f>
        <v/>
      </c>
      <c r="X311" s="21" t="str">
        <f t="shared" si="71"/>
        <v/>
      </c>
      <c r="Y311" s="21" t="str">
        <f>IF('Cylinder Detail'!S313=0,"",'Cylinder Detail'!S313)</f>
        <v/>
      </c>
      <c r="Z311" s="21" t="str">
        <f>IF('Cylinder Detail'!T313=0,"",'Cylinder Detail'!T313)</f>
        <v/>
      </c>
      <c r="AA311" s="21" t="str">
        <f>IF('Cylinder Detail'!H313=0,"",'Cylinder Detail'!H313)</f>
        <v/>
      </c>
      <c r="AB311" s="21" t="str">
        <f>IF('Cylinder Detail'!I313=0,"",'Cylinder Detail'!I313)</f>
        <v/>
      </c>
      <c r="AC311" s="22" t="str">
        <f>IF('Cylinder Detail'!AB313=0,"",'Cylinder Detail'!AB313)</f>
        <v/>
      </c>
      <c r="AD311" s="25" t="str">
        <f>IF('Sensor Detail'!F313=0,"","=" &amp; 'Sensor Detail'!F313)</f>
        <v/>
      </c>
      <c r="AE311" s="25" t="str">
        <f>IF('Sensor Detail'!H313=0,"",'Sensor Detail'!H313)</f>
        <v/>
      </c>
      <c r="AF311" s="27" t="str">
        <f>IF('Sensor Detail'!G313=0,"","-" &amp; 'Sensor Detail'!G313)</f>
        <v/>
      </c>
      <c r="AG311" s="27" t="str">
        <f>IF('Sensor Detail'!I313=0,"",'Sensor Detail'!I313)</f>
        <v/>
      </c>
      <c r="AH311" s="27" t="str">
        <f>IF('Sensor Detail'!E313=0,"","+" &amp; 'Sensor Detail'!E313)</f>
        <v/>
      </c>
      <c r="AI311" s="27" t="str">
        <f t="shared" si="72"/>
        <v/>
      </c>
      <c r="AJ311" s="27" t="str">
        <f>IF('Sensor Detail'!J313=0,"",'Sensor Detail'!J313)</f>
        <v/>
      </c>
      <c r="AK311" s="27" t="str">
        <f>IF('Sensor Detail'!K313=0,"",'Sensor Detail'!K313)</f>
        <v/>
      </c>
      <c r="AL311" s="27" t="str">
        <f>IF('Sensor Detail'!L313=0,"",'Sensor Detail'!L313)</f>
        <v/>
      </c>
      <c r="AM311" s="27" t="str">
        <f>IF('Sensor Detail'!M313=0,"",'Sensor Detail'!M313)</f>
        <v/>
      </c>
      <c r="AN311" s="27" t="str">
        <f>IF('Sensor Detail'!N313=0,"",'Sensor Detail'!N313)</f>
        <v/>
      </c>
      <c r="AO311" s="27" t="str">
        <f>IF('Sensor Detail'!O313=0,"",'Sensor Detail'!O313)</f>
        <v/>
      </c>
      <c r="AP311" s="15" t="str">
        <f t="shared" si="73"/>
        <v/>
      </c>
      <c r="AQ311" s="15" t="str">
        <f t="shared" si="74"/>
        <v/>
      </c>
    </row>
    <row r="312" spans="1:43">
      <c r="A312" s="13" t="str">
        <f t="shared" si="60"/>
        <v/>
      </c>
      <c r="B312" s="13" t="str">
        <f t="shared" si="61"/>
        <v/>
      </c>
      <c r="C312" s="15" t="str">
        <f t="shared" si="62"/>
        <v/>
      </c>
      <c r="D312" s="15" t="str">
        <f t="shared" si="63"/>
        <v/>
      </c>
      <c r="E312" s="15" t="str">
        <f t="shared" si="64"/>
        <v/>
      </c>
      <c r="F312" s="15" t="str">
        <f t="shared" si="65"/>
        <v/>
      </c>
      <c r="G312" s="15" t="str">
        <f t="shared" si="66"/>
        <v/>
      </c>
      <c r="H312" s="15" t="str">
        <f t="shared" si="67"/>
        <v/>
      </c>
      <c r="I312" s="15" t="str">
        <f t="shared" si="68"/>
        <v/>
      </c>
      <c r="J312" s="15" t="str">
        <f t="shared" si="69"/>
        <v/>
      </c>
      <c r="K312" s="13" t="str">
        <f>IF('Cylinder Detail'!U314=0,"",'Cylinder Detail'!U314)</f>
        <v/>
      </c>
      <c r="L312" s="13" t="str">
        <f>IF('Cylinder Detail'!Z314=0,"",_xlfn.TEXTBEFORE('Cylinder Detail'!Z314, ","))</f>
        <v/>
      </c>
      <c r="M312" s="13" t="str">
        <f t="shared" si="70"/>
        <v/>
      </c>
      <c r="N312" s="17" t="str">
        <f>IF('Cylinder Detail'!V314=0,"",'Cylinder Detail'!V314)</f>
        <v/>
      </c>
      <c r="O312" s="17" t="str">
        <f>IF('Cylinder Detail'!Z314=0,"",_xlfn.TEXTAFTER('Cylinder Detail'!Z314, ", "))</f>
        <v/>
      </c>
      <c r="P312" s="17" t="str">
        <f>IF('Cylinder Detail'!AA314=0,"",'Cylinder Detail'!AA314)</f>
        <v/>
      </c>
      <c r="Q312" s="19" t="str">
        <f>IF('Cylinder Detail'!W314=0,"",'Cylinder Detail'!W314)</f>
        <v/>
      </c>
      <c r="R312" s="19" t="str">
        <f>IF('Cylinder Detail'!Y314=0,"",'Cylinder Detail'!Y314)</f>
        <v/>
      </c>
      <c r="S312" s="21" t="str">
        <f>IF('Cylinder Detail'!X314=0,"",'Cylinder Detail'!X314)</f>
        <v/>
      </c>
      <c r="T312" s="21" t="str">
        <f>IF('Cylinder Detail'!F314=0,"",'Cylinder Detail'!F314)</f>
        <v/>
      </c>
      <c r="U312" s="21" t="str">
        <f>IF('Cylinder Detail'!R314=0,"",'Cylinder Detail'!R314)</f>
        <v/>
      </c>
      <c r="V312" s="21" t="str">
        <f>IF('Cylinder Detail'!Q314=0,"",'Cylinder Detail'!Q314)</f>
        <v/>
      </c>
      <c r="W312" s="21" t="str">
        <f>IF('Cylinder Detail'!E314=0,"","+" &amp; 'Cylinder Detail'!E314)</f>
        <v/>
      </c>
      <c r="X312" s="21" t="str">
        <f t="shared" si="71"/>
        <v/>
      </c>
      <c r="Y312" s="21" t="str">
        <f>IF('Cylinder Detail'!S314=0,"",'Cylinder Detail'!S314)</f>
        <v/>
      </c>
      <c r="Z312" s="21" t="str">
        <f>IF('Cylinder Detail'!T314=0,"",'Cylinder Detail'!T314)</f>
        <v/>
      </c>
      <c r="AA312" s="21" t="str">
        <f>IF('Cylinder Detail'!H314=0,"",'Cylinder Detail'!H314)</f>
        <v/>
      </c>
      <c r="AB312" s="21" t="str">
        <f>IF('Cylinder Detail'!I314=0,"",'Cylinder Detail'!I314)</f>
        <v/>
      </c>
      <c r="AC312" s="22" t="str">
        <f>IF('Cylinder Detail'!AB314=0,"",'Cylinder Detail'!AB314)</f>
        <v/>
      </c>
      <c r="AD312" s="25" t="str">
        <f>IF('Sensor Detail'!F314=0,"","=" &amp; 'Sensor Detail'!F314)</f>
        <v/>
      </c>
      <c r="AE312" s="25" t="str">
        <f>IF('Sensor Detail'!H314=0,"",'Sensor Detail'!H314)</f>
        <v/>
      </c>
      <c r="AF312" s="27" t="str">
        <f>IF('Sensor Detail'!G314=0,"","-" &amp; 'Sensor Detail'!G314)</f>
        <v/>
      </c>
      <c r="AG312" s="27" t="str">
        <f>IF('Sensor Detail'!I314=0,"",'Sensor Detail'!I314)</f>
        <v/>
      </c>
      <c r="AH312" s="27" t="str">
        <f>IF('Sensor Detail'!E314=0,"","+" &amp; 'Sensor Detail'!E314)</f>
        <v/>
      </c>
      <c r="AI312" s="27" t="str">
        <f t="shared" si="72"/>
        <v/>
      </c>
      <c r="AJ312" s="27" t="str">
        <f>IF('Sensor Detail'!J314=0,"",'Sensor Detail'!J314)</f>
        <v/>
      </c>
      <c r="AK312" s="27" t="str">
        <f>IF('Sensor Detail'!K314=0,"",'Sensor Detail'!K314)</f>
        <v/>
      </c>
      <c r="AL312" s="27" t="str">
        <f>IF('Sensor Detail'!L314=0,"",'Sensor Detail'!L314)</f>
        <v/>
      </c>
      <c r="AM312" s="27" t="str">
        <f>IF('Sensor Detail'!M314=0,"",'Sensor Detail'!M314)</f>
        <v/>
      </c>
      <c r="AN312" s="27" t="str">
        <f>IF('Sensor Detail'!N314=0,"",'Sensor Detail'!N314)</f>
        <v/>
      </c>
      <c r="AO312" s="27" t="str">
        <f>IF('Sensor Detail'!O314=0,"",'Sensor Detail'!O314)</f>
        <v/>
      </c>
      <c r="AP312" s="15" t="str">
        <f t="shared" si="73"/>
        <v/>
      </c>
      <c r="AQ312" s="15" t="str">
        <f t="shared" si="74"/>
        <v/>
      </c>
    </row>
    <row r="313" spans="1:43">
      <c r="A313" s="13" t="str">
        <f t="shared" si="60"/>
        <v/>
      </c>
      <c r="B313" s="13" t="str">
        <f t="shared" si="61"/>
        <v/>
      </c>
      <c r="C313" s="15" t="str">
        <f t="shared" si="62"/>
        <v/>
      </c>
      <c r="D313" s="15" t="str">
        <f t="shared" si="63"/>
        <v/>
      </c>
      <c r="E313" s="15" t="str">
        <f t="shared" si="64"/>
        <v/>
      </c>
      <c r="F313" s="15" t="str">
        <f t="shared" si="65"/>
        <v/>
      </c>
      <c r="G313" s="15" t="str">
        <f t="shared" si="66"/>
        <v/>
      </c>
      <c r="H313" s="15" t="str">
        <f t="shared" si="67"/>
        <v/>
      </c>
      <c r="I313" s="15" t="str">
        <f t="shared" si="68"/>
        <v/>
      </c>
      <c r="J313" s="15" t="str">
        <f t="shared" si="69"/>
        <v/>
      </c>
      <c r="K313" s="13" t="str">
        <f>IF('Cylinder Detail'!U315=0,"",'Cylinder Detail'!U315)</f>
        <v/>
      </c>
      <c r="L313" s="13" t="str">
        <f>IF('Cylinder Detail'!Z315=0,"",_xlfn.TEXTBEFORE('Cylinder Detail'!Z315, ","))</f>
        <v/>
      </c>
      <c r="M313" s="13" t="str">
        <f t="shared" si="70"/>
        <v/>
      </c>
      <c r="N313" s="17" t="str">
        <f>IF('Cylinder Detail'!V315=0,"",'Cylinder Detail'!V315)</f>
        <v/>
      </c>
      <c r="O313" s="17" t="str">
        <f>IF('Cylinder Detail'!Z315=0,"",_xlfn.TEXTAFTER('Cylinder Detail'!Z315, ", "))</f>
        <v/>
      </c>
      <c r="P313" s="17" t="str">
        <f>IF('Cylinder Detail'!AA315=0,"",'Cylinder Detail'!AA315)</f>
        <v/>
      </c>
      <c r="Q313" s="19" t="str">
        <f>IF('Cylinder Detail'!W315=0,"",'Cylinder Detail'!W315)</f>
        <v/>
      </c>
      <c r="R313" s="19" t="str">
        <f>IF('Cylinder Detail'!Y315=0,"",'Cylinder Detail'!Y315)</f>
        <v/>
      </c>
      <c r="S313" s="21" t="str">
        <f>IF('Cylinder Detail'!X315=0,"",'Cylinder Detail'!X315)</f>
        <v/>
      </c>
      <c r="T313" s="21" t="str">
        <f>IF('Cylinder Detail'!F315=0,"",'Cylinder Detail'!F315)</f>
        <v/>
      </c>
      <c r="U313" s="21" t="str">
        <f>IF('Cylinder Detail'!R315=0,"",'Cylinder Detail'!R315)</f>
        <v/>
      </c>
      <c r="V313" s="21" t="str">
        <f>IF('Cylinder Detail'!Q315=0,"",'Cylinder Detail'!Q315)</f>
        <v/>
      </c>
      <c r="W313" s="21" t="str">
        <f>IF('Cylinder Detail'!E315=0,"","+" &amp; 'Cylinder Detail'!E315)</f>
        <v/>
      </c>
      <c r="X313" s="21" t="str">
        <f t="shared" si="71"/>
        <v/>
      </c>
      <c r="Y313" s="21" t="str">
        <f>IF('Cylinder Detail'!S315=0,"",'Cylinder Detail'!S315)</f>
        <v/>
      </c>
      <c r="Z313" s="21" t="str">
        <f>IF('Cylinder Detail'!T315=0,"",'Cylinder Detail'!T315)</f>
        <v/>
      </c>
      <c r="AA313" s="21" t="str">
        <f>IF('Cylinder Detail'!H315=0,"",'Cylinder Detail'!H315)</f>
        <v/>
      </c>
      <c r="AB313" s="21" t="str">
        <f>IF('Cylinder Detail'!I315=0,"",'Cylinder Detail'!I315)</f>
        <v/>
      </c>
      <c r="AC313" s="22" t="str">
        <f>IF('Cylinder Detail'!AB315=0,"",'Cylinder Detail'!AB315)</f>
        <v/>
      </c>
      <c r="AD313" s="25" t="str">
        <f>IF('Sensor Detail'!F315=0,"","=" &amp; 'Sensor Detail'!F315)</f>
        <v/>
      </c>
      <c r="AE313" s="25" t="str">
        <f>IF('Sensor Detail'!H315=0,"",'Sensor Detail'!H315)</f>
        <v/>
      </c>
      <c r="AF313" s="27" t="str">
        <f>IF('Sensor Detail'!G315=0,"","-" &amp; 'Sensor Detail'!G315)</f>
        <v/>
      </c>
      <c r="AG313" s="27" t="str">
        <f>IF('Sensor Detail'!I315=0,"",'Sensor Detail'!I315)</f>
        <v/>
      </c>
      <c r="AH313" s="27" t="str">
        <f>IF('Sensor Detail'!E315=0,"","+" &amp; 'Sensor Detail'!E315)</f>
        <v/>
      </c>
      <c r="AI313" s="27" t="str">
        <f t="shared" si="72"/>
        <v/>
      </c>
      <c r="AJ313" s="27" t="str">
        <f>IF('Sensor Detail'!J315=0,"",'Sensor Detail'!J315)</f>
        <v/>
      </c>
      <c r="AK313" s="27" t="str">
        <f>IF('Sensor Detail'!K315=0,"",'Sensor Detail'!K315)</f>
        <v/>
      </c>
      <c r="AL313" s="27" t="str">
        <f>IF('Sensor Detail'!L315=0,"",'Sensor Detail'!L315)</f>
        <v/>
      </c>
      <c r="AM313" s="27" t="str">
        <f>IF('Sensor Detail'!M315=0,"",'Sensor Detail'!M315)</f>
        <v/>
      </c>
      <c r="AN313" s="27" t="str">
        <f>IF('Sensor Detail'!N315=0,"",'Sensor Detail'!N315)</f>
        <v/>
      </c>
      <c r="AO313" s="27" t="str">
        <f>IF('Sensor Detail'!O315=0,"",'Sensor Detail'!O315)</f>
        <v/>
      </c>
      <c r="AP313" s="15" t="str">
        <f t="shared" si="73"/>
        <v/>
      </c>
      <c r="AQ313" s="15" t="str">
        <f t="shared" si="74"/>
        <v/>
      </c>
    </row>
    <row r="314" spans="1:43">
      <c r="A314" s="13" t="str">
        <f t="shared" si="60"/>
        <v/>
      </c>
      <c r="B314" s="13" t="str">
        <f t="shared" si="61"/>
        <v/>
      </c>
      <c r="C314" s="15" t="str">
        <f t="shared" si="62"/>
        <v/>
      </c>
      <c r="D314" s="15" t="str">
        <f t="shared" si="63"/>
        <v/>
      </c>
      <c r="E314" s="15" t="str">
        <f t="shared" si="64"/>
        <v/>
      </c>
      <c r="F314" s="15" t="str">
        <f t="shared" si="65"/>
        <v/>
      </c>
      <c r="G314" s="15" t="str">
        <f t="shared" si="66"/>
        <v/>
      </c>
      <c r="H314" s="15" t="str">
        <f t="shared" si="67"/>
        <v/>
      </c>
      <c r="I314" s="15" t="str">
        <f t="shared" si="68"/>
        <v/>
      </c>
      <c r="J314" s="15" t="str">
        <f t="shared" si="69"/>
        <v/>
      </c>
      <c r="K314" s="13" t="str">
        <f>IF('Cylinder Detail'!U316=0,"",'Cylinder Detail'!U316)</f>
        <v/>
      </c>
      <c r="L314" s="13" t="str">
        <f>IF('Cylinder Detail'!Z316=0,"",_xlfn.TEXTBEFORE('Cylinder Detail'!Z316, ","))</f>
        <v/>
      </c>
      <c r="M314" s="13" t="str">
        <f t="shared" si="70"/>
        <v/>
      </c>
      <c r="N314" s="17" t="str">
        <f>IF('Cylinder Detail'!V316=0,"",'Cylinder Detail'!V316)</f>
        <v/>
      </c>
      <c r="O314" s="17" t="str">
        <f>IF('Cylinder Detail'!Z316=0,"",_xlfn.TEXTAFTER('Cylinder Detail'!Z316, ", "))</f>
        <v/>
      </c>
      <c r="P314" s="17" t="str">
        <f>IF('Cylinder Detail'!AA316=0,"",'Cylinder Detail'!AA316)</f>
        <v/>
      </c>
      <c r="Q314" s="19" t="str">
        <f>IF('Cylinder Detail'!W316=0,"",'Cylinder Detail'!W316)</f>
        <v/>
      </c>
      <c r="R314" s="19" t="str">
        <f>IF('Cylinder Detail'!Y316=0,"",'Cylinder Detail'!Y316)</f>
        <v/>
      </c>
      <c r="S314" s="21" t="str">
        <f>IF('Cylinder Detail'!X316=0,"",'Cylinder Detail'!X316)</f>
        <v/>
      </c>
      <c r="T314" s="21" t="str">
        <f>IF('Cylinder Detail'!F316=0,"",'Cylinder Detail'!F316)</f>
        <v/>
      </c>
      <c r="U314" s="21" t="str">
        <f>IF('Cylinder Detail'!R316=0,"",'Cylinder Detail'!R316)</f>
        <v/>
      </c>
      <c r="V314" s="21" t="str">
        <f>IF('Cylinder Detail'!Q316=0,"",'Cylinder Detail'!Q316)</f>
        <v/>
      </c>
      <c r="W314" s="21" t="str">
        <f>IF('Cylinder Detail'!E316=0,"","+" &amp; 'Cylinder Detail'!E316)</f>
        <v/>
      </c>
      <c r="X314" s="21" t="str">
        <f t="shared" si="71"/>
        <v/>
      </c>
      <c r="Y314" s="21" t="str">
        <f>IF('Cylinder Detail'!S316=0,"",'Cylinder Detail'!S316)</f>
        <v/>
      </c>
      <c r="Z314" s="21" t="str">
        <f>IF('Cylinder Detail'!T316=0,"",'Cylinder Detail'!T316)</f>
        <v/>
      </c>
      <c r="AA314" s="21" t="str">
        <f>IF('Cylinder Detail'!H316=0,"",'Cylinder Detail'!H316)</f>
        <v/>
      </c>
      <c r="AB314" s="21" t="str">
        <f>IF('Cylinder Detail'!I316=0,"",'Cylinder Detail'!I316)</f>
        <v/>
      </c>
      <c r="AC314" s="22" t="str">
        <f>IF('Cylinder Detail'!AB316=0,"",'Cylinder Detail'!AB316)</f>
        <v/>
      </c>
      <c r="AD314" s="25" t="str">
        <f>IF('Sensor Detail'!F316=0,"","=" &amp; 'Sensor Detail'!F316)</f>
        <v/>
      </c>
      <c r="AE314" s="25" t="str">
        <f>IF('Sensor Detail'!H316=0,"",'Sensor Detail'!H316)</f>
        <v/>
      </c>
      <c r="AF314" s="27" t="str">
        <f>IF('Sensor Detail'!G316=0,"","-" &amp; 'Sensor Detail'!G316)</f>
        <v/>
      </c>
      <c r="AG314" s="27" t="str">
        <f>IF('Sensor Detail'!I316=0,"",'Sensor Detail'!I316)</f>
        <v/>
      </c>
      <c r="AH314" s="27" t="str">
        <f>IF('Sensor Detail'!E316=0,"","+" &amp; 'Sensor Detail'!E316)</f>
        <v/>
      </c>
      <c r="AI314" s="27" t="str">
        <f t="shared" si="72"/>
        <v/>
      </c>
      <c r="AJ314" s="27" t="str">
        <f>IF('Sensor Detail'!J316=0,"",'Sensor Detail'!J316)</f>
        <v/>
      </c>
      <c r="AK314" s="27" t="str">
        <f>IF('Sensor Detail'!K316=0,"",'Sensor Detail'!K316)</f>
        <v/>
      </c>
      <c r="AL314" s="27" t="str">
        <f>IF('Sensor Detail'!L316=0,"",'Sensor Detail'!L316)</f>
        <v/>
      </c>
      <c r="AM314" s="27" t="str">
        <f>IF('Sensor Detail'!M316=0,"",'Sensor Detail'!M316)</f>
        <v/>
      </c>
      <c r="AN314" s="27" t="str">
        <f>IF('Sensor Detail'!N316=0,"",'Sensor Detail'!N316)</f>
        <v/>
      </c>
      <c r="AO314" s="27" t="str">
        <f>IF('Sensor Detail'!O316=0,"",'Sensor Detail'!O316)</f>
        <v/>
      </c>
      <c r="AP314" s="15" t="str">
        <f t="shared" si="73"/>
        <v/>
      </c>
      <c r="AQ314" s="15" t="str">
        <f t="shared" si="74"/>
        <v/>
      </c>
    </row>
    <row r="315" spans="1:43">
      <c r="A315" s="13" t="str">
        <f t="shared" si="60"/>
        <v/>
      </c>
      <c r="B315" s="13" t="str">
        <f t="shared" si="61"/>
        <v/>
      </c>
      <c r="C315" s="15" t="str">
        <f t="shared" si="62"/>
        <v/>
      </c>
      <c r="D315" s="15" t="str">
        <f t="shared" si="63"/>
        <v/>
      </c>
      <c r="E315" s="15" t="str">
        <f t="shared" si="64"/>
        <v/>
      </c>
      <c r="F315" s="15" t="str">
        <f t="shared" si="65"/>
        <v/>
      </c>
      <c r="G315" s="15" t="str">
        <f t="shared" si="66"/>
        <v/>
      </c>
      <c r="H315" s="15" t="str">
        <f t="shared" si="67"/>
        <v/>
      </c>
      <c r="I315" s="15" t="str">
        <f t="shared" si="68"/>
        <v/>
      </c>
      <c r="J315" s="15" t="str">
        <f t="shared" si="69"/>
        <v/>
      </c>
      <c r="K315" s="13" t="str">
        <f>IF('Cylinder Detail'!U317=0,"",'Cylinder Detail'!U317)</f>
        <v/>
      </c>
      <c r="L315" s="13" t="str">
        <f>IF('Cylinder Detail'!Z317=0,"",_xlfn.TEXTBEFORE('Cylinder Detail'!Z317, ","))</f>
        <v/>
      </c>
      <c r="M315" s="13" t="str">
        <f t="shared" si="70"/>
        <v/>
      </c>
      <c r="N315" s="17" t="str">
        <f>IF('Cylinder Detail'!V317=0,"",'Cylinder Detail'!V317)</f>
        <v/>
      </c>
      <c r="O315" s="17" t="str">
        <f>IF('Cylinder Detail'!Z317=0,"",_xlfn.TEXTAFTER('Cylinder Detail'!Z317, ", "))</f>
        <v/>
      </c>
      <c r="P315" s="17" t="str">
        <f>IF('Cylinder Detail'!AA317=0,"",'Cylinder Detail'!AA317)</f>
        <v/>
      </c>
      <c r="Q315" s="19" t="str">
        <f>IF('Cylinder Detail'!W317=0,"",'Cylinder Detail'!W317)</f>
        <v/>
      </c>
      <c r="R315" s="19" t="str">
        <f>IF('Cylinder Detail'!Y317=0,"",'Cylinder Detail'!Y317)</f>
        <v/>
      </c>
      <c r="S315" s="21" t="str">
        <f>IF('Cylinder Detail'!X317=0,"",'Cylinder Detail'!X317)</f>
        <v/>
      </c>
      <c r="T315" s="21" t="str">
        <f>IF('Cylinder Detail'!F317=0,"",'Cylinder Detail'!F317)</f>
        <v/>
      </c>
      <c r="U315" s="21" t="str">
        <f>IF('Cylinder Detail'!R317=0,"",'Cylinder Detail'!R317)</f>
        <v/>
      </c>
      <c r="V315" s="21" t="str">
        <f>IF('Cylinder Detail'!Q317=0,"",'Cylinder Detail'!Q317)</f>
        <v/>
      </c>
      <c r="W315" s="21" t="str">
        <f>IF('Cylinder Detail'!E317=0,"","+" &amp; 'Cylinder Detail'!E317)</f>
        <v/>
      </c>
      <c r="X315" s="21" t="str">
        <f t="shared" si="71"/>
        <v/>
      </c>
      <c r="Y315" s="21" t="str">
        <f>IF('Cylinder Detail'!S317=0,"",'Cylinder Detail'!S317)</f>
        <v/>
      </c>
      <c r="Z315" s="21" t="str">
        <f>IF('Cylinder Detail'!T317=0,"",'Cylinder Detail'!T317)</f>
        <v/>
      </c>
      <c r="AA315" s="21" t="str">
        <f>IF('Cylinder Detail'!H317=0,"",'Cylinder Detail'!H317)</f>
        <v/>
      </c>
      <c r="AB315" s="21" t="str">
        <f>IF('Cylinder Detail'!I317=0,"",'Cylinder Detail'!I317)</f>
        <v/>
      </c>
      <c r="AC315" s="22" t="str">
        <f>IF('Cylinder Detail'!AB317=0,"",'Cylinder Detail'!AB317)</f>
        <v/>
      </c>
      <c r="AD315" s="25" t="str">
        <f>IF('Sensor Detail'!F317=0,"","=" &amp; 'Sensor Detail'!F317)</f>
        <v/>
      </c>
      <c r="AE315" s="25" t="str">
        <f>IF('Sensor Detail'!H317=0,"",'Sensor Detail'!H317)</f>
        <v/>
      </c>
      <c r="AF315" s="27" t="str">
        <f>IF('Sensor Detail'!G317=0,"","-" &amp; 'Sensor Detail'!G317)</f>
        <v/>
      </c>
      <c r="AG315" s="27" t="str">
        <f>IF('Sensor Detail'!I317=0,"",'Sensor Detail'!I317)</f>
        <v/>
      </c>
      <c r="AH315" s="27" t="str">
        <f>IF('Sensor Detail'!E317=0,"","+" &amp; 'Sensor Detail'!E317)</f>
        <v/>
      </c>
      <c r="AI315" s="27" t="str">
        <f t="shared" si="72"/>
        <v/>
      </c>
      <c r="AJ315" s="27" t="str">
        <f>IF('Sensor Detail'!J317=0,"",'Sensor Detail'!J317)</f>
        <v/>
      </c>
      <c r="AK315" s="27" t="str">
        <f>IF('Sensor Detail'!K317=0,"",'Sensor Detail'!K317)</f>
        <v/>
      </c>
      <c r="AL315" s="27" t="str">
        <f>IF('Sensor Detail'!L317=0,"",'Sensor Detail'!L317)</f>
        <v/>
      </c>
      <c r="AM315" s="27" t="str">
        <f>IF('Sensor Detail'!M317=0,"",'Sensor Detail'!M317)</f>
        <v/>
      </c>
      <c r="AN315" s="27" t="str">
        <f>IF('Sensor Detail'!N317=0,"",'Sensor Detail'!N317)</f>
        <v/>
      </c>
      <c r="AO315" s="27" t="str">
        <f>IF('Sensor Detail'!O317=0,"",'Sensor Detail'!O317)</f>
        <v/>
      </c>
      <c r="AP315" s="15" t="str">
        <f t="shared" si="73"/>
        <v/>
      </c>
      <c r="AQ315" s="15" t="str">
        <f t="shared" si="74"/>
        <v/>
      </c>
    </row>
    <row r="316" spans="1:43">
      <c r="A316" s="13" t="str">
        <f t="shared" si="60"/>
        <v/>
      </c>
      <c r="B316" s="13" t="str">
        <f t="shared" si="61"/>
        <v/>
      </c>
      <c r="C316" s="15" t="str">
        <f t="shared" si="62"/>
        <v/>
      </c>
      <c r="D316" s="15" t="str">
        <f t="shared" si="63"/>
        <v/>
      </c>
      <c r="E316" s="15" t="str">
        <f t="shared" si="64"/>
        <v/>
      </c>
      <c r="F316" s="15" t="str">
        <f t="shared" si="65"/>
        <v/>
      </c>
      <c r="G316" s="15" t="str">
        <f t="shared" si="66"/>
        <v/>
      </c>
      <c r="H316" s="15" t="str">
        <f t="shared" si="67"/>
        <v/>
      </c>
      <c r="I316" s="15" t="str">
        <f t="shared" si="68"/>
        <v/>
      </c>
      <c r="J316" s="15" t="str">
        <f t="shared" si="69"/>
        <v/>
      </c>
      <c r="K316" s="13" t="str">
        <f>IF('Cylinder Detail'!U318=0,"",'Cylinder Detail'!U318)</f>
        <v/>
      </c>
      <c r="L316" s="13" t="str">
        <f>IF('Cylinder Detail'!Z318=0,"",_xlfn.TEXTBEFORE('Cylinder Detail'!Z318, ","))</f>
        <v/>
      </c>
      <c r="M316" s="13" t="str">
        <f t="shared" si="70"/>
        <v/>
      </c>
      <c r="N316" s="17" t="str">
        <f>IF('Cylinder Detail'!V318=0,"",'Cylinder Detail'!V318)</f>
        <v/>
      </c>
      <c r="O316" s="17" t="str">
        <f>IF('Cylinder Detail'!Z318=0,"",_xlfn.TEXTAFTER('Cylinder Detail'!Z318, ", "))</f>
        <v/>
      </c>
      <c r="P316" s="17" t="str">
        <f>IF('Cylinder Detail'!AA318=0,"",'Cylinder Detail'!AA318)</f>
        <v/>
      </c>
      <c r="Q316" s="19" t="str">
        <f>IF('Cylinder Detail'!W318=0,"",'Cylinder Detail'!W318)</f>
        <v/>
      </c>
      <c r="R316" s="19" t="str">
        <f>IF('Cylinder Detail'!Y318=0,"",'Cylinder Detail'!Y318)</f>
        <v/>
      </c>
      <c r="S316" s="21" t="str">
        <f>IF('Cylinder Detail'!X318=0,"",'Cylinder Detail'!X318)</f>
        <v/>
      </c>
      <c r="T316" s="21" t="str">
        <f>IF('Cylinder Detail'!F318=0,"",'Cylinder Detail'!F318)</f>
        <v/>
      </c>
      <c r="U316" s="21" t="str">
        <f>IF('Cylinder Detail'!R318=0,"",'Cylinder Detail'!R318)</f>
        <v/>
      </c>
      <c r="V316" s="21" t="str">
        <f>IF('Cylinder Detail'!Q318=0,"",'Cylinder Detail'!Q318)</f>
        <v/>
      </c>
      <c r="W316" s="21" t="str">
        <f>IF('Cylinder Detail'!E318=0,"","+" &amp; 'Cylinder Detail'!E318)</f>
        <v/>
      </c>
      <c r="X316" s="21" t="str">
        <f t="shared" si="71"/>
        <v/>
      </c>
      <c r="Y316" s="21" t="str">
        <f>IF('Cylinder Detail'!S318=0,"",'Cylinder Detail'!S318)</f>
        <v/>
      </c>
      <c r="Z316" s="21" t="str">
        <f>IF('Cylinder Detail'!T318=0,"",'Cylinder Detail'!T318)</f>
        <v/>
      </c>
      <c r="AA316" s="21" t="str">
        <f>IF('Cylinder Detail'!H318=0,"",'Cylinder Detail'!H318)</f>
        <v/>
      </c>
      <c r="AB316" s="21" t="str">
        <f>IF('Cylinder Detail'!I318=0,"",'Cylinder Detail'!I318)</f>
        <v/>
      </c>
      <c r="AC316" s="22" t="str">
        <f>IF('Cylinder Detail'!AB318=0,"",'Cylinder Detail'!AB318)</f>
        <v/>
      </c>
      <c r="AD316" s="25" t="str">
        <f>IF('Sensor Detail'!F318=0,"","=" &amp; 'Sensor Detail'!F318)</f>
        <v/>
      </c>
      <c r="AE316" s="25" t="str">
        <f>IF('Sensor Detail'!H318=0,"",'Sensor Detail'!H318)</f>
        <v/>
      </c>
      <c r="AF316" s="27" t="str">
        <f>IF('Sensor Detail'!G318=0,"","-" &amp; 'Sensor Detail'!G318)</f>
        <v/>
      </c>
      <c r="AG316" s="27" t="str">
        <f>IF('Sensor Detail'!I318=0,"",'Sensor Detail'!I318)</f>
        <v/>
      </c>
      <c r="AH316" s="27" t="str">
        <f>IF('Sensor Detail'!E318=0,"","+" &amp; 'Sensor Detail'!E318)</f>
        <v/>
      </c>
      <c r="AI316" s="27" t="str">
        <f t="shared" si="72"/>
        <v/>
      </c>
      <c r="AJ316" s="27" t="str">
        <f>IF('Sensor Detail'!J318=0,"",'Sensor Detail'!J318)</f>
        <v/>
      </c>
      <c r="AK316" s="27" t="str">
        <f>IF('Sensor Detail'!K318=0,"",'Sensor Detail'!K318)</f>
        <v/>
      </c>
      <c r="AL316" s="27" t="str">
        <f>IF('Sensor Detail'!L318=0,"",'Sensor Detail'!L318)</f>
        <v/>
      </c>
      <c r="AM316" s="27" t="str">
        <f>IF('Sensor Detail'!M318=0,"",'Sensor Detail'!M318)</f>
        <v/>
      </c>
      <c r="AN316" s="27" t="str">
        <f>IF('Sensor Detail'!N318=0,"",'Sensor Detail'!N318)</f>
        <v/>
      </c>
      <c r="AO316" s="27" t="str">
        <f>IF('Sensor Detail'!O318=0,"",'Sensor Detail'!O318)</f>
        <v/>
      </c>
      <c r="AP316" s="15" t="str">
        <f t="shared" si="73"/>
        <v/>
      </c>
      <c r="AQ316" s="15" t="str">
        <f t="shared" si="74"/>
        <v/>
      </c>
    </row>
    <row r="317" spans="1:43">
      <c r="A317" s="13" t="str">
        <f t="shared" si="60"/>
        <v/>
      </c>
      <c r="B317" s="13" t="str">
        <f t="shared" si="61"/>
        <v/>
      </c>
      <c r="C317" s="15" t="str">
        <f t="shared" si="62"/>
        <v/>
      </c>
      <c r="D317" s="15" t="str">
        <f t="shared" si="63"/>
        <v/>
      </c>
      <c r="E317" s="15" t="str">
        <f t="shared" si="64"/>
        <v/>
      </c>
      <c r="F317" s="15" t="str">
        <f t="shared" si="65"/>
        <v/>
      </c>
      <c r="G317" s="15" t="str">
        <f t="shared" si="66"/>
        <v/>
      </c>
      <c r="H317" s="15" t="str">
        <f t="shared" si="67"/>
        <v/>
      </c>
      <c r="I317" s="15" t="str">
        <f t="shared" si="68"/>
        <v/>
      </c>
      <c r="J317" s="15" t="str">
        <f t="shared" si="69"/>
        <v/>
      </c>
      <c r="K317" s="13" t="str">
        <f>IF('Cylinder Detail'!U319=0,"",'Cylinder Detail'!U319)</f>
        <v/>
      </c>
      <c r="L317" s="13" t="str">
        <f>IF('Cylinder Detail'!Z319=0,"",_xlfn.TEXTBEFORE('Cylinder Detail'!Z319, ","))</f>
        <v/>
      </c>
      <c r="M317" s="13" t="str">
        <f t="shared" si="70"/>
        <v/>
      </c>
      <c r="N317" s="17" t="str">
        <f>IF('Cylinder Detail'!V319=0,"",'Cylinder Detail'!V319)</f>
        <v/>
      </c>
      <c r="O317" s="17" t="str">
        <f>IF('Cylinder Detail'!Z319=0,"",_xlfn.TEXTAFTER('Cylinder Detail'!Z319, ", "))</f>
        <v/>
      </c>
      <c r="P317" s="17" t="str">
        <f>IF('Cylinder Detail'!AA319=0,"",'Cylinder Detail'!AA319)</f>
        <v/>
      </c>
      <c r="Q317" s="19" t="str">
        <f>IF('Cylinder Detail'!W319=0,"",'Cylinder Detail'!W319)</f>
        <v/>
      </c>
      <c r="R317" s="19" t="str">
        <f>IF('Cylinder Detail'!Y319=0,"",'Cylinder Detail'!Y319)</f>
        <v/>
      </c>
      <c r="S317" s="21" t="str">
        <f>IF('Cylinder Detail'!X319=0,"",'Cylinder Detail'!X319)</f>
        <v/>
      </c>
      <c r="T317" s="21" t="str">
        <f>IF('Cylinder Detail'!F319=0,"",'Cylinder Detail'!F319)</f>
        <v/>
      </c>
      <c r="U317" s="21" t="str">
        <f>IF('Cylinder Detail'!R319=0,"",'Cylinder Detail'!R319)</f>
        <v/>
      </c>
      <c r="V317" s="21" t="str">
        <f>IF('Cylinder Detail'!Q319=0,"",'Cylinder Detail'!Q319)</f>
        <v/>
      </c>
      <c r="W317" s="21" t="str">
        <f>IF('Cylinder Detail'!E319=0,"","+" &amp; 'Cylinder Detail'!E319)</f>
        <v/>
      </c>
      <c r="X317" s="21" t="str">
        <f t="shared" si="71"/>
        <v/>
      </c>
      <c r="Y317" s="21" t="str">
        <f>IF('Cylinder Detail'!S319=0,"",'Cylinder Detail'!S319)</f>
        <v/>
      </c>
      <c r="Z317" s="21" t="str">
        <f>IF('Cylinder Detail'!T319=0,"",'Cylinder Detail'!T319)</f>
        <v/>
      </c>
      <c r="AA317" s="21" t="str">
        <f>IF('Cylinder Detail'!H319=0,"",'Cylinder Detail'!H319)</f>
        <v/>
      </c>
      <c r="AB317" s="21" t="str">
        <f>IF('Cylinder Detail'!I319=0,"",'Cylinder Detail'!I319)</f>
        <v/>
      </c>
      <c r="AC317" s="22" t="str">
        <f>IF('Cylinder Detail'!AB319=0,"",'Cylinder Detail'!AB319)</f>
        <v/>
      </c>
      <c r="AD317" s="25" t="str">
        <f>IF('Sensor Detail'!F319=0,"","=" &amp; 'Sensor Detail'!F319)</f>
        <v/>
      </c>
      <c r="AE317" s="25" t="str">
        <f>IF('Sensor Detail'!H319=0,"",'Sensor Detail'!H319)</f>
        <v/>
      </c>
      <c r="AF317" s="27" t="str">
        <f>IF('Sensor Detail'!G319=0,"","-" &amp; 'Sensor Detail'!G319)</f>
        <v/>
      </c>
      <c r="AG317" s="27" t="str">
        <f>IF('Sensor Detail'!I319=0,"",'Sensor Detail'!I319)</f>
        <v/>
      </c>
      <c r="AH317" s="27" t="str">
        <f>IF('Sensor Detail'!E319=0,"","+" &amp; 'Sensor Detail'!E319)</f>
        <v/>
      </c>
      <c r="AI317" s="27" t="str">
        <f t="shared" si="72"/>
        <v/>
      </c>
      <c r="AJ317" s="27" t="str">
        <f>IF('Sensor Detail'!J319=0,"",'Sensor Detail'!J319)</f>
        <v/>
      </c>
      <c r="AK317" s="27" t="str">
        <f>IF('Sensor Detail'!K319=0,"",'Sensor Detail'!K319)</f>
        <v/>
      </c>
      <c r="AL317" s="27" t="str">
        <f>IF('Sensor Detail'!L319=0,"",'Sensor Detail'!L319)</f>
        <v/>
      </c>
      <c r="AM317" s="27" t="str">
        <f>IF('Sensor Detail'!M319=0,"",'Sensor Detail'!M319)</f>
        <v/>
      </c>
      <c r="AN317" s="27" t="str">
        <f>IF('Sensor Detail'!N319=0,"",'Sensor Detail'!N319)</f>
        <v/>
      </c>
      <c r="AO317" s="27" t="str">
        <f>IF('Sensor Detail'!O319=0,"",'Sensor Detail'!O319)</f>
        <v/>
      </c>
      <c r="AP317" s="15" t="str">
        <f t="shared" si="73"/>
        <v/>
      </c>
      <c r="AQ317" s="15" t="str">
        <f t="shared" si="74"/>
        <v/>
      </c>
    </row>
    <row r="318" spans="1:43">
      <c r="A318" s="13" t="str">
        <f t="shared" si="60"/>
        <v/>
      </c>
      <c r="B318" s="13" t="str">
        <f t="shared" si="61"/>
        <v/>
      </c>
      <c r="C318" s="15" t="str">
        <f t="shared" si="62"/>
        <v/>
      </c>
      <c r="D318" s="15" t="str">
        <f t="shared" si="63"/>
        <v/>
      </c>
      <c r="E318" s="15" t="str">
        <f t="shared" si="64"/>
        <v/>
      </c>
      <c r="F318" s="15" t="str">
        <f t="shared" si="65"/>
        <v/>
      </c>
      <c r="G318" s="15" t="str">
        <f t="shared" si="66"/>
        <v/>
      </c>
      <c r="H318" s="15" t="str">
        <f t="shared" si="67"/>
        <v/>
      </c>
      <c r="I318" s="15" t="str">
        <f t="shared" si="68"/>
        <v/>
      </c>
      <c r="J318" s="15" t="str">
        <f t="shared" si="69"/>
        <v/>
      </c>
      <c r="K318" s="13" t="str">
        <f>IF('Cylinder Detail'!U320=0,"",'Cylinder Detail'!U320)</f>
        <v/>
      </c>
      <c r="L318" s="13" t="str">
        <f>IF('Cylinder Detail'!Z320=0,"",_xlfn.TEXTBEFORE('Cylinder Detail'!Z320, ","))</f>
        <v/>
      </c>
      <c r="M318" s="13" t="str">
        <f t="shared" si="70"/>
        <v/>
      </c>
      <c r="N318" s="17" t="str">
        <f>IF('Cylinder Detail'!V320=0,"",'Cylinder Detail'!V320)</f>
        <v/>
      </c>
      <c r="O318" s="17" t="str">
        <f>IF('Cylinder Detail'!Z320=0,"",_xlfn.TEXTAFTER('Cylinder Detail'!Z320, ", "))</f>
        <v/>
      </c>
      <c r="P318" s="17" t="str">
        <f>IF('Cylinder Detail'!AA320=0,"",'Cylinder Detail'!AA320)</f>
        <v/>
      </c>
      <c r="Q318" s="19" t="str">
        <f>IF('Cylinder Detail'!W320=0,"",'Cylinder Detail'!W320)</f>
        <v/>
      </c>
      <c r="R318" s="19" t="str">
        <f>IF('Cylinder Detail'!Y320=0,"",'Cylinder Detail'!Y320)</f>
        <v/>
      </c>
      <c r="S318" s="21" t="str">
        <f>IF('Cylinder Detail'!X320=0,"",'Cylinder Detail'!X320)</f>
        <v/>
      </c>
      <c r="T318" s="21" t="str">
        <f>IF('Cylinder Detail'!F320=0,"",'Cylinder Detail'!F320)</f>
        <v/>
      </c>
      <c r="U318" s="21" t="str">
        <f>IF('Cylinder Detail'!R320=0,"",'Cylinder Detail'!R320)</f>
        <v/>
      </c>
      <c r="V318" s="21" t="str">
        <f>IF('Cylinder Detail'!Q320=0,"",'Cylinder Detail'!Q320)</f>
        <v/>
      </c>
      <c r="W318" s="21" t="str">
        <f>IF('Cylinder Detail'!E320=0,"","+" &amp; 'Cylinder Detail'!E320)</f>
        <v/>
      </c>
      <c r="X318" s="21" t="str">
        <f t="shared" si="71"/>
        <v/>
      </c>
      <c r="Y318" s="21" t="str">
        <f>IF('Cylinder Detail'!S320=0,"",'Cylinder Detail'!S320)</f>
        <v/>
      </c>
      <c r="Z318" s="21" t="str">
        <f>IF('Cylinder Detail'!T320=0,"",'Cylinder Detail'!T320)</f>
        <v/>
      </c>
      <c r="AA318" s="21" t="str">
        <f>IF('Cylinder Detail'!H320=0,"",'Cylinder Detail'!H320)</f>
        <v/>
      </c>
      <c r="AB318" s="21" t="str">
        <f>IF('Cylinder Detail'!I320=0,"",'Cylinder Detail'!I320)</f>
        <v/>
      </c>
      <c r="AC318" s="22" t="str">
        <f>IF('Cylinder Detail'!AB320=0,"",'Cylinder Detail'!AB320)</f>
        <v/>
      </c>
      <c r="AD318" s="25" t="str">
        <f>IF('Sensor Detail'!F320=0,"","=" &amp; 'Sensor Detail'!F320)</f>
        <v/>
      </c>
      <c r="AE318" s="25" t="str">
        <f>IF('Sensor Detail'!H320=0,"",'Sensor Detail'!H320)</f>
        <v/>
      </c>
      <c r="AF318" s="27" t="str">
        <f>IF('Sensor Detail'!G320=0,"","-" &amp; 'Sensor Detail'!G320)</f>
        <v/>
      </c>
      <c r="AG318" s="27" t="str">
        <f>IF('Sensor Detail'!I320=0,"",'Sensor Detail'!I320)</f>
        <v/>
      </c>
      <c r="AH318" s="27" t="str">
        <f>IF('Sensor Detail'!E320=0,"","+" &amp; 'Sensor Detail'!E320)</f>
        <v/>
      </c>
      <c r="AI318" s="27" t="str">
        <f t="shared" si="72"/>
        <v/>
      </c>
      <c r="AJ318" s="27" t="str">
        <f>IF('Sensor Detail'!J320=0,"",'Sensor Detail'!J320)</f>
        <v/>
      </c>
      <c r="AK318" s="27" t="str">
        <f>IF('Sensor Detail'!K320=0,"",'Sensor Detail'!K320)</f>
        <v/>
      </c>
      <c r="AL318" s="27" t="str">
        <f>IF('Sensor Detail'!L320=0,"",'Sensor Detail'!L320)</f>
        <v/>
      </c>
      <c r="AM318" s="27" t="str">
        <f>IF('Sensor Detail'!M320=0,"",'Sensor Detail'!M320)</f>
        <v/>
      </c>
      <c r="AN318" s="27" t="str">
        <f>IF('Sensor Detail'!N320=0,"",'Sensor Detail'!N320)</f>
        <v/>
      </c>
      <c r="AO318" s="27" t="str">
        <f>IF('Sensor Detail'!O320=0,"",'Sensor Detail'!O320)</f>
        <v/>
      </c>
      <c r="AP318" s="15" t="str">
        <f t="shared" si="73"/>
        <v/>
      </c>
      <c r="AQ318" s="15" t="str">
        <f t="shared" si="74"/>
        <v/>
      </c>
    </row>
    <row r="319" spans="1:43">
      <c r="A319" s="13" t="str">
        <f t="shared" si="60"/>
        <v/>
      </c>
      <c r="B319" s="13" t="str">
        <f t="shared" si="61"/>
        <v/>
      </c>
      <c r="C319" s="15" t="str">
        <f t="shared" si="62"/>
        <v/>
      </c>
      <c r="D319" s="15" t="str">
        <f t="shared" si="63"/>
        <v/>
      </c>
      <c r="E319" s="15" t="str">
        <f t="shared" si="64"/>
        <v/>
      </c>
      <c r="F319" s="15" t="str">
        <f t="shared" si="65"/>
        <v/>
      </c>
      <c r="G319" s="15" t="str">
        <f t="shared" si="66"/>
        <v/>
      </c>
      <c r="H319" s="15" t="str">
        <f t="shared" si="67"/>
        <v/>
      </c>
      <c r="I319" s="15" t="str">
        <f t="shared" si="68"/>
        <v/>
      </c>
      <c r="J319" s="15" t="str">
        <f t="shared" si="69"/>
        <v/>
      </c>
      <c r="K319" s="13" t="str">
        <f>IF('Cylinder Detail'!U321=0,"",'Cylinder Detail'!U321)</f>
        <v/>
      </c>
      <c r="L319" s="13" t="str">
        <f>IF('Cylinder Detail'!Z321=0,"",_xlfn.TEXTBEFORE('Cylinder Detail'!Z321, ","))</f>
        <v/>
      </c>
      <c r="M319" s="13" t="str">
        <f t="shared" si="70"/>
        <v/>
      </c>
      <c r="N319" s="17" t="str">
        <f>IF('Cylinder Detail'!V321=0,"",'Cylinder Detail'!V321)</f>
        <v/>
      </c>
      <c r="O319" s="17" t="str">
        <f>IF('Cylinder Detail'!Z321=0,"",_xlfn.TEXTAFTER('Cylinder Detail'!Z321, ", "))</f>
        <v/>
      </c>
      <c r="P319" s="17" t="str">
        <f>IF('Cylinder Detail'!AA321=0,"",'Cylinder Detail'!AA321)</f>
        <v/>
      </c>
      <c r="Q319" s="19" t="str">
        <f>IF('Cylinder Detail'!W321=0,"",'Cylinder Detail'!W321)</f>
        <v/>
      </c>
      <c r="R319" s="19" t="str">
        <f>IF('Cylinder Detail'!Y321=0,"",'Cylinder Detail'!Y321)</f>
        <v/>
      </c>
      <c r="S319" s="21" t="str">
        <f>IF('Cylinder Detail'!X321=0,"",'Cylinder Detail'!X321)</f>
        <v/>
      </c>
      <c r="T319" s="21" t="str">
        <f>IF('Cylinder Detail'!F321=0,"",'Cylinder Detail'!F321)</f>
        <v/>
      </c>
      <c r="U319" s="21" t="str">
        <f>IF('Cylinder Detail'!R321=0,"",'Cylinder Detail'!R321)</f>
        <v/>
      </c>
      <c r="V319" s="21" t="str">
        <f>IF('Cylinder Detail'!Q321=0,"",'Cylinder Detail'!Q321)</f>
        <v/>
      </c>
      <c r="W319" s="21" t="str">
        <f>IF('Cylinder Detail'!E321=0,"","+" &amp; 'Cylinder Detail'!E321)</f>
        <v/>
      </c>
      <c r="X319" s="21" t="str">
        <f t="shared" si="71"/>
        <v/>
      </c>
      <c r="Y319" s="21" t="str">
        <f>IF('Cylinder Detail'!S321=0,"",'Cylinder Detail'!S321)</f>
        <v/>
      </c>
      <c r="Z319" s="21" t="str">
        <f>IF('Cylinder Detail'!T321=0,"",'Cylinder Detail'!T321)</f>
        <v/>
      </c>
      <c r="AA319" s="21" t="str">
        <f>IF('Cylinder Detail'!H321=0,"",'Cylinder Detail'!H321)</f>
        <v/>
      </c>
      <c r="AB319" s="21" t="str">
        <f>IF('Cylinder Detail'!I321=0,"",'Cylinder Detail'!I321)</f>
        <v/>
      </c>
      <c r="AC319" s="22" t="str">
        <f>IF('Cylinder Detail'!AB321=0,"",'Cylinder Detail'!AB321)</f>
        <v/>
      </c>
      <c r="AD319" s="25" t="str">
        <f>IF('Sensor Detail'!F321=0,"","=" &amp; 'Sensor Detail'!F321)</f>
        <v/>
      </c>
      <c r="AE319" s="25" t="str">
        <f>IF('Sensor Detail'!H321=0,"",'Sensor Detail'!H321)</f>
        <v/>
      </c>
      <c r="AF319" s="27" t="str">
        <f>IF('Sensor Detail'!G321=0,"","-" &amp; 'Sensor Detail'!G321)</f>
        <v/>
      </c>
      <c r="AG319" s="27" t="str">
        <f>IF('Sensor Detail'!I321=0,"",'Sensor Detail'!I321)</f>
        <v/>
      </c>
      <c r="AH319" s="27" t="str">
        <f>IF('Sensor Detail'!E321=0,"","+" &amp; 'Sensor Detail'!E321)</f>
        <v/>
      </c>
      <c r="AI319" s="27" t="str">
        <f t="shared" si="72"/>
        <v/>
      </c>
      <c r="AJ319" s="27" t="str">
        <f>IF('Sensor Detail'!J321=0,"",'Sensor Detail'!J321)</f>
        <v/>
      </c>
      <c r="AK319" s="27" t="str">
        <f>IF('Sensor Detail'!K321=0,"",'Sensor Detail'!K321)</f>
        <v/>
      </c>
      <c r="AL319" s="27" t="str">
        <f>IF('Sensor Detail'!L321=0,"",'Sensor Detail'!L321)</f>
        <v/>
      </c>
      <c r="AM319" s="27" t="str">
        <f>IF('Sensor Detail'!M321=0,"",'Sensor Detail'!M321)</f>
        <v/>
      </c>
      <c r="AN319" s="27" t="str">
        <f>IF('Sensor Detail'!N321=0,"",'Sensor Detail'!N321)</f>
        <v/>
      </c>
      <c r="AO319" s="27" t="str">
        <f>IF('Sensor Detail'!O321=0,"",'Sensor Detail'!O321)</f>
        <v/>
      </c>
      <c r="AP319" s="15" t="str">
        <f t="shared" si="73"/>
        <v/>
      </c>
      <c r="AQ319" s="15" t="str">
        <f t="shared" si="74"/>
        <v/>
      </c>
    </row>
    <row r="320" spans="1:43">
      <c r="A320" s="13" t="str">
        <f t="shared" si="60"/>
        <v/>
      </c>
      <c r="B320" s="13" t="str">
        <f t="shared" si="61"/>
        <v/>
      </c>
      <c r="C320" s="15" t="str">
        <f t="shared" si="62"/>
        <v/>
      </c>
      <c r="D320" s="15" t="str">
        <f t="shared" si="63"/>
        <v/>
      </c>
      <c r="E320" s="15" t="str">
        <f t="shared" si="64"/>
        <v/>
      </c>
      <c r="F320" s="15" t="str">
        <f t="shared" si="65"/>
        <v/>
      </c>
      <c r="G320" s="15" t="str">
        <f t="shared" si="66"/>
        <v/>
      </c>
      <c r="H320" s="15" t="str">
        <f t="shared" si="67"/>
        <v/>
      </c>
      <c r="I320" s="15" t="str">
        <f t="shared" si="68"/>
        <v/>
      </c>
      <c r="J320" s="15" t="str">
        <f t="shared" si="69"/>
        <v/>
      </c>
      <c r="K320" s="13" t="str">
        <f>IF('Cylinder Detail'!U322=0,"",'Cylinder Detail'!U322)</f>
        <v/>
      </c>
      <c r="L320" s="13" t="str">
        <f>IF('Cylinder Detail'!Z322=0,"",_xlfn.TEXTBEFORE('Cylinder Detail'!Z322, ","))</f>
        <v/>
      </c>
      <c r="M320" s="13" t="str">
        <f t="shared" si="70"/>
        <v/>
      </c>
      <c r="N320" s="17" t="str">
        <f>IF('Cylinder Detail'!V322=0,"",'Cylinder Detail'!V322)</f>
        <v/>
      </c>
      <c r="O320" s="17" t="str">
        <f>IF('Cylinder Detail'!Z322=0,"",_xlfn.TEXTAFTER('Cylinder Detail'!Z322, ", "))</f>
        <v/>
      </c>
      <c r="P320" s="17" t="str">
        <f>IF('Cylinder Detail'!AA322=0,"",'Cylinder Detail'!AA322)</f>
        <v/>
      </c>
      <c r="Q320" s="19" t="str">
        <f>IF('Cylinder Detail'!W322=0,"",'Cylinder Detail'!W322)</f>
        <v/>
      </c>
      <c r="R320" s="19" t="str">
        <f>IF('Cylinder Detail'!Y322=0,"",'Cylinder Detail'!Y322)</f>
        <v/>
      </c>
      <c r="S320" s="21" t="str">
        <f>IF('Cylinder Detail'!X322=0,"",'Cylinder Detail'!X322)</f>
        <v/>
      </c>
      <c r="T320" s="21" t="str">
        <f>IF('Cylinder Detail'!F322=0,"",'Cylinder Detail'!F322)</f>
        <v/>
      </c>
      <c r="U320" s="21" t="str">
        <f>IF('Cylinder Detail'!R322=0,"",'Cylinder Detail'!R322)</f>
        <v/>
      </c>
      <c r="V320" s="21" t="str">
        <f>IF('Cylinder Detail'!Q322=0,"",'Cylinder Detail'!Q322)</f>
        <v/>
      </c>
      <c r="W320" s="21" t="str">
        <f>IF('Cylinder Detail'!E322=0,"","+" &amp; 'Cylinder Detail'!E322)</f>
        <v/>
      </c>
      <c r="X320" s="21" t="str">
        <f t="shared" si="71"/>
        <v/>
      </c>
      <c r="Y320" s="21" t="str">
        <f>IF('Cylinder Detail'!S322=0,"",'Cylinder Detail'!S322)</f>
        <v/>
      </c>
      <c r="Z320" s="21" t="str">
        <f>IF('Cylinder Detail'!T322=0,"",'Cylinder Detail'!T322)</f>
        <v/>
      </c>
      <c r="AA320" s="21" t="str">
        <f>IF('Cylinder Detail'!H322=0,"",'Cylinder Detail'!H322)</f>
        <v/>
      </c>
      <c r="AB320" s="21" t="str">
        <f>IF('Cylinder Detail'!I322=0,"",'Cylinder Detail'!I322)</f>
        <v/>
      </c>
      <c r="AC320" s="22" t="str">
        <f>IF('Cylinder Detail'!AB322=0,"",'Cylinder Detail'!AB322)</f>
        <v/>
      </c>
      <c r="AD320" s="25" t="str">
        <f>IF('Sensor Detail'!F322=0,"","=" &amp; 'Sensor Detail'!F322)</f>
        <v/>
      </c>
      <c r="AE320" s="25" t="str">
        <f>IF('Sensor Detail'!H322=0,"",'Sensor Detail'!H322)</f>
        <v/>
      </c>
      <c r="AF320" s="27" t="str">
        <f>IF('Sensor Detail'!G322=0,"","-" &amp; 'Sensor Detail'!G322)</f>
        <v/>
      </c>
      <c r="AG320" s="27" t="str">
        <f>IF('Sensor Detail'!I322=0,"",'Sensor Detail'!I322)</f>
        <v/>
      </c>
      <c r="AH320" s="27" t="str">
        <f>IF('Sensor Detail'!E322=0,"","+" &amp; 'Sensor Detail'!E322)</f>
        <v/>
      </c>
      <c r="AI320" s="27" t="str">
        <f t="shared" si="72"/>
        <v/>
      </c>
      <c r="AJ320" s="27" t="str">
        <f>IF('Sensor Detail'!J322=0,"",'Sensor Detail'!J322)</f>
        <v/>
      </c>
      <c r="AK320" s="27" t="str">
        <f>IF('Sensor Detail'!K322=0,"",'Sensor Detail'!K322)</f>
        <v/>
      </c>
      <c r="AL320" s="27" t="str">
        <f>IF('Sensor Detail'!L322=0,"",'Sensor Detail'!L322)</f>
        <v/>
      </c>
      <c r="AM320" s="27" t="str">
        <f>IF('Sensor Detail'!M322=0,"",'Sensor Detail'!M322)</f>
        <v/>
      </c>
      <c r="AN320" s="27" t="str">
        <f>IF('Sensor Detail'!N322=0,"",'Sensor Detail'!N322)</f>
        <v/>
      </c>
      <c r="AO320" s="27" t="str">
        <f>IF('Sensor Detail'!O322=0,"",'Sensor Detail'!O322)</f>
        <v/>
      </c>
      <c r="AP320" s="15" t="str">
        <f t="shared" si="73"/>
        <v/>
      </c>
      <c r="AQ320" s="15" t="str">
        <f t="shared" si="74"/>
        <v/>
      </c>
    </row>
    <row r="321" spans="1:43">
      <c r="A321" s="13" t="str">
        <f t="shared" si="60"/>
        <v/>
      </c>
      <c r="B321" s="13" t="str">
        <f t="shared" si="61"/>
        <v/>
      </c>
      <c r="C321" s="15" t="str">
        <f t="shared" si="62"/>
        <v/>
      </c>
      <c r="D321" s="15" t="str">
        <f t="shared" si="63"/>
        <v/>
      </c>
      <c r="E321" s="15" t="str">
        <f t="shared" si="64"/>
        <v/>
      </c>
      <c r="F321" s="15" t="str">
        <f t="shared" si="65"/>
        <v/>
      </c>
      <c r="G321" s="15" t="str">
        <f t="shared" si="66"/>
        <v/>
      </c>
      <c r="H321" s="15" t="str">
        <f t="shared" si="67"/>
        <v/>
      </c>
      <c r="I321" s="15" t="str">
        <f t="shared" si="68"/>
        <v/>
      </c>
      <c r="J321" s="15" t="str">
        <f t="shared" si="69"/>
        <v/>
      </c>
      <c r="K321" s="13" t="str">
        <f>IF('Cylinder Detail'!U323=0,"",'Cylinder Detail'!U323)</f>
        <v/>
      </c>
      <c r="L321" s="13" t="str">
        <f>IF('Cylinder Detail'!Z323=0,"",_xlfn.TEXTBEFORE('Cylinder Detail'!Z323, ","))</f>
        <v/>
      </c>
      <c r="M321" s="13" t="str">
        <f t="shared" si="70"/>
        <v/>
      </c>
      <c r="N321" s="17" t="str">
        <f>IF('Cylinder Detail'!V323=0,"",'Cylinder Detail'!V323)</f>
        <v/>
      </c>
      <c r="O321" s="17" t="str">
        <f>IF('Cylinder Detail'!Z323=0,"",_xlfn.TEXTAFTER('Cylinder Detail'!Z323, ", "))</f>
        <v/>
      </c>
      <c r="P321" s="17" t="str">
        <f>IF('Cylinder Detail'!AA323=0,"",'Cylinder Detail'!AA323)</f>
        <v/>
      </c>
      <c r="Q321" s="19" t="str">
        <f>IF('Cylinder Detail'!W323=0,"",'Cylinder Detail'!W323)</f>
        <v/>
      </c>
      <c r="R321" s="19" t="str">
        <f>IF('Cylinder Detail'!Y323=0,"",'Cylinder Detail'!Y323)</f>
        <v/>
      </c>
      <c r="S321" s="21" t="str">
        <f>IF('Cylinder Detail'!X323=0,"",'Cylinder Detail'!X323)</f>
        <v/>
      </c>
      <c r="T321" s="21" t="str">
        <f>IF('Cylinder Detail'!F323=0,"",'Cylinder Detail'!F323)</f>
        <v/>
      </c>
      <c r="U321" s="21" t="str">
        <f>IF('Cylinder Detail'!R323=0,"",'Cylinder Detail'!R323)</f>
        <v/>
      </c>
      <c r="V321" s="21" t="str">
        <f>IF('Cylinder Detail'!Q323=0,"",'Cylinder Detail'!Q323)</f>
        <v/>
      </c>
      <c r="W321" s="21" t="str">
        <f>IF('Cylinder Detail'!E323=0,"","+" &amp; 'Cylinder Detail'!E323)</f>
        <v/>
      </c>
      <c r="X321" s="21" t="str">
        <f t="shared" si="71"/>
        <v/>
      </c>
      <c r="Y321" s="21" t="str">
        <f>IF('Cylinder Detail'!S323=0,"",'Cylinder Detail'!S323)</f>
        <v/>
      </c>
      <c r="Z321" s="21" t="str">
        <f>IF('Cylinder Detail'!T323=0,"",'Cylinder Detail'!T323)</f>
        <v/>
      </c>
      <c r="AA321" s="21" t="str">
        <f>IF('Cylinder Detail'!H323=0,"",'Cylinder Detail'!H323)</f>
        <v/>
      </c>
      <c r="AB321" s="21" t="str">
        <f>IF('Cylinder Detail'!I323=0,"",'Cylinder Detail'!I323)</f>
        <v/>
      </c>
      <c r="AC321" s="22" t="str">
        <f>IF('Cylinder Detail'!AB323=0,"",'Cylinder Detail'!AB323)</f>
        <v/>
      </c>
      <c r="AD321" s="25" t="str">
        <f>IF('Sensor Detail'!F323=0,"","=" &amp; 'Sensor Detail'!F323)</f>
        <v/>
      </c>
      <c r="AE321" s="25" t="str">
        <f>IF('Sensor Detail'!H323=0,"",'Sensor Detail'!H323)</f>
        <v/>
      </c>
      <c r="AF321" s="27" t="str">
        <f>IF('Sensor Detail'!G323=0,"","-" &amp; 'Sensor Detail'!G323)</f>
        <v/>
      </c>
      <c r="AG321" s="27" t="str">
        <f>IF('Sensor Detail'!I323=0,"",'Sensor Detail'!I323)</f>
        <v/>
      </c>
      <c r="AH321" s="27" t="str">
        <f>IF('Sensor Detail'!E323=0,"","+" &amp; 'Sensor Detail'!E323)</f>
        <v/>
      </c>
      <c r="AI321" s="27" t="str">
        <f t="shared" si="72"/>
        <v/>
      </c>
      <c r="AJ321" s="27" t="str">
        <f>IF('Sensor Detail'!J323=0,"",'Sensor Detail'!J323)</f>
        <v/>
      </c>
      <c r="AK321" s="27" t="str">
        <f>IF('Sensor Detail'!K323=0,"",'Sensor Detail'!K323)</f>
        <v/>
      </c>
      <c r="AL321" s="27" t="str">
        <f>IF('Sensor Detail'!L323=0,"",'Sensor Detail'!L323)</f>
        <v/>
      </c>
      <c r="AM321" s="27" t="str">
        <f>IF('Sensor Detail'!M323=0,"",'Sensor Detail'!M323)</f>
        <v/>
      </c>
      <c r="AN321" s="27" t="str">
        <f>IF('Sensor Detail'!N323=0,"",'Sensor Detail'!N323)</f>
        <v/>
      </c>
      <c r="AO321" s="27" t="str">
        <f>IF('Sensor Detail'!O323=0,"",'Sensor Detail'!O323)</f>
        <v/>
      </c>
      <c r="AP321" s="15" t="str">
        <f t="shared" si="73"/>
        <v/>
      </c>
      <c r="AQ321" s="15" t="str">
        <f t="shared" si="74"/>
        <v/>
      </c>
    </row>
    <row r="322" spans="1:43">
      <c r="A322" s="13" t="str">
        <f t="shared" si="60"/>
        <v/>
      </c>
      <c r="B322" s="13" t="str">
        <f t="shared" si="61"/>
        <v/>
      </c>
      <c r="C322" s="15" t="str">
        <f t="shared" si="62"/>
        <v/>
      </c>
      <c r="D322" s="15" t="str">
        <f t="shared" si="63"/>
        <v/>
      </c>
      <c r="E322" s="15" t="str">
        <f t="shared" si="64"/>
        <v/>
      </c>
      <c r="F322" s="15" t="str">
        <f t="shared" si="65"/>
        <v/>
      </c>
      <c r="G322" s="15" t="str">
        <f t="shared" si="66"/>
        <v/>
      </c>
      <c r="H322" s="15" t="str">
        <f t="shared" si="67"/>
        <v/>
      </c>
      <c r="I322" s="15" t="str">
        <f t="shared" si="68"/>
        <v/>
      </c>
      <c r="J322" s="15" t="str">
        <f t="shared" si="69"/>
        <v/>
      </c>
      <c r="K322" s="13" t="str">
        <f>IF('Cylinder Detail'!U324=0,"",'Cylinder Detail'!U324)</f>
        <v/>
      </c>
      <c r="L322" s="13" t="str">
        <f>IF('Cylinder Detail'!Z324=0,"",_xlfn.TEXTBEFORE('Cylinder Detail'!Z324, ","))</f>
        <v/>
      </c>
      <c r="M322" s="13" t="str">
        <f t="shared" si="70"/>
        <v/>
      </c>
      <c r="N322" s="17" t="str">
        <f>IF('Cylinder Detail'!V324=0,"",'Cylinder Detail'!V324)</f>
        <v/>
      </c>
      <c r="O322" s="17" t="str">
        <f>IF('Cylinder Detail'!Z324=0,"",_xlfn.TEXTAFTER('Cylinder Detail'!Z324, ", "))</f>
        <v/>
      </c>
      <c r="P322" s="17" t="str">
        <f>IF('Cylinder Detail'!AA324=0,"",'Cylinder Detail'!AA324)</f>
        <v/>
      </c>
      <c r="Q322" s="19" t="str">
        <f>IF('Cylinder Detail'!W324=0,"",'Cylinder Detail'!W324)</f>
        <v/>
      </c>
      <c r="R322" s="19" t="str">
        <f>IF('Cylinder Detail'!Y324=0,"",'Cylinder Detail'!Y324)</f>
        <v/>
      </c>
      <c r="S322" s="21" t="str">
        <f>IF('Cylinder Detail'!X324=0,"",'Cylinder Detail'!X324)</f>
        <v/>
      </c>
      <c r="T322" s="21" t="str">
        <f>IF('Cylinder Detail'!F324=0,"",'Cylinder Detail'!F324)</f>
        <v/>
      </c>
      <c r="U322" s="21" t="str">
        <f>IF('Cylinder Detail'!R324=0,"",'Cylinder Detail'!R324)</f>
        <v/>
      </c>
      <c r="V322" s="21" t="str">
        <f>IF('Cylinder Detail'!Q324=0,"",'Cylinder Detail'!Q324)</f>
        <v/>
      </c>
      <c r="W322" s="21" t="str">
        <f>IF('Cylinder Detail'!E324=0,"","+" &amp; 'Cylinder Detail'!E324)</f>
        <v/>
      </c>
      <c r="X322" s="21" t="str">
        <f t="shared" si="71"/>
        <v/>
      </c>
      <c r="Y322" s="21" t="str">
        <f>IF('Cylinder Detail'!S324=0,"",'Cylinder Detail'!S324)</f>
        <v/>
      </c>
      <c r="Z322" s="21" t="str">
        <f>IF('Cylinder Detail'!T324=0,"",'Cylinder Detail'!T324)</f>
        <v/>
      </c>
      <c r="AA322" s="21" t="str">
        <f>IF('Cylinder Detail'!H324=0,"",'Cylinder Detail'!H324)</f>
        <v/>
      </c>
      <c r="AB322" s="21" t="str">
        <f>IF('Cylinder Detail'!I324=0,"",'Cylinder Detail'!I324)</f>
        <v/>
      </c>
      <c r="AC322" s="22" t="str">
        <f>IF('Cylinder Detail'!AB324=0,"",'Cylinder Detail'!AB324)</f>
        <v/>
      </c>
      <c r="AD322" s="25" t="str">
        <f>IF('Sensor Detail'!F324=0,"","=" &amp; 'Sensor Detail'!F324)</f>
        <v/>
      </c>
      <c r="AE322" s="25" t="str">
        <f>IF('Sensor Detail'!H324=0,"",'Sensor Detail'!H324)</f>
        <v/>
      </c>
      <c r="AF322" s="27" t="str">
        <f>IF('Sensor Detail'!G324=0,"","-" &amp; 'Sensor Detail'!G324)</f>
        <v/>
      </c>
      <c r="AG322" s="27" t="str">
        <f>IF('Sensor Detail'!I324=0,"",'Sensor Detail'!I324)</f>
        <v/>
      </c>
      <c r="AH322" s="27" t="str">
        <f>IF('Sensor Detail'!E324=0,"","+" &amp; 'Sensor Detail'!E324)</f>
        <v/>
      </c>
      <c r="AI322" s="27" t="str">
        <f t="shared" si="72"/>
        <v/>
      </c>
      <c r="AJ322" s="27" t="str">
        <f>IF('Sensor Detail'!J324=0,"",'Sensor Detail'!J324)</f>
        <v/>
      </c>
      <c r="AK322" s="27" t="str">
        <f>IF('Sensor Detail'!K324=0,"",'Sensor Detail'!K324)</f>
        <v/>
      </c>
      <c r="AL322" s="27" t="str">
        <f>IF('Sensor Detail'!L324=0,"",'Sensor Detail'!L324)</f>
        <v/>
      </c>
      <c r="AM322" s="27" t="str">
        <f>IF('Sensor Detail'!M324=0,"",'Sensor Detail'!M324)</f>
        <v/>
      </c>
      <c r="AN322" s="27" t="str">
        <f>IF('Sensor Detail'!N324=0,"",'Sensor Detail'!N324)</f>
        <v/>
      </c>
      <c r="AO322" s="27" t="str">
        <f>IF('Sensor Detail'!O324=0,"",'Sensor Detail'!O324)</f>
        <v/>
      </c>
      <c r="AP322" s="15" t="str">
        <f t="shared" si="73"/>
        <v/>
      </c>
      <c r="AQ322" s="15" t="str">
        <f t="shared" si="74"/>
        <v/>
      </c>
    </row>
    <row r="323" spans="1:43">
      <c r="A323" s="13" t="str">
        <f t="shared" ref="A323:A373" si="75">IF(K323 = "","",Integrator)</f>
        <v/>
      </c>
      <c r="B323" s="13" t="str">
        <f t="shared" ref="B323:B373" si="76">IF(K323 = "","",IntegratorResponsibleEngineer)</f>
        <v/>
      </c>
      <c r="C323" s="15" t="str">
        <f t="shared" ref="C323:C373" si="77">IF(K323 = "","","++" &amp; Shop)</f>
        <v/>
      </c>
      <c r="D323" s="15" t="str">
        <f t="shared" ref="D323:D373" si="78">IF(K323 = "","","++" &amp; Line)</f>
        <v/>
      </c>
      <c r="E323" s="15" t="str">
        <f t="shared" ref="E323:E373" si="79">IF(K323 = "","",LineDescription)</f>
        <v/>
      </c>
      <c r="F323" s="15" t="str">
        <f t="shared" ref="F323:F373" si="80">IF(K323 = "","","+" &amp; Station)</f>
        <v/>
      </c>
      <c r="G323" s="15" t="str">
        <f t="shared" ref="G323:G373" si="81">IF(K323 = "","",StationDescription)</f>
        <v/>
      </c>
      <c r="H323" s="15" t="str">
        <f t="shared" ref="H323:H373" si="82">IF(K323 = "","",IF(System = "", "", "+" &amp; System) &amp; IF(Tool = "", "", "+" &amp; Tool))</f>
        <v/>
      </c>
      <c r="I323" s="15" t="str">
        <f t="shared" ref="I323:I373" si="83">IF(K323 = "","",ToolDescription)</f>
        <v/>
      </c>
      <c r="J323" s="15" t="str">
        <f t="shared" ref="J323:J373" si="84">IF(K323 = "","",ToolType)</f>
        <v/>
      </c>
      <c r="K323" s="13" t="str">
        <f>IF('Cylinder Detail'!U325=0,"",'Cylinder Detail'!U325)</f>
        <v/>
      </c>
      <c r="L323" s="13" t="str">
        <f>IF('Cylinder Detail'!Z325=0,"",_xlfn.TEXTBEFORE('Cylinder Detail'!Z325, ","))</f>
        <v/>
      </c>
      <c r="M323" s="13" t="str">
        <f t="shared" ref="M323:M373" si="85">IF(K323 = "","",ManifoldConnection)</f>
        <v/>
      </c>
      <c r="N323" s="17" t="str">
        <f>IF('Cylinder Detail'!V325=0,"",'Cylinder Detail'!V325)</f>
        <v/>
      </c>
      <c r="O323" s="17" t="str">
        <f>IF('Cylinder Detail'!Z325=0,"",_xlfn.TEXTAFTER('Cylinder Detail'!Z325, ", "))</f>
        <v/>
      </c>
      <c r="P323" s="17" t="str">
        <f>IF('Cylinder Detail'!AA325=0,"",'Cylinder Detail'!AA325)</f>
        <v/>
      </c>
      <c r="Q323" s="19" t="str">
        <f>IF('Cylinder Detail'!W325=0,"",'Cylinder Detail'!W325)</f>
        <v/>
      </c>
      <c r="R323" s="19" t="str">
        <f>IF('Cylinder Detail'!Y325=0,"",'Cylinder Detail'!Y325)</f>
        <v/>
      </c>
      <c r="S323" s="21" t="str">
        <f>IF('Cylinder Detail'!X325=0,"",'Cylinder Detail'!X325)</f>
        <v/>
      </c>
      <c r="T323" s="21" t="str">
        <f>IF('Cylinder Detail'!F325=0,"",'Cylinder Detail'!F325)</f>
        <v/>
      </c>
      <c r="U323" s="21" t="str">
        <f>IF('Cylinder Detail'!R325=0,"",'Cylinder Detail'!R325)</f>
        <v/>
      </c>
      <c r="V323" s="21" t="str">
        <f>IF('Cylinder Detail'!Q325=0,"",'Cylinder Detail'!Q325)</f>
        <v/>
      </c>
      <c r="W323" s="21" t="str">
        <f>IF('Cylinder Detail'!E325=0,"","+" &amp; 'Cylinder Detail'!E325)</f>
        <v/>
      </c>
      <c r="X323" s="21" t="str">
        <f t="shared" ref="X323:X373" si="86">IF(W323 = "", "","Unit ") &amp;W323</f>
        <v/>
      </c>
      <c r="Y323" s="21" t="str">
        <f>IF('Cylinder Detail'!S325=0,"",'Cylinder Detail'!S325)</f>
        <v/>
      </c>
      <c r="Z323" s="21" t="str">
        <f>IF('Cylinder Detail'!T325=0,"",'Cylinder Detail'!T325)</f>
        <v/>
      </c>
      <c r="AA323" s="21" t="str">
        <f>IF('Cylinder Detail'!H325=0,"",'Cylinder Detail'!H325)</f>
        <v/>
      </c>
      <c r="AB323" s="21" t="str">
        <f>IF('Cylinder Detail'!I325=0,"",'Cylinder Detail'!I325)</f>
        <v/>
      </c>
      <c r="AC323" s="22" t="str">
        <f>IF('Cylinder Detail'!AB325=0,"",'Cylinder Detail'!AB325)</f>
        <v/>
      </c>
      <c r="AD323" s="25" t="str">
        <f>IF('Sensor Detail'!F325=0,"","=" &amp; 'Sensor Detail'!F325)</f>
        <v/>
      </c>
      <c r="AE323" s="25" t="str">
        <f>IF('Sensor Detail'!H325=0,"",'Sensor Detail'!H325)</f>
        <v/>
      </c>
      <c r="AF323" s="27" t="str">
        <f>IF('Sensor Detail'!G325=0,"","-" &amp; 'Sensor Detail'!G325)</f>
        <v/>
      </c>
      <c r="AG323" s="27" t="str">
        <f>IF('Sensor Detail'!I325=0,"",'Sensor Detail'!I325)</f>
        <v/>
      </c>
      <c r="AH323" s="27" t="str">
        <f>IF('Sensor Detail'!E325=0,"","+" &amp; 'Sensor Detail'!E325)</f>
        <v/>
      </c>
      <c r="AI323" s="27" t="str">
        <f t="shared" ref="AI323:AI373" si="87">IF(AH323 = "", "","Unit ") &amp;AH323</f>
        <v/>
      </c>
      <c r="AJ323" s="27" t="str">
        <f>IF('Sensor Detail'!J325=0,"",'Sensor Detail'!J325)</f>
        <v/>
      </c>
      <c r="AK323" s="27" t="str">
        <f>IF('Sensor Detail'!K325=0,"",'Sensor Detail'!K325)</f>
        <v/>
      </c>
      <c r="AL323" s="27" t="str">
        <f>IF('Sensor Detail'!L325=0,"",'Sensor Detail'!L325)</f>
        <v/>
      </c>
      <c r="AM323" s="27" t="str">
        <f>IF('Sensor Detail'!M325=0,"",'Sensor Detail'!M325)</f>
        <v/>
      </c>
      <c r="AN323" s="27" t="str">
        <f>IF('Sensor Detail'!N325=0,"",'Sensor Detail'!N325)</f>
        <v/>
      </c>
      <c r="AO323" s="27" t="str">
        <f>IF('Sensor Detail'!O325=0,"",'Sensor Detail'!O325)</f>
        <v/>
      </c>
      <c r="AP323" s="15" t="str">
        <f t="shared" ref="AP323:AP373" si="88">IF(K323 = "","",System)</f>
        <v/>
      </c>
      <c r="AQ323" s="15" t="str">
        <f t="shared" ref="AQ323:AQ373" si="89">IF(K323 = "","",SystemDescription)</f>
        <v/>
      </c>
    </row>
    <row r="324" spans="1:43">
      <c r="A324" s="13" t="str">
        <f t="shared" si="75"/>
        <v/>
      </c>
      <c r="B324" s="13" t="str">
        <f t="shared" si="76"/>
        <v/>
      </c>
      <c r="C324" s="15" t="str">
        <f t="shared" si="77"/>
        <v/>
      </c>
      <c r="D324" s="15" t="str">
        <f t="shared" si="78"/>
        <v/>
      </c>
      <c r="E324" s="15" t="str">
        <f t="shared" si="79"/>
        <v/>
      </c>
      <c r="F324" s="15" t="str">
        <f t="shared" si="80"/>
        <v/>
      </c>
      <c r="G324" s="15" t="str">
        <f t="shared" si="81"/>
        <v/>
      </c>
      <c r="H324" s="15" t="str">
        <f t="shared" si="82"/>
        <v/>
      </c>
      <c r="I324" s="15" t="str">
        <f t="shared" si="83"/>
        <v/>
      </c>
      <c r="J324" s="15" t="str">
        <f t="shared" si="84"/>
        <v/>
      </c>
      <c r="K324" s="13" t="str">
        <f>IF('Cylinder Detail'!U326=0,"",'Cylinder Detail'!U326)</f>
        <v/>
      </c>
      <c r="L324" s="13" t="str">
        <f>IF('Cylinder Detail'!Z326=0,"",_xlfn.TEXTBEFORE('Cylinder Detail'!Z326, ","))</f>
        <v/>
      </c>
      <c r="M324" s="13" t="str">
        <f t="shared" si="85"/>
        <v/>
      </c>
      <c r="N324" s="17" t="str">
        <f>IF('Cylinder Detail'!V326=0,"",'Cylinder Detail'!V326)</f>
        <v/>
      </c>
      <c r="O324" s="17" t="str">
        <f>IF('Cylinder Detail'!Z326=0,"",_xlfn.TEXTAFTER('Cylinder Detail'!Z326, ", "))</f>
        <v/>
      </c>
      <c r="P324" s="17" t="str">
        <f>IF('Cylinder Detail'!AA326=0,"",'Cylinder Detail'!AA326)</f>
        <v/>
      </c>
      <c r="Q324" s="19" t="str">
        <f>IF('Cylinder Detail'!W326=0,"",'Cylinder Detail'!W326)</f>
        <v/>
      </c>
      <c r="R324" s="19" t="str">
        <f>IF('Cylinder Detail'!Y326=0,"",'Cylinder Detail'!Y326)</f>
        <v/>
      </c>
      <c r="S324" s="21" t="str">
        <f>IF('Cylinder Detail'!X326=0,"",'Cylinder Detail'!X326)</f>
        <v/>
      </c>
      <c r="T324" s="21" t="str">
        <f>IF('Cylinder Detail'!F326=0,"",'Cylinder Detail'!F326)</f>
        <v/>
      </c>
      <c r="U324" s="21" t="str">
        <f>IF('Cylinder Detail'!R326=0,"",'Cylinder Detail'!R326)</f>
        <v/>
      </c>
      <c r="V324" s="21" t="str">
        <f>IF('Cylinder Detail'!Q326=0,"",'Cylinder Detail'!Q326)</f>
        <v/>
      </c>
      <c r="W324" s="21" t="str">
        <f>IF('Cylinder Detail'!E326=0,"","+" &amp; 'Cylinder Detail'!E326)</f>
        <v/>
      </c>
      <c r="X324" s="21" t="str">
        <f t="shared" si="86"/>
        <v/>
      </c>
      <c r="Y324" s="21" t="str">
        <f>IF('Cylinder Detail'!S326=0,"",'Cylinder Detail'!S326)</f>
        <v/>
      </c>
      <c r="Z324" s="21" t="str">
        <f>IF('Cylinder Detail'!T326=0,"",'Cylinder Detail'!T326)</f>
        <v/>
      </c>
      <c r="AA324" s="21" t="str">
        <f>IF('Cylinder Detail'!H326=0,"",'Cylinder Detail'!H326)</f>
        <v/>
      </c>
      <c r="AB324" s="21" t="str">
        <f>IF('Cylinder Detail'!I326=0,"",'Cylinder Detail'!I326)</f>
        <v/>
      </c>
      <c r="AC324" s="22" t="str">
        <f>IF('Cylinder Detail'!AB326=0,"",'Cylinder Detail'!AB326)</f>
        <v/>
      </c>
      <c r="AD324" s="25" t="str">
        <f>IF('Sensor Detail'!F326=0,"","=" &amp; 'Sensor Detail'!F326)</f>
        <v/>
      </c>
      <c r="AE324" s="25" t="str">
        <f>IF('Sensor Detail'!H326=0,"",'Sensor Detail'!H326)</f>
        <v/>
      </c>
      <c r="AF324" s="27" t="str">
        <f>IF('Sensor Detail'!G326=0,"","-" &amp; 'Sensor Detail'!G326)</f>
        <v/>
      </c>
      <c r="AG324" s="27" t="str">
        <f>IF('Sensor Detail'!I326=0,"",'Sensor Detail'!I326)</f>
        <v/>
      </c>
      <c r="AH324" s="27" t="str">
        <f>IF('Sensor Detail'!E326=0,"","+" &amp; 'Sensor Detail'!E326)</f>
        <v/>
      </c>
      <c r="AI324" s="27" t="str">
        <f t="shared" si="87"/>
        <v/>
      </c>
      <c r="AJ324" s="27" t="str">
        <f>IF('Sensor Detail'!J326=0,"",'Sensor Detail'!J326)</f>
        <v/>
      </c>
      <c r="AK324" s="27" t="str">
        <f>IF('Sensor Detail'!K326=0,"",'Sensor Detail'!K326)</f>
        <v/>
      </c>
      <c r="AL324" s="27" t="str">
        <f>IF('Sensor Detail'!L326=0,"",'Sensor Detail'!L326)</f>
        <v/>
      </c>
      <c r="AM324" s="27" t="str">
        <f>IF('Sensor Detail'!M326=0,"",'Sensor Detail'!M326)</f>
        <v/>
      </c>
      <c r="AN324" s="27" t="str">
        <f>IF('Sensor Detail'!N326=0,"",'Sensor Detail'!N326)</f>
        <v/>
      </c>
      <c r="AO324" s="27" t="str">
        <f>IF('Sensor Detail'!O326=0,"",'Sensor Detail'!O326)</f>
        <v/>
      </c>
      <c r="AP324" s="15" t="str">
        <f t="shared" si="88"/>
        <v/>
      </c>
      <c r="AQ324" s="15" t="str">
        <f t="shared" si="89"/>
        <v/>
      </c>
    </row>
    <row r="325" spans="1:43">
      <c r="A325" s="13" t="str">
        <f t="shared" si="75"/>
        <v/>
      </c>
      <c r="B325" s="13" t="str">
        <f t="shared" si="76"/>
        <v/>
      </c>
      <c r="C325" s="15" t="str">
        <f t="shared" si="77"/>
        <v/>
      </c>
      <c r="D325" s="15" t="str">
        <f t="shared" si="78"/>
        <v/>
      </c>
      <c r="E325" s="15" t="str">
        <f t="shared" si="79"/>
        <v/>
      </c>
      <c r="F325" s="15" t="str">
        <f t="shared" si="80"/>
        <v/>
      </c>
      <c r="G325" s="15" t="str">
        <f t="shared" si="81"/>
        <v/>
      </c>
      <c r="H325" s="15" t="str">
        <f t="shared" si="82"/>
        <v/>
      </c>
      <c r="I325" s="15" t="str">
        <f t="shared" si="83"/>
        <v/>
      </c>
      <c r="J325" s="15" t="str">
        <f t="shared" si="84"/>
        <v/>
      </c>
      <c r="K325" s="13" t="str">
        <f>IF('Cylinder Detail'!U327=0,"",'Cylinder Detail'!U327)</f>
        <v/>
      </c>
      <c r="L325" s="13" t="str">
        <f>IF('Cylinder Detail'!Z327=0,"",_xlfn.TEXTBEFORE('Cylinder Detail'!Z327, ","))</f>
        <v/>
      </c>
      <c r="M325" s="13" t="str">
        <f t="shared" si="85"/>
        <v/>
      </c>
      <c r="N325" s="17" t="str">
        <f>IF('Cylinder Detail'!V327=0,"",'Cylinder Detail'!V327)</f>
        <v/>
      </c>
      <c r="O325" s="17" t="str">
        <f>IF('Cylinder Detail'!Z327=0,"",_xlfn.TEXTAFTER('Cylinder Detail'!Z327, ", "))</f>
        <v/>
      </c>
      <c r="P325" s="17" t="str">
        <f>IF('Cylinder Detail'!AA327=0,"",'Cylinder Detail'!AA327)</f>
        <v/>
      </c>
      <c r="Q325" s="19" t="str">
        <f>IF('Cylinder Detail'!W327=0,"",'Cylinder Detail'!W327)</f>
        <v/>
      </c>
      <c r="R325" s="19" t="str">
        <f>IF('Cylinder Detail'!Y327=0,"",'Cylinder Detail'!Y327)</f>
        <v/>
      </c>
      <c r="S325" s="21" t="str">
        <f>IF('Cylinder Detail'!X327=0,"",'Cylinder Detail'!X327)</f>
        <v/>
      </c>
      <c r="T325" s="21" t="str">
        <f>IF('Cylinder Detail'!F327=0,"",'Cylinder Detail'!F327)</f>
        <v/>
      </c>
      <c r="U325" s="21" t="str">
        <f>IF('Cylinder Detail'!R327=0,"",'Cylinder Detail'!R327)</f>
        <v/>
      </c>
      <c r="V325" s="21" t="str">
        <f>IF('Cylinder Detail'!Q327=0,"",'Cylinder Detail'!Q327)</f>
        <v/>
      </c>
      <c r="W325" s="21" t="str">
        <f>IF('Cylinder Detail'!E327=0,"","+" &amp; 'Cylinder Detail'!E327)</f>
        <v/>
      </c>
      <c r="X325" s="21" t="str">
        <f t="shared" si="86"/>
        <v/>
      </c>
      <c r="Y325" s="21" t="str">
        <f>IF('Cylinder Detail'!S327=0,"",'Cylinder Detail'!S327)</f>
        <v/>
      </c>
      <c r="Z325" s="21" t="str">
        <f>IF('Cylinder Detail'!T327=0,"",'Cylinder Detail'!T327)</f>
        <v/>
      </c>
      <c r="AA325" s="21" t="str">
        <f>IF('Cylinder Detail'!H327=0,"",'Cylinder Detail'!H327)</f>
        <v/>
      </c>
      <c r="AB325" s="21" t="str">
        <f>IF('Cylinder Detail'!I327=0,"",'Cylinder Detail'!I327)</f>
        <v/>
      </c>
      <c r="AC325" s="22" t="str">
        <f>IF('Cylinder Detail'!AB327=0,"",'Cylinder Detail'!AB327)</f>
        <v/>
      </c>
      <c r="AD325" s="25" t="str">
        <f>IF('Sensor Detail'!F327=0,"","=" &amp; 'Sensor Detail'!F327)</f>
        <v/>
      </c>
      <c r="AE325" s="25" t="str">
        <f>IF('Sensor Detail'!H327=0,"",'Sensor Detail'!H327)</f>
        <v/>
      </c>
      <c r="AF325" s="27" t="str">
        <f>IF('Sensor Detail'!G327=0,"","-" &amp; 'Sensor Detail'!G327)</f>
        <v/>
      </c>
      <c r="AG325" s="27" t="str">
        <f>IF('Sensor Detail'!I327=0,"",'Sensor Detail'!I327)</f>
        <v/>
      </c>
      <c r="AH325" s="27" t="str">
        <f>IF('Sensor Detail'!E327=0,"","+" &amp; 'Sensor Detail'!E327)</f>
        <v/>
      </c>
      <c r="AI325" s="27" t="str">
        <f t="shared" si="87"/>
        <v/>
      </c>
      <c r="AJ325" s="27" t="str">
        <f>IF('Sensor Detail'!J327=0,"",'Sensor Detail'!J327)</f>
        <v/>
      </c>
      <c r="AK325" s="27" t="str">
        <f>IF('Sensor Detail'!K327=0,"",'Sensor Detail'!K327)</f>
        <v/>
      </c>
      <c r="AL325" s="27" t="str">
        <f>IF('Sensor Detail'!L327=0,"",'Sensor Detail'!L327)</f>
        <v/>
      </c>
      <c r="AM325" s="27" t="str">
        <f>IF('Sensor Detail'!M327=0,"",'Sensor Detail'!M327)</f>
        <v/>
      </c>
      <c r="AN325" s="27" t="str">
        <f>IF('Sensor Detail'!N327=0,"",'Sensor Detail'!N327)</f>
        <v/>
      </c>
      <c r="AO325" s="27" t="str">
        <f>IF('Sensor Detail'!O327=0,"",'Sensor Detail'!O327)</f>
        <v/>
      </c>
      <c r="AP325" s="15" t="str">
        <f t="shared" si="88"/>
        <v/>
      </c>
      <c r="AQ325" s="15" t="str">
        <f t="shared" si="89"/>
        <v/>
      </c>
    </row>
    <row r="326" spans="1:43">
      <c r="A326" s="13" t="str">
        <f t="shared" si="75"/>
        <v/>
      </c>
      <c r="B326" s="13" t="str">
        <f t="shared" si="76"/>
        <v/>
      </c>
      <c r="C326" s="15" t="str">
        <f t="shared" si="77"/>
        <v/>
      </c>
      <c r="D326" s="15" t="str">
        <f t="shared" si="78"/>
        <v/>
      </c>
      <c r="E326" s="15" t="str">
        <f t="shared" si="79"/>
        <v/>
      </c>
      <c r="F326" s="15" t="str">
        <f t="shared" si="80"/>
        <v/>
      </c>
      <c r="G326" s="15" t="str">
        <f t="shared" si="81"/>
        <v/>
      </c>
      <c r="H326" s="15" t="str">
        <f t="shared" si="82"/>
        <v/>
      </c>
      <c r="I326" s="15" t="str">
        <f t="shared" si="83"/>
        <v/>
      </c>
      <c r="J326" s="15" t="str">
        <f t="shared" si="84"/>
        <v/>
      </c>
      <c r="K326" s="13" t="str">
        <f>IF('Cylinder Detail'!U328=0,"",'Cylinder Detail'!U328)</f>
        <v/>
      </c>
      <c r="L326" s="13" t="str">
        <f>IF('Cylinder Detail'!Z328=0,"",_xlfn.TEXTBEFORE('Cylinder Detail'!Z328, ","))</f>
        <v/>
      </c>
      <c r="M326" s="13" t="str">
        <f t="shared" si="85"/>
        <v/>
      </c>
      <c r="N326" s="17" t="str">
        <f>IF('Cylinder Detail'!V328=0,"",'Cylinder Detail'!V328)</f>
        <v/>
      </c>
      <c r="O326" s="17" t="str">
        <f>IF('Cylinder Detail'!Z328=0,"",_xlfn.TEXTAFTER('Cylinder Detail'!Z328, ", "))</f>
        <v/>
      </c>
      <c r="P326" s="17" t="str">
        <f>IF('Cylinder Detail'!AA328=0,"",'Cylinder Detail'!AA328)</f>
        <v/>
      </c>
      <c r="Q326" s="19" t="str">
        <f>IF('Cylinder Detail'!W328=0,"",'Cylinder Detail'!W328)</f>
        <v/>
      </c>
      <c r="R326" s="19" t="str">
        <f>IF('Cylinder Detail'!Y328=0,"",'Cylinder Detail'!Y328)</f>
        <v/>
      </c>
      <c r="S326" s="21" t="str">
        <f>IF('Cylinder Detail'!X328=0,"",'Cylinder Detail'!X328)</f>
        <v/>
      </c>
      <c r="T326" s="21" t="str">
        <f>IF('Cylinder Detail'!F328=0,"",'Cylinder Detail'!F328)</f>
        <v/>
      </c>
      <c r="U326" s="21" t="str">
        <f>IF('Cylinder Detail'!R328=0,"",'Cylinder Detail'!R328)</f>
        <v/>
      </c>
      <c r="V326" s="21" t="str">
        <f>IF('Cylinder Detail'!Q328=0,"",'Cylinder Detail'!Q328)</f>
        <v/>
      </c>
      <c r="W326" s="21" t="str">
        <f>IF('Cylinder Detail'!E328=0,"","+" &amp; 'Cylinder Detail'!E328)</f>
        <v/>
      </c>
      <c r="X326" s="21" t="str">
        <f t="shared" si="86"/>
        <v/>
      </c>
      <c r="Y326" s="21" t="str">
        <f>IF('Cylinder Detail'!S328=0,"",'Cylinder Detail'!S328)</f>
        <v/>
      </c>
      <c r="Z326" s="21" t="str">
        <f>IF('Cylinder Detail'!T328=0,"",'Cylinder Detail'!T328)</f>
        <v/>
      </c>
      <c r="AA326" s="21" t="str">
        <f>IF('Cylinder Detail'!H328=0,"",'Cylinder Detail'!H328)</f>
        <v/>
      </c>
      <c r="AB326" s="21" t="str">
        <f>IF('Cylinder Detail'!I328=0,"",'Cylinder Detail'!I328)</f>
        <v/>
      </c>
      <c r="AC326" s="22" t="str">
        <f>IF('Cylinder Detail'!AB328=0,"",'Cylinder Detail'!AB328)</f>
        <v/>
      </c>
      <c r="AD326" s="25" t="str">
        <f>IF('Sensor Detail'!F328=0,"","=" &amp; 'Sensor Detail'!F328)</f>
        <v/>
      </c>
      <c r="AE326" s="25" t="str">
        <f>IF('Sensor Detail'!H328=0,"",'Sensor Detail'!H328)</f>
        <v/>
      </c>
      <c r="AF326" s="27" t="str">
        <f>IF('Sensor Detail'!G328=0,"","-" &amp; 'Sensor Detail'!G328)</f>
        <v/>
      </c>
      <c r="AG326" s="27" t="str">
        <f>IF('Sensor Detail'!I328=0,"",'Sensor Detail'!I328)</f>
        <v/>
      </c>
      <c r="AH326" s="27" t="str">
        <f>IF('Sensor Detail'!E328=0,"","+" &amp; 'Sensor Detail'!E328)</f>
        <v/>
      </c>
      <c r="AI326" s="27" t="str">
        <f t="shared" si="87"/>
        <v/>
      </c>
      <c r="AJ326" s="27" t="str">
        <f>IF('Sensor Detail'!J328=0,"",'Sensor Detail'!J328)</f>
        <v/>
      </c>
      <c r="AK326" s="27" t="str">
        <f>IF('Sensor Detail'!K328=0,"",'Sensor Detail'!K328)</f>
        <v/>
      </c>
      <c r="AL326" s="27" t="str">
        <f>IF('Sensor Detail'!L328=0,"",'Sensor Detail'!L328)</f>
        <v/>
      </c>
      <c r="AM326" s="27" t="str">
        <f>IF('Sensor Detail'!M328=0,"",'Sensor Detail'!M328)</f>
        <v/>
      </c>
      <c r="AN326" s="27" t="str">
        <f>IF('Sensor Detail'!N328=0,"",'Sensor Detail'!N328)</f>
        <v/>
      </c>
      <c r="AO326" s="27" t="str">
        <f>IF('Sensor Detail'!O328=0,"",'Sensor Detail'!O328)</f>
        <v/>
      </c>
      <c r="AP326" s="15" t="str">
        <f t="shared" si="88"/>
        <v/>
      </c>
      <c r="AQ326" s="15" t="str">
        <f t="shared" si="89"/>
        <v/>
      </c>
    </row>
    <row r="327" spans="1:43">
      <c r="A327" s="13" t="str">
        <f t="shared" si="75"/>
        <v/>
      </c>
      <c r="B327" s="13" t="str">
        <f t="shared" si="76"/>
        <v/>
      </c>
      <c r="C327" s="15" t="str">
        <f t="shared" si="77"/>
        <v/>
      </c>
      <c r="D327" s="15" t="str">
        <f t="shared" si="78"/>
        <v/>
      </c>
      <c r="E327" s="15" t="str">
        <f t="shared" si="79"/>
        <v/>
      </c>
      <c r="F327" s="15" t="str">
        <f t="shared" si="80"/>
        <v/>
      </c>
      <c r="G327" s="15" t="str">
        <f t="shared" si="81"/>
        <v/>
      </c>
      <c r="H327" s="15" t="str">
        <f t="shared" si="82"/>
        <v/>
      </c>
      <c r="I327" s="15" t="str">
        <f t="shared" si="83"/>
        <v/>
      </c>
      <c r="J327" s="15" t="str">
        <f t="shared" si="84"/>
        <v/>
      </c>
      <c r="K327" s="13" t="str">
        <f>IF('Cylinder Detail'!U329=0,"",'Cylinder Detail'!U329)</f>
        <v/>
      </c>
      <c r="L327" s="13" t="str">
        <f>IF('Cylinder Detail'!Z329=0,"",_xlfn.TEXTBEFORE('Cylinder Detail'!Z329, ","))</f>
        <v/>
      </c>
      <c r="M327" s="13" t="str">
        <f t="shared" si="85"/>
        <v/>
      </c>
      <c r="N327" s="17" t="str">
        <f>IF('Cylinder Detail'!V329=0,"",'Cylinder Detail'!V329)</f>
        <v/>
      </c>
      <c r="O327" s="17" t="str">
        <f>IF('Cylinder Detail'!Z329=0,"",_xlfn.TEXTAFTER('Cylinder Detail'!Z329, ", "))</f>
        <v/>
      </c>
      <c r="P327" s="17" t="str">
        <f>IF('Cylinder Detail'!AA329=0,"",'Cylinder Detail'!AA329)</f>
        <v/>
      </c>
      <c r="Q327" s="19" t="str">
        <f>IF('Cylinder Detail'!W329=0,"",'Cylinder Detail'!W329)</f>
        <v/>
      </c>
      <c r="R327" s="19" t="str">
        <f>IF('Cylinder Detail'!Y329=0,"",'Cylinder Detail'!Y329)</f>
        <v/>
      </c>
      <c r="S327" s="21" t="str">
        <f>IF('Cylinder Detail'!X329=0,"",'Cylinder Detail'!X329)</f>
        <v/>
      </c>
      <c r="T327" s="21" t="str">
        <f>IF('Cylinder Detail'!F329=0,"",'Cylinder Detail'!F329)</f>
        <v/>
      </c>
      <c r="U327" s="21" t="str">
        <f>IF('Cylinder Detail'!R329=0,"",'Cylinder Detail'!R329)</f>
        <v/>
      </c>
      <c r="V327" s="21" t="str">
        <f>IF('Cylinder Detail'!Q329=0,"",'Cylinder Detail'!Q329)</f>
        <v/>
      </c>
      <c r="W327" s="21" t="str">
        <f>IF('Cylinder Detail'!E329=0,"","+" &amp; 'Cylinder Detail'!E329)</f>
        <v/>
      </c>
      <c r="X327" s="21" t="str">
        <f t="shared" si="86"/>
        <v/>
      </c>
      <c r="Y327" s="21" t="str">
        <f>IF('Cylinder Detail'!S329=0,"",'Cylinder Detail'!S329)</f>
        <v/>
      </c>
      <c r="Z327" s="21" t="str">
        <f>IF('Cylinder Detail'!T329=0,"",'Cylinder Detail'!T329)</f>
        <v/>
      </c>
      <c r="AA327" s="21" t="str">
        <f>IF('Cylinder Detail'!H329=0,"",'Cylinder Detail'!H329)</f>
        <v/>
      </c>
      <c r="AB327" s="21" t="str">
        <f>IF('Cylinder Detail'!I329=0,"",'Cylinder Detail'!I329)</f>
        <v/>
      </c>
      <c r="AC327" s="22" t="str">
        <f>IF('Cylinder Detail'!AB329=0,"",'Cylinder Detail'!AB329)</f>
        <v/>
      </c>
      <c r="AD327" s="25" t="str">
        <f>IF('Sensor Detail'!F329=0,"","=" &amp; 'Sensor Detail'!F329)</f>
        <v/>
      </c>
      <c r="AE327" s="25" t="str">
        <f>IF('Sensor Detail'!H329=0,"",'Sensor Detail'!H329)</f>
        <v/>
      </c>
      <c r="AF327" s="27" t="str">
        <f>IF('Sensor Detail'!G329=0,"","-" &amp; 'Sensor Detail'!G329)</f>
        <v/>
      </c>
      <c r="AG327" s="27" t="str">
        <f>IF('Sensor Detail'!I329=0,"",'Sensor Detail'!I329)</f>
        <v/>
      </c>
      <c r="AH327" s="27" t="str">
        <f>IF('Sensor Detail'!E329=0,"","+" &amp; 'Sensor Detail'!E329)</f>
        <v/>
      </c>
      <c r="AI327" s="27" t="str">
        <f t="shared" si="87"/>
        <v/>
      </c>
      <c r="AJ327" s="27" t="str">
        <f>IF('Sensor Detail'!J329=0,"",'Sensor Detail'!J329)</f>
        <v/>
      </c>
      <c r="AK327" s="27" t="str">
        <f>IF('Sensor Detail'!K329=0,"",'Sensor Detail'!K329)</f>
        <v/>
      </c>
      <c r="AL327" s="27" t="str">
        <f>IF('Sensor Detail'!L329=0,"",'Sensor Detail'!L329)</f>
        <v/>
      </c>
      <c r="AM327" s="27" t="str">
        <f>IF('Sensor Detail'!M329=0,"",'Sensor Detail'!M329)</f>
        <v/>
      </c>
      <c r="AN327" s="27" t="str">
        <f>IF('Sensor Detail'!N329=0,"",'Sensor Detail'!N329)</f>
        <v/>
      </c>
      <c r="AO327" s="27" t="str">
        <f>IF('Sensor Detail'!O329=0,"",'Sensor Detail'!O329)</f>
        <v/>
      </c>
      <c r="AP327" s="15" t="str">
        <f t="shared" si="88"/>
        <v/>
      </c>
      <c r="AQ327" s="15" t="str">
        <f t="shared" si="89"/>
        <v/>
      </c>
    </row>
    <row r="328" spans="1:43">
      <c r="A328" s="13" t="str">
        <f t="shared" si="75"/>
        <v/>
      </c>
      <c r="B328" s="13" t="str">
        <f t="shared" si="76"/>
        <v/>
      </c>
      <c r="C328" s="15" t="str">
        <f t="shared" si="77"/>
        <v/>
      </c>
      <c r="D328" s="15" t="str">
        <f t="shared" si="78"/>
        <v/>
      </c>
      <c r="E328" s="15" t="str">
        <f t="shared" si="79"/>
        <v/>
      </c>
      <c r="F328" s="15" t="str">
        <f t="shared" si="80"/>
        <v/>
      </c>
      <c r="G328" s="15" t="str">
        <f t="shared" si="81"/>
        <v/>
      </c>
      <c r="H328" s="15" t="str">
        <f t="shared" si="82"/>
        <v/>
      </c>
      <c r="I328" s="15" t="str">
        <f t="shared" si="83"/>
        <v/>
      </c>
      <c r="J328" s="15" t="str">
        <f t="shared" si="84"/>
        <v/>
      </c>
      <c r="K328" s="13" t="str">
        <f>IF('Cylinder Detail'!U330=0,"",'Cylinder Detail'!U330)</f>
        <v/>
      </c>
      <c r="L328" s="13" t="str">
        <f>IF('Cylinder Detail'!Z330=0,"",_xlfn.TEXTBEFORE('Cylinder Detail'!Z330, ","))</f>
        <v/>
      </c>
      <c r="M328" s="13" t="str">
        <f t="shared" si="85"/>
        <v/>
      </c>
      <c r="N328" s="17" t="str">
        <f>IF('Cylinder Detail'!V330=0,"",'Cylinder Detail'!V330)</f>
        <v/>
      </c>
      <c r="O328" s="17" t="str">
        <f>IF('Cylinder Detail'!Z330=0,"",_xlfn.TEXTAFTER('Cylinder Detail'!Z330, ", "))</f>
        <v/>
      </c>
      <c r="P328" s="17" t="str">
        <f>IF('Cylinder Detail'!AA330=0,"",'Cylinder Detail'!AA330)</f>
        <v/>
      </c>
      <c r="Q328" s="19" t="str">
        <f>IF('Cylinder Detail'!W330=0,"",'Cylinder Detail'!W330)</f>
        <v/>
      </c>
      <c r="R328" s="19" t="str">
        <f>IF('Cylinder Detail'!Y330=0,"",'Cylinder Detail'!Y330)</f>
        <v/>
      </c>
      <c r="S328" s="21" t="str">
        <f>IF('Cylinder Detail'!X330=0,"",'Cylinder Detail'!X330)</f>
        <v/>
      </c>
      <c r="T328" s="21" t="str">
        <f>IF('Cylinder Detail'!F330=0,"",'Cylinder Detail'!F330)</f>
        <v/>
      </c>
      <c r="U328" s="21" t="str">
        <f>IF('Cylinder Detail'!R330=0,"",'Cylinder Detail'!R330)</f>
        <v/>
      </c>
      <c r="V328" s="21" t="str">
        <f>IF('Cylinder Detail'!Q330=0,"",'Cylinder Detail'!Q330)</f>
        <v/>
      </c>
      <c r="W328" s="21" t="str">
        <f>IF('Cylinder Detail'!E330=0,"","+" &amp; 'Cylinder Detail'!E330)</f>
        <v/>
      </c>
      <c r="X328" s="21" t="str">
        <f t="shared" si="86"/>
        <v/>
      </c>
      <c r="Y328" s="21" t="str">
        <f>IF('Cylinder Detail'!S330=0,"",'Cylinder Detail'!S330)</f>
        <v/>
      </c>
      <c r="Z328" s="21" t="str">
        <f>IF('Cylinder Detail'!T330=0,"",'Cylinder Detail'!T330)</f>
        <v/>
      </c>
      <c r="AA328" s="21" t="str">
        <f>IF('Cylinder Detail'!H330=0,"",'Cylinder Detail'!H330)</f>
        <v/>
      </c>
      <c r="AB328" s="21" t="str">
        <f>IF('Cylinder Detail'!I330=0,"",'Cylinder Detail'!I330)</f>
        <v/>
      </c>
      <c r="AC328" s="22" t="str">
        <f>IF('Cylinder Detail'!AB330=0,"",'Cylinder Detail'!AB330)</f>
        <v/>
      </c>
      <c r="AD328" s="25" t="str">
        <f>IF('Sensor Detail'!F330=0,"","=" &amp; 'Sensor Detail'!F330)</f>
        <v/>
      </c>
      <c r="AE328" s="25" t="str">
        <f>IF('Sensor Detail'!H330=0,"",'Sensor Detail'!H330)</f>
        <v/>
      </c>
      <c r="AF328" s="27" t="str">
        <f>IF('Sensor Detail'!G330=0,"","-" &amp; 'Sensor Detail'!G330)</f>
        <v/>
      </c>
      <c r="AG328" s="27" t="str">
        <f>IF('Sensor Detail'!I330=0,"",'Sensor Detail'!I330)</f>
        <v/>
      </c>
      <c r="AH328" s="27" t="str">
        <f>IF('Sensor Detail'!E330=0,"","+" &amp; 'Sensor Detail'!E330)</f>
        <v/>
      </c>
      <c r="AI328" s="27" t="str">
        <f t="shared" si="87"/>
        <v/>
      </c>
      <c r="AJ328" s="27" t="str">
        <f>IF('Sensor Detail'!J330=0,"",'Sensor Detail'!J330)</f>
        <v/>
      </c>
      <c r="AK328" s="27" t="str">
        <f>IF('Sensor Detail'!K330=0,"",'Sensor Detail'!K330)</f>
        <v/>
      </c>
      <c r="AL328" s="27" t="str">
        <f>IF('Sensor Detail'!L330=0,"",'Sensor Detail'!L330)</f>
        <v/>
      </c>
      <c r="AM328" s="27" t="str">
        <f>IF('Sensor Detail'!M330=0,"",'Sensor Detail'!M330)</f>
        <v/>
      </c>
      <c r="AN328" s="27" t="str">
        <f>IF('Sensor Detail'!N330=0,"",'Sensor Detail'!N330)</f>
        <v/>
      </c>
      <c r="AO328" s="27" t="str">
        <f>IF('Sensor Detail'!O330=0,"",'Sensor Detail'!O330)</f>
        <v/>
      </c>
      <c r="AP328" s="15" t="str">
        <f t="shared" si="88"/>
        <v/>
      </c>
      <c r="AQ328" s="15" t="str">
        <f t="shared" si="89"/>
        <v/>
      </c>
    </row>
    <row r="329" spans="1:43">
      <c r="A329" s="13" t="str">
        <f t="shared" si="75"/>
        <v/>
      </c>
      <c r="B329" s="13" t="str">
        <f t="shared" si="76"/>
        <v/>
      </c>
      <c r="C329" s="15" t="str">
        <f t="shared" si="77"/>
        <v/>
      </c>
      <c r="D329" s="15" t="str">
        <f t="shared" si="78"/>
        <v/>
      </c>
      <c r="E329" s="15" t="str">
        <f t="shared" si="79"/>
        <v/>
      </c>
      <c r="F329" s="15" t="str">
        <f t="shared" si="80"/>
        <v/>
      </c>
      <c r="G329" s="15" t="str">
        <f t="shared" si="81"/>
        <v/>
      </c>
      <c r="H329" s="15" t="str">
        <f t="shared" si="82"/>
        <v/>
      </c>
      <c r="I329" s="15" t="str">
        <f t="shared" si="83"/>
        <v/>
      </c>
      <c r="J329" s="15" t="str">
        <f t="shared" si="84"/>
        <v/>
      </c>
      <c r="K329" s="13" t="str">
        <f>IF('Cylinder Detail'!U331=0,"",'Cylinder Detail'!U331)</f>
        <v/>
      </c>
      <c r="L329" s="13" t="str">
        <f>IF('Cylinder Detail'!Z331=0,"",_xlfn.TEXTBEFORE('Cylinder Detail'!Z331, ","))</f>
        <v/>
      </c>
      <c r="M329" s="13" t="str">
        <f t="shared" si="85"/>
        <v/>
      </c>
      <c r="N329" s="17" t="str">
        <f>IF('Cylinder Detail'!V331=0,"",'Cylinder Detail'!V331)</f>
        <v/>
      </c>
      <c r="O329" s="17" t="str">
        <f>IF('Cylinder Detail'!Z331=0,"",_xlfn.TEXTAFTER('Cylinder Detail'!Z331, ", "))</f>
        <v/>
      </c>
      <c r="P329" s="17" t="str">
        <f>IF('Cylinder Detail'!AA331=0,"",'Cylinder Detail'!AA331)</f>
        <v/>
      </c>
      <c r="Q329" s="19" t="str">
        <f>IF('Cylinder Detail'!W331=0,"",'Cylinder Detail'!W331)</f>
        <v/>
      </c>
      <c r="R329" s="19" t="str">
        <f>IF('Cylinder Detail'!Y331=0,"",'Cylinder Detail'!Y331)</f>
        <v/>
      </c>
      <c r="S329" s="21" t="str">
        <f>IF('Cylinder Detail'!X331=0,"",'Cylinder Detail'!X331)</f>
        <v/>
      </c>
      <c r="T329" s="21" t="str">
        <f>IF('Cylinder Detail'!F331=0,"",'Cylinder Detail'!F331)</f>
        <v/>
      </c>
      <c r="U329" s="21" t="str">
        <f>IF('Cylinder Detail'!R331=0,"",'Cylinder Detail'!R331)</f>
        <v/>
      </c>
      <c r="V329" s="21" t="str">
        <f>IF('Cylinder Detail'!Q331=0,"",'Cylinder Detail'!Q331)</f>
        <v/>
      </c>
      <c r="W329" s="21" t="str">
        <f>IF('Cylinder Detail'!E331=0,"","+" &amp; 'Cylinder Detail'!E331)</f>
        <v/>
      </c>
      <c r="X329" s="21" t="str">
        <f t="shared" si="86"/>
        <v/>
      </c>
      <c r="Y329" s="21" t="str">
        <f>IF('Cylinder Detail'!S331=0,"",'Cylinder Detail'!S331)</f>
        <v/>
      </c>
      <c r="Z329" s="21" t="str">
        <f>IF('Cylinder Detail'!T331=0,"",'Cylinder Detail'!T331)</f>
        <v/>
      </c>
      <c r="AA329" s="21" t="str">
        <f>IF('Cylinder Detail'!H331=0,"",'Cylinder Detail'!H331)</f>
        <v/>
      </c>
      <c r="AB329" s="21" t="str">
        <f>IF('Cylinder Detail'!I331=0,"",'Cylinder Detail'!I331)</f>
        <v/>
      </c>
      <c r="AC329" s="22" t="str">
        <f>IF('Cylinder Detail'!AB331=0,"",'Cylinder Detail'!AB331)</f>
        <v/>
      </c>
      <c r="AD329" s="25" t="str">
        <f>IF('Sensor Detail'!F331=0,"","=" &amp; 'Sensor Detail'!F331)</f>
        <v/>
      </c>
      <c r="AE329" s="25" t="str">
        <f>IF('Sensor Detail'!H331=0,"",'Sensor Detail'!H331)</f>
        <v/>
      </c>
      <c r="AF329" s="27" t="str">
        <f>IF('Sensor Detail'!G331=0,"","-" &amp; 'Sensor Detail'!G331)</f>
        <v/>
      </c>
      <c r="AG329" s="27" t="str">
        <f>IF('Sensor Detail'!I331=0,"",'Sensor Detail'!I331)</f>
        <v/>
      </c>
      <c r="AH329" s="27" t="str">
        <f>IF('Sensor Detail'!E331=0,"","+" &amp; 'Sensor Detail'!E331)</f>
        <v/>
      </c>
      <c r="AI329" s="27" t="str">
        <f t="shared" si="87"/>
        <v/>
      </c>
      <c r="AJ329" s="27" t="str">
        <f>IF('Sensor Detail'!J331=0,"",'Sensor Detail'!J331)</f>
        <v/>
      </c>
      <c r="AK329" s="27" t="str">
        <f>IF('Sensor Detail'!K331=0,"",'Sensor Detail'!K331)</f>
        <v/>
      </c>
      <c r="AL329" s="27" t="str">
        <f>IF('Sensor Detail'!L331=0,"",'Sensor Detail'!L331)</f>
        <v/>
      </c>
      <c r="AM329" s="27" t="str">
        <f>IF('Sensor Detail'!M331=0,"",'Sensor Detail'!M331)</f>
        <v/>
      </c>
      <c r="AN329" s="27" t="str">
        <f>IF('Sensor Detail'!N331=0,"",'Sensor Detail'!N331)</f>
        <v/>
      </c>
      <c r="AO329" s="27" t="str">
        <f>IF('Sensor Detail'!O331=0,"",'Sensor Detail'!O331)</f>
        <v/>
      </c>
      <c r="AP329" s="15" t="str">
        <f t="shared" si="88"/>
        <v/>
      </c>
      <c r="AQ329" s="15" t="str">
        <f t="shared" si="89"/>
        <v/>
      </c>
    </row>
    <row r="330" spans="1:43">
      <c r="A330" s="13" t="str">
        <f t="shared" si="75"/>
        <v/>
      </c>
      <c r="B330" s="13" t="str">
        <f t="shared" si="76"/>
        <v/>
      </c>
      <c r="C330" s="15" t="str">
        <f t="shared" si="77"/>
        <v/>
      </c>
      <c r="D330" s="15" t="str">
        <f t="shared" si="78"/>
        <v/>
      </c>
      <c r="E330" s="15" t="str">
        <f t="shared" si="79"/>
        <v/>
      </c>
      <c r="F330" s="15" t="str">
        <f t="shared" si="80"/>
        <v/>
      </c>
      <c r="G330" s="15" t="str">
        <f t="shared" si="81"/>
        <v/>
      </c>
      <c r="H330" s="15" t="str">
        <f t="shared" si="82"/>
        <v/>
      </c>
      <c r="I330" s="15" t="str">
        <f t="shared" si="83"/>
        <v/>
      </c>
      <c r="J330" s="15" t="str">
        <f t="shared" si="84"/>
        <v/>
      </c>
      <c r="K330" s="13" t="str">
        <f>IF('Cylinder Detail'!U332=0,"",'Cylinder Detail'!U332)</f>
        <v/>
      </c>
      <c r="L330" s="13" t="str">
        <f>IF('Cylinder Detail'!Z332=0,"",_xlfn.TEXTBEFORE('Cylinder Detail'!Z332, ","))</f>
        <v/>
      </c>
      <c r="M330" s="13" t="str">
        <f t="shared" si="85"/>
        <v/>
      </c>
      <c r="N330" s="17" t="str">
        <f>IF('Cylinder Detail'!V332=0,"",'Cylinder Detail'!V332)</f>
        <v/>
      </c>
      <c r="O330" s="17" t="str">
        <f>IF('Cylinder Detail'!Z332=0,"",_xlfn.TEXTAFTER('Cylinder Detail'!Z332, ", "))</f>
        <v/>
      </c>
      <c r="P330" s="17" t="str">
        <f>IF('Cylinder Detail'!AA332=0,"",'Cylinder Detail'!AA332)</f>
        <v/>
      </c>
      <c r="Q330" s="19" t="str">
        <f>IF('Cylinder Detail'!W332=0,"",'Cylinder Detail'!W332)</f>
        <v/>
      </c>
      <c r="R330" s="19" t="str">
        <f>IF('Cylinder Detail'!Y332=0,"",'Cylinder Detail'!Y332)</f>
        <v/>
      </c>
      <c r="S330" s="21" t="str">
        <f>IF('Cylinder Detail'!X332=0,"",'Cylinder Detail'!X332)</f>
        <v/>
      </c>
      <c r="T330" s="21" t="str">
        <f>IF('Cylinder Detail'!F332=0,"",'Cylinder Detail'!F332)</f>
        <v/>
      </c>
      <c r="U330" s="21" t="str">
        <f>IF('Cylinder Detail'!R332=0,"",'Cylinder Detail'!R332)</f>
        <v/>
      </c>
      <c r="V330" s="21" t="str">
        <f>IF('Cylinder Detail'!Q332=0,"",'Cylinder Detail'!Q332)</f>
        <v/>
      </c>
      <c r="W330" s="21" t="str">
        <f>IF('Cylinder Detail'!E332=0,"","+" &amp; 'Cylinder Detail'!E332)</f>
        <v/>
      </c>
      <c r="X330" s="21" t="str">
        <f t="shared" si="86"/>
        <v/>
      </c>
      <c r="Y330" s="21" t="str">
        <f>IF('Cylinder Detail'!S332=0,"",'Cylinder Detail'!S332)</f>
        <v/>
      </c>
      <c r="Z330" s="21" t="str">
        <f>IF('Cylinder Detail'!T332=0,"",'Cylinder Detail'!T332)</f>
        <v/>
      </c>
      <c r="AA330" s="21" t="str">
        <f>IF('Cylinder Detail'!H332=0,"",'Cylinder Detail'!H332)</f>
        <v/>
      </c>
      <c r="AB330" s="21" t="str">
        <f>IF('Cylinder Detail'!I332=0,"",'Cylinder Detail'!I332)</f>
        <v/>
      </c>
      <c r="AC330" s="22" t="str">
        <f>IF('Cylinder Detail'!AB332=0,"",'Cylinder Detail'!AB332)</f>
        <v/>
      </c>
      <c r="AD330" s="25" t="str">
        <f>IF('Sensor Detail'!F332=0,"","=" &amp; 'Sensor Detail'!F332)</f>
        <v/>
      </c>
      <c r="AE330" s="25" t="str">
        <f>IF('Sensor Detail'!H332=0,"",'Sensor Detail'!H332)</f>
        <v/>
      </c>
      <c r="AF330" s="27" t="str">
        <f>IF('Sensor Detail'!G332=0,"","-" &amp; 'Sensor Detail'!G332)</f>
        <v/>
      </c>
      <c r="AG330" s="27" t="str">
        <f>IF('Sensor Detail'!I332=0,"",'Sensor Detail'!I332)</f>
        <v/>
      </c>
      <c r="AH330" s="27" t="str">
        <f>IF('Sensor Detail'!E332=0,"","+" &amp; 'Sensor Detail'!E332)</f>
        <v/>
      </c>
      <c r="AI330" s="27" t="str">
        <f t="shared" si="87"/>
        <v/>
      </c>
      <c r="AJ330" s="27" t="str">
        <f>IF('Sensor Detail'!J332=0,"",'Sensor Detail'!J332)</f>
        <v/>
      </c>
      <c r="AK330" s="27" t="str">
        <f>IF('Sensor Detail'!K332=0,"",'Sensor Detail'!K332)</f>
        <v/>
      </c>
      <c r="AL330" s="27" t="str">
        <f>IF('Sensor Detail'!L332=0,"",'Sensor Detail'!L332)</f>
        <v/>
      </c>
      <c r="AM330" s="27" t="str">
        <f>IF('Sensor Detail'!M332=0,"",'Sensor Detail'!M332)</f>
        <v/>
      </c>
      <c r="AN330" s="27" t="str">
        <f>IF('Sensor Detail'!N332=0,"",'Sensor Detail'!N332)</f>
        <v/>
      </c>
      <c r="AO330" s="27" t="str">
        <f>IF('Sensor Detail'!O332=0,"",'Sensor Detail'!O332)</f>
        <v/>
      </c>
      <c r="AP330" s="15" t="str">
        <f t="shared" si="88"/>
        <v/>
      </c>
      <c r="AQ330" s="15" t="str">
        <f t="shared" si="89"/>
        <v/>
      </c>
    </row>
    <row r="331" spans="1:43">
      <c r="A331" s="13" t="str">
        <f t="shared" si="75"/>
        <v/>
      </c>
      <c r="B331" s="13" t="str">
        <f t="shared" si="76"/>
        <v/>
      </c>
      <c r="C331" s="15" t="str">
        <f t="shared" si="77"/>
        <v/>
      </c>
      <c r="D331" s="15" t="str">
        <f t="shared" si="78"/>
        <v/>
      </c>
      <c r="E331" s="15" t="str">
        <f t="shared" si="79"/>
        <v/>
      </c>
      <c r="F331" s="15" t="str">
        <f t="shared" si="80"/>
        <v/>
      </c>
      <c r="G331" s="15" t="str">
        <f t="shared" si="81"/>
        <v/>
      </c>
      <c r="H331" s="15" t="str">
        <f t="shared" si="82"/>
        <v/>
      </c>
      <c r="I331" s="15" t="str">
        <f t="shared" si="83"/>
        <v/>
      </c>
      <c r="J331" s="15" t="str">
        <f t="shared" si="84"/>
        <v/>
      </c>
      <c r="K331" s="13" t="str">
        <f>IF('Cylinder Detail'!U333=0,"",'Cylinder Detail'!U333)</f>
        <v/>
      </c>
      <c r="L331" s="13" t="str">
        <f>IF('Cylinder Detail'!Z333=0,"",_xlfn.TEXTBEFORE('Cylinder Detail'!Z333, ","))</f>
        <v/>
      </c>
      <c r="M331" s="13" t="str">
        <f t="shared" si="85"/>
        <v/>
      </c>
      <c r="N331" s="17" t="str">
        <f>IF('Cylinder Detail'!V333=0,"",'Cylinder Detail'!V333)</f>
        <v/>
      </c>
      <c r="O331" s="17" t="str">
        <f>IF('Cylinder Detail'!Z333=0,"",_xlfn.TEXTAFTER('Cylinder Detail'!Z333, ", "))</f>
        <v/>
      </c>
      <c r="P331" s="17" t="str">
        <f>IF('Cylinder Detail'!AA333=0,"",'Cylinder Detail'!AA333)</f>
        <v/>
      </c>
      <c r="Q331" s="19" t="str">
        <f>IF('Cylinder Detail'!W333=0,"",'Cylinder Detail'!W333)</f>
        <v/>
      </c>
      <c r="R331" s="19" t="str">
        <f>IF('Cylinder Detail'!Y333=0,"",'Cylinder Detail'!Y333)</f>
        <v/>
      </c>
      <c r="S331" s="21" t="str">
        <f>IF('Cylinder Detail'!X333=0,"",'Cylinder Detail'!X333)</f>
        <v/>
      </c>
      <c r="T331" s="21" t="str">
        <f>IF('Cylinder Detail'!F333=0,"",'Cylinder Detail'!F333)</f>
        <v/>
      </c>
      <c r="U331" s="21" t="str">
        <f>IF('Cylinder Detail'!R333=0,"",'Cylinder Detail'!R333)</f>
        <v/>
      </c>
      <c r="V331" s="21" t="str">
        <f>IF('Cylinder Detail'!Q333=0,"",'Cylinder Detail'!Q333)</f>
        <v/>
      </c>
      <c r="W331" s="21" t="str">
        <f>IF('Cylinder Detail'!E333=0,"","+" &amp; 'Cylinder Detail'!E333)</f>
        <v/>
      </c>
      <c r="X331" s="21" t="str">
        <f t="shared" si="86"/>
        <v/>
      </c>
      <c r="Y331" s="21" t="str">
        <f>IF('Cylinder Detail'!S333=0,"",'Cylinder Detail'!S333)</f>
        <v/>
      </c>
      <c r="Z331" s="21" t="str">
        <f>IF('Cylinder Detail'!T333=0,"",'Cylinder Detail'!T333)</f>
        <v/>
      </c>
      <c r="AA331" s="21" t="str">
        <f>IF('Cylinder Detail'!H333=0,"",'Cylinder Detail'!H333)</f>
        <v/>
      </c>
      <c r="AB331" s="21" t="str">
        <f>IF('Cylinder Detail'!I333=0,"",'Cylinder Detail'!I333)</f>
        <v/>
      </c>
      <c r="AC331" s="22" t="str">
        <f>IF('Cylinder Detail'!AB333=0,"",'Cylinder Detail'!AB333)</f>
        <v/>
      </c>
      <c r="AD331" s="25" t="str">
        <f>IF('Sensor Detail'!F333=0,"","=" &amp; 'Sensor Detail'!F333)</f>
        <v/>
      </c>
      <c r="AE331" s="25" t="str">
        <f>IF('Sensor Detail'!H333=0,"",'Sensor Detail'!H333)</f>
        <v/>
      </c>
      <c r="AF331" s="27" t="str">
        <f>IF('Sensor Detail'!G333=0,"","-" &amp; 'Sensor Detail'!G333)</f>
        <v/>
      </c>
      <c r="AG331" s="27" t="str">
        <f>IF('Sensor Detail'!I333=0,"",'Sensor Detail'!I333)</f>
        <v/>
      </c>
      <c r="AH331" s="27" t="str">
        <f>IF('Sensor Detail'!E333=0,"","+" &amp; 'Sensor Detail'!E333)</f>
        <v/>
      </c>
      <c r="AI331" s="27" t="str">
        <f t="shared" si="87"/>
        <v/>
      </c>
      <c r="AJ331" s="27" t="str">
        <f>IF('Sensor Detail'!J333=0,"",'Sensor Detail'!J333)</f>
        <v/>
      </c>
      <c r="AK331" s="27" t="str">
        <f>IF('Sensor Detail'!K333=0,"",'Sensor Detail'!K333)</f>
        <v/>
      </c>
      <c r="AL331" s="27" t="str">
        <f>IF('Sensor Detail'!L333=0,"",'Sensor Detail'!L333)</f>
        <v/>
      </c>
      <c r="AM331" s="27" t="str">
        <f>IF('Sensor Detail'!M333=0,"",'Sensor Detail'!M333)</f>
        <v/>
      </c>
      <c r="AN331" s="27" t="str">
        <f>IF('Sensor Detail'!N333=0,"",'Sensor Detail'!N333)</f>
        <v/>
      </c>
      <c r="AO331" s="27" t="str">
        <f>IF('Sensor Detail'!O333=0,"",'Sensor Detail'!O333)</f>
        <v/>
      </c>
      <c r="AP331" s="15" t="str">
        <f t="shared" si="88"/>
        <v/>
      </c>
      <c r="AQ331" s="15" t="str">
        <f t="shared" si="89"/>
        <v/>
      </c>
    </row>
    <row r="332" spans="1:43">
      <c r="A332" s="13" t="str">
        <f t="shared" si="75"/>
        <v/>
      </c>
      <c r="B332" s="13" t="str">
        <f t="shared" si="76"/>
        <v/>
      </c>
      <c r="C332" s="15" t="str">
        <f t="shared" si="77"/>
        <v/>
      </c>
      <c r="D332" s="15" t="str">
        <f t="shared" si="78"/>
        <v/>
      </c>
      <c r="E332" s="15" t="str">
        <f t="shared" si="79"/>
        <v/>
      </c>
      <c r="F332" s="15" t="str">
        <f t="shared" si="80"/>
        <v/>
      </c>
      <c r="G332" s="15" t="str">
        <f t="shared" si="81"/>
        <v/>
      </c>
      <c r="H332" s="15" t="str">
        <f t="shared" si="82"/>
        <v/>
      </c>
      <c r="I332" s="15" t="str">
        <f t="shared" si="83"/>
        <v/>
      </c>
      <c r="J332" s="15" t="str">
        <f t="shared" si="84"/>
        <v/>
      </c>
      <c r="K332" s="13" t="str">
        <f>IF('Cylinder Detail'!U334=0,"",'Cylinder Detail'!U334)</f>
        <v/>
      </c>
      <c r="L332" s="13" t="str">
        <f>IF('Cylinder Detail'!Z334=0,"",_xlfn.TEXTBEFORE('Cylinder Detail'!Z334, ","))</f>
        <v/>
      </c>
      <c r="M332" s="13" t="str">
        <f t="shared" si="85"/>
        <v/>
      </c>
      <c r="N332" s="17" t="str">
        <f>IF('Cylinder Detail'!V334=0,"",'Cylinder Detail'!V334)</f>
        <v/>
      </c>
      <c r="O332" s="17" t="str">
        <f>IF('Cylinder Detail'!Z334=0,"",_xlfn.TEXTAFTER('Cylinder Detail'!Z334, ", "))</f>
        <v/>
      </c>
      <c r="P332" s="17" t="str">
        <f>IF('Cylinder Detail'!AA334=0,"",'Cylinder Detail'!AA334)</f>
        <v/>
      </c>
      <c r="Q332" s="19" t="str">
        <f>IF('Cylinder Detail'!W334=0,"",'Cylinder Detail'!W334)</f>
        <v/>
      </c>
      <c r="R332" s="19" t="str">
        <f>IF('Cylinder Detail'!Y334=0,"",'Cylinder Detail'!Y334)</f>
        <v/>
      </c>
      <c r="S332" s="21" t="str">
        <f>IF('Cylinder Detail'!X334=0,"",'Cylinder Detail'!X334)</f>
        <v/>
      </c>
      <c r="T332" s="21" t="str">
        <f>IF('Cylinder Detail'!F334=0,"",'Cylinder Detail'!F334)</f>
        <v/>
      </c>
      <c r="U332" s="21" t="str">
        <f>IF('Cylinder Detail'!R334=0,"",'Cylinder Detail'!R334)</f>
        <v/>
      </c>
      <c r="V332" s="21" t="str">
        <f>IF('Cylinder Detail'!Q334=0,"",'Cylinder Detail'!Q334)</f>
        <v/>
      </c>
      <c r="W332" s="21" t="str">
        <f>IF('Cylinder Detail'!E334=0,"","+" &amp; 'Cylinder Detail'!E334)</f>
        <v/>
      </c>
      <c r="X332" s="21" t="str">
        <f t="shared" si="86"/>
        <v/>
      </c>
      <c r="Y332" s="21" t="str">
        <f>IF('Cylinder Detail'!S334=0,"",'Cylinder Detail'!S334)</f>
        <v/>
      </c>
      <c r="Z332" s="21" t="str">
        <f>IF('Cylinder Detail'!T334=0,"",'Cylinder Detail'!T334)</f>
        <v/>
      </c>
      <c r="AA332" s="21" t="str">
        <f>IF('Cylinder Detail'!H334=0,"",'Cylinder Detail'!H334)</f>
        <v/>
      </c>
      <c r="AB332" s="21" t="str">
        <f>IF('Cylinder Detail'!I334=0,"",'Cylinder Detail'!I334)</f>
        <v/>
      </c>
      <c r="AC332" s="22" t="str">
        <f>IF('Cylinder Detail'!AB334=0,"",'Cylinder Detail'!AB334)</f>
        <v/>
      </c>
      <c r="AD332" s="25" t="str">
        <f>IF('Sensor Detail'!F334=0,"","=" &amp; 'Sensor Detail'!F334)</f>
        <v/>
      </c>
      <c r="AE332" s="25" t="str">
        <f>IF('Sensor Detail'!H334=0,"",'Sensor Detail'!H334)</f>
        <v/>
      </c>
      <c r="AF332" s="27" t="str">
        <f>IF('Sensor Detail'!G334=0,"","-" &amp; 'Sensor Detail'!G334)</f>
        <v/>
      </c>
      <c r="AG332" s="27" t="str">
        <f>IF('Sensor Detail'!I334=0,"",'Sensor Detail'!I334)</f>
        <v/>
      </c>
      <c r="AH332" s="27" t="str">
        <f>IF('Sensor Detail'!E334=0,"","+" &amp; 'Sensor Detail'!E334)</f>
        <v/>
      </c>
      <c r="AI332" s="27" t="str">
        <f t="shared" si="87"/>
        <v/>
      </c>
      <c r="AJ332" s="27" t="str">
        <f>IF('Sensor Detail'!J334=0,"",'Sensor Detail'!J334)</f>
        <v/>
      </c>
      <c r="AK332" s="27" t="str">
        <f>IF('Sensor Detail'!K334=0,"",'Sensor Detail'!K334)</f>
        <v/>
      </c>
      <c r="AL332" s="27" t="str">
        <f>IF('Sensor Detail'!L334=0,"",'Sensor Detail'!L334)</f>
        <v/>
      </c>
      <c r="AM332" s="27" t="str">
        <f>IF('Sensor Detail'!M334=0,"",'Sensor Detail'!M334)</f>
        <v/>
      </c>
      <c r="AN332" s="27" t="str">
        <f>IF('Sensor Detail'!N334=0,"",'Sensor Detail'!N334)</f>
        <v/>
      </c>
      <c r="AO332" s="27" t="str">
        <f>IF('Sensor Detail'!O334=0,"",'Sensor Detail'!O334)</f>
        <v/>
      </c>
      <c r="AP332" s="15" t="str">
        <f t="shared" si="88"/>
        <v/>
      </c>
      <c r="AQ332" s="15" t="str">
        <f t="shared" si="89"/>
        <v/>
      </c>
    </row>
    <row r="333" spans="1:43">
      <c r="A333" s="13" t="str">
        <f t="shared" si="75"/>
        <v/>
      </c>
      <c r="B333" s="13" t="str">
        <f t="shared" si="76"/>
        <v/>
      </c>
      <c r="C333" s="15" t="str">
        <f t="shared" si="77"/>
        <v/>
      </c>
      <c r="D333" s="15" t="str">
        <f t="shared" si="78"/>
        <v/>
      </c>
      <c r="E333" s="15" t="str">
        <f t="shared" si="79"/>
        <v/>
      </c>
      <c r="F333" s="15" t="str">
        <f t="shared" si="80"/>
        <v/>
      </c>
      <c r="G333" s="15" t="str">
        <f t="shared" si="81"/>
        <v/>
      </c>
      <c r="H333" s="15" t="str">
        <f t="shared" si="82"/>
        <v/>
      </c>
      <c r="I333" s="15" t="str">
        <f t="shared" si="83"/>
        <v/>
      </c>
      <c r="J333" s="15" t="str">
        <f t="shared" si="84"/>
        <v/>
      </c>
      <c r="K333" s="13" t="str">
        <f>IF('Cylinder Detail'!U335=0,"",'Cylinder Detail'!U335)</f>
        <v/>
      </c>
      <c r="L333" s="13" t="str">
        <f>IF('Cylinder Detail'!Z335=0,"",_xlfn.TEXTBEFORE('Cylinder Detail'!Z335, ","))</f>
        <v/>
      </c>
      <c r="M333" s="13" t="str">
        <f t="shared" si="85"/>
        <v/>
      </c>
      <c r="N333" s="17" t="str">
        <f>IF('Cylinder Detail'!V335=0,"",'Cylinder Detail'!V335)</f>
        <v/>
      </c>
      <c r="O333" s="17" t="str">
        <f>IF('Cylinder Detail'!Z335=0,"",_xlfn.TEXTAFTER('Cylinder Detail'!Z335, ", "))</f>
        <v/>
      </c>
      <c r="P333" s="17" t="str">
        <f>IF('Cylinder Detail'!AA335=0,"",'Cylinder Detail'!AA335)</f>
        <v/>
      </c>
      <c r="Q333" s="19" t="str">
        <f>IF('Cylinder Detail'!W335=0,"",'Cylinder Detail'!W335)</f>
        <v/>
      </c>
      <c r="R333" s="19" t="str">
        <f>IF('Cylinder Detail'!Y335=0,"",'Cylinder Detail'!Y335)</f>
        <v/>
      </c>
      <c r="S333" s="21" t="str">
        <f>IF('Cylinder Detail'!X335=0,"",'Cylinder Detail'!X335)</f>
        <v/>
      </c>
      <c r="T333" s="21" t="str">
        <f>IF('Cylinder Detail'!F335=0,"",'Cylinder Detail'!F335)</f>
        <v/>
      </c>
      <c r="U333" s="21" t="str">
        <f>IF('Cylinder Detail'!R335=0,"",'Cylinder Detail'!R335)</f>
        <v/>
      </c>
      <c r="V333" s="21" t="str">
        <f>IF('Cylinder Detail'!Q335=0,"",'Cylinder Detail'!Q335)</f>
        <v/>
      </c>
      <c r="W333" s="21" t="str">
        <f>IF('Cylinder Detail'!E335=0,"","+" &amp; 'Cylinder Detail'!E335)</f>
        <v/>
      </c>
      <c r="X333" s="21" t="str">
        <f t="shared" si="86"/>
        <v/>
      </c>
      <c r="Y333" s="21" t="str">
        <f>IF('Cylinder Detail'!S335=0,"",'Cylinder Detail'!S335)</f>
        <v/>
      </c>
      <c r="Z333" s="21" t="str">
        <f>IF('Cylinder Detail'!T335=0,"",'Cylinder Detail'!T335)</f>
        <v/>
      </c>
      <c r="AA333" s="21" t="str">
        <f>IF('Cylinder Detail'!H335=0,"",'Cylinder Detail'!H335)</f>
        <v/>
      </c>
      <c r="AB333" s="21" t="str">
        <f>IF('Cylinder Detail'!I335=0,"",'Cylinder Detail'!I335)</f>
        <v/>
      </c>
      <c r="AC333" s="22" t="str">
        <f>IF('Cylinder Detail'!AB335=0,"",'Cylinder Detail'!AB335)</f>
        <v/>
      </c>
      <c r="AD333" s="25" t="str">
        <f>IF('Sensor Detail'!F335=0,"","=" &amp; 'Sensor Detail'!F335)</f>
        <v/>
      </c>
      <c r="AE333" s="25" t="str">
        <f>IF('Sensor Detail'!H335=0,"",'Sensor Detail'!H335)</f>
        <v/>
      </c>
      <c r="AF333" s="27" t="str">
        <f>IF('Sensor Detail'!G335=0,"","-" &amp; 'Sensor Detail'!G335)</f>
        <v/>
      </c>
      <c r="AG333" s="27" t="str">
        <f>IF('Sensor Detail'!I335=0,"",'Sensor Detail'!I335)</f>
        <v/>
      </c>
      <c r="AH333" s="27" t="str">
        <f>IF('Sensor Detail'!E335=0,"","+" &amp; 'Sensor Detail'!E335)</f>
        <v/>
      </c>
      <c r="AI333" s="27" t="str">
        <f t="shared" si="87"/>
        <v/>
      </c>
      <c r="AJ333" s="27" t="str">
        <f>IF('Sensor Detail'!J335=0,"",'Sensor Detail'!J335)</f>
        <v/>
      </c>
      <c r="AK333" s="27" t="str">
        <f>IF('Sensor Detail'!K335=0,"",'Sensor Detail'!K335)</f>
        <v/>
      </c>
      <c r="AL333" s="27" t="str">
        <f>IF('Sensor Detail'!L335=0,"",'Sensor Detail'!L335)</f>
        <v/>
      </c>
      <c r="AM333" s="27" t="str">
        <f>IF('Sensor Detail'!M335=0,"",'Sensor Detail'!M335)</f>
        <v/>
      </c>
      <c r="AN333" s="27" t="str">
        <f>IF('Sensor Detail'!N335=0,"",'Sensor Detail'!N335)</f>
        <v/>
      </c>
      <c r="AO333" s="27" t="str">
        <f>IF('Sensor Detail'!O335=0,"",'Sensor Detail'!O335)</f>
        <v/>
      </c>
      <c r="AP333" s="15" t="str">
        <f t="shared" si="88"/>
        <v/>
      </c>
      <c r="AQ333" s="15" t="str">
        <f t="shared" si="89"/>
        <v/>
      </c>
    </row>
    <row r="334" spans="1:43">
      <c r="A334" s="13" t="str">
        <f t="shared" si="75"/>
        <v/>
      </c>
      <c r="B334" s="13" t="str">
        <f t="shared" si="76"/>
        <v/>
      </c>
      <c r="C334" s="15" t="str">
        <f t="shared" si="77"/>
        <v/>
      </c>
      <c r="D334" s="15" t="str">
        <f t="shared" si="78"/>
        <v/>
      </c>
      <c r="E334" s="15" t="str">
        <f t="shared" si="79"/>
        <v/>
      </c>
      <c r="F334" s="15" t="str">
        <f t="shared" si="80"/>
        <v/>
      </c>
      <c r="G334" s="15" t="str">
        <f t="shared" si="81"/>
        <v/>
      </c>
      <c r="H334" s="15" t="str">
        <f t="shared" si="82"/>
        <v/>
      </c>
      <c r="I334" s="15" t="str">
        <f t="shared" si="83"/>
        <v/>
      </c>
      <c r="J334" s="15" t="str">
        <f t="shared" si="84"/>
        <v/>
      </c>
      <c r="K334" s="13" t="str">
        <f>IF('Cylinder Detail'!U336=0,"",'Cylinder Detail'!U336)</f>
        <v/>
      </c>
      <c r="L334" s="13" t="str">
        <f>IF('Cylinder Detail'!Z336=0,"",_xlfn.TEXTBEFORE('Cylinder Detail'!Z336, ","))</f>
        <v/>
      </c>
      <c r="M334" s="13" t="str">
        <f t="shared" si="85"/>
        <v/>
      </c>
      <c r="N334" s="17" t="str">
        <f>IF('Cylinder Detail'!V336=0,"",'Cylinder Detail'!V336)</f>
        <v/>
      </c>
      <c r="O334" s="17" t="str">
        <f>IF('Cylinder Detail'!Z336=0,"",_xlfn.TEXTAFTER('Cylinder Detail'!Z336, ", "))</f>
        <v/>
      </c>
      <c r="P334" s="17" t="str">
        <f>IF('Cylinder Detail'!AA336=0,"",'Cylinder Detail'!AA336)</f>
        <v/>
      </c>
      <c r="Q334" s="19" t="str">
        <f>IF('Cylinder Detail'!W336=0,"",'Cylinder Detail'!W336)</f>
        <v/>
      </c>
      <c r="R334" s="19" t="str">
        <f>IF('Cylinder Detail'!Y336=0,"",'Cylinder Detail'!Y336)</f>
        <v/>
      </c>
      <c r="S334" s="21" t="str">
        <f>IF('Cylinder Detail'!X336=0,"",'Cylinder Detail'!X336)</f>
        <v/>
      </c>
      <c r="T334" s="21" t="str">
        <f>IF('Cylinder Detail'!F336=0,"",'Cylinder Detail'!F336)</f>
        <v/>
      </c>
      <c r="U334" s="21" t="str">
        <f>IF('Cylinder Detail'!R336=0,"",'Cylinder Detail'!R336)</f>
        <v/>
      </c>
      <c r="V334" s="21" t="str">
        <f>IF('Cylinder Detail'!Q336=0,"",'Cylinder Detail'!Q336)</f>
        <v/>
      </c>
      <c r="W334" s="21" t="str">
        <f>IF('Cylinder Detail'!E336=0,"","+" &amp; 'Cylinder Detail'!E336)</f>
        <v/>
      </c>
      <c r="X334" s="21" t="str">
        <f t="shared" si="86"/>
        <v/>
      </c>
      <c r="Y334" s="21" t="str">
        <f>IF('Cylinder Detail'!S336=0,"",'Cylinder Detail'!S336)</f>
        <v/>
      </c>
      <c r="Z334" s="21" t="str">
        <f>IF('Cylinder Detail'!T336=0,"",'Cylinder Detail'!T336)</f>
        <v/>
      </c>
      <c r="AA334" s="21" t="str">
        <f>IF('Cylinder Detail'!H336=0,"",'Cylinder Detail'!H336)</f>
        <v/>
      </c>
      <c r="AB334" s="21" t="str">
        <f>IF('Cylinder Detail'!I336=0,"",'Cylinder Detail'!I336)</f>
        <v/>
      </c>
      <c r="AC334" s="22" t="str">
        <f>IF('Cylinder Detail'!AB336=0,"",'Cylinder Detail'!AB336)</f>
        <v/>
      </c>
      <c r="AD334" s="25" t="str">
        <f>IF('Sensor Detail'!F336=0,"","=" &amp; 'Sensor Detail'!F336)</f>
        <v/>
      </c>
      <c r="AE334" s="25" t="str">
        <f>IF('Sensor Detail'!H336=0,"",'Sensor Detail'!H336)</f>
        <v/>
      </c>
      <c r="AF334" s="27" t="str">
        <f>IF('Sensor Detail'!G336=0,"","-" &amp; 'Sensor Detail'!G336)</f>
        <v/>
      </c>
      <c r="AG334" s="27" t="str">
        <f>IF('Sensor Detail'!I336=0,"",'Sensor Detail'!I336)</f>
        <v/>
      </c>
      <c r="AH334" s="27" t="str">
        <f>IF('Sensor Detail'!E336=0,"","+" &amp; 'Sensor Detail'!E336)</f>
        <v/>
      </c>
      <c r="AI334" s="27" t="str">
        <f t="shared" si="87"/>
        <v/>
      </c>
      <c r="AJ334" s="27" t="str">
        <f>IF('Sensor Detail'!J336=0,"",'Sensor Detail'!J336)</f>
        <v/>
      </c>
      <c r="AK334" s="27" t="str">
        <f>IF('Sensor Detail'!K336=0,"",'Sensor Detail'!K336)</f>
        <v/>
      </c>
      <c r="AL334" s="27" t="str">
        <f>IF('Sensor Detail'!L336=0,"",'Sensor Detail'!L336)</f>
        <v/>
      </c>
      <c r="AM334" s="27" t="str">
        <f>IF('Sensor Detail'!M336=0,"",'Sensor Detail'!M336)</f>
        <v/>
      </c>
      <c r="AN334" s="27" t="str">
        <f>IF('Sensor Detail'!N336=0,"",'Sensor Detail'!N336)</f>
        <v/>
      </c>
      <c r="AO334" s="27" t="str">
        <f>IF('Sensor Detail'!O336=0,"",'Sensor Detail'!O336)</f>
        <v/>
      </c>
      <c r="AP334" s="15" t="str">
        <f t="shared" si="88"/>
        <v/>
      </c>
      <c r="AQ334" s="15" t="str">
        <f t="shared" si="89"/>
        <v/>
      </c>
    </row>
    <row r="335" spans="1:43">
      <c r="A335" s="13" t="str">
        <f t="shared" si="75"/>
        <v/>
      </c>
      <c r="B335" s="13" t="str">
        <f t="shared" si="76"/>
        <v/>
      </c>
      <c r="C335" s="15" t="str">
        <f t="shared" si="77"/>
        <v/>
      </c>
      <c r="D335" s="15" t="str">
        <f t="shared" si="78"/>
        <v/>
      </c>
      <c r="E335" s="15" t="str">
        <f t="shared" si="79"/>
        <v/>
      </c>
      <c r="F335" s="15" t="str">
        <f t="shared" si="80"/>
        <v/>
      </c>
      <c r="G335" s="15" t="str">
        <f t="shared" si="81"/>
        <v/>
      </c>
      <c r="H335" s="15" t="str">
        <f t="shared" si="82"/>
        <v/>
      </c>
      <c r="I335" s="15" t="str">
        <f t="shared" si="83"/>
        <v/>
      </c>
      <c r="J335" s="15" t="str">
        <f t="shared" si="84"/>
        <v/>
      </c>
      <c r="K335" s="13" t="str">
        <f>IF('Cylinder Detail'!U337=0,"",'Cylinder Detail'!U337)</f>
        <v/>
      </c>
      <c r="L335" s="13" t="str">
        <f>IF('Cylinder Detail'!Z337=0,"",_xlfn.TEXTBEFORE('Cylinder Detail'!Z337, ","))</f>
        <v/>
      </c>
      <c r="M335" s="13" t="str">
        <f t="shared" si="85"/>
        <v/>
      </c>
      <c r="N335" s="17" t="str">
        <f>IF('Cylinder Detail'!V337=0,"",'Cylinder Detail'!V337)</f>
        <v/>
      </c>
      <c r="O335" s="17" t="str">
        <f>IF('Cylinder Detail'!Z337=0,"",_xlfn.TEXTAFTER('Cylinder Detail'!Z337, ", "))</f>
        <v/>
      </c>
      <c r="P335" s="17" t="str">
        <f>IF('Cylinder Detail'!AA337=0,"",'Cylinder Detail'!AA337)</f>
        <v/>
      </c>
      <c r="Q335" s="19" t="str">
        <f>IF('Cylinder Detail'!W337=0,"",'Cylinder Detail'!W337)</f>
        <v/>
      </c>
      <c r="R335" s="19" t="str">
        <f>IF('Cylinder Detail'!Y337=0,"",'Cylinder Detail'!Y337)</f>
        <v/>
      </c>
      <c r="S335" s="21" t="str">
        <f>IF('Cylinder Detail'!X337=0,"",'Cylinder Detail'!X337)</f>
        <v/>
      </c>
      <c r="T335" s="21" t="str">
        <f>IF('Cylinder Detail'!F337=0,"",'Cylinder Detail'!F337)</f>
        <v/>
      </c>
      <c r="U335" s="21" t="str">
        <f>IF('Cylinder Detail'!R337=0,"",'Cylinder Detail'!R337)</f>
        <v/>
      </c>
      <c r="V335" s="21" t="str">
        <f>IF('Cylinder Detail'!Q337=0,"",'Cylinder Detail'!Q337)</f>
        <v/>
      </c>
      <c r="W335" s="21" t="str">
        <f>IF('Cylinder Detail'!E337=0,"","+" &amp; 'Cylinder Detail'!E337)</f>
        <v/>
      </c>
      <c r="X335" s="21" t="str">
        <f t="shared" si="86"/>
        <v/>
      </c>
      <c r="Y335" s="21" t="str">
        <f>IF('Cylinder Detail'!S337=0,"",'Cylinder Detail'!S337)</f>
        <v/>
      </c>
      <c r="Z335" s="21" t="str">
        <f>IF('Cylinder Detail'!T337=0,"",'Cylinder Detail'!T337)</f>
        <v/>
      </c>
      <c r="AA335" s="21" t="str">
        <f>IF('Cylinder Detail'!H337=0,"",'Cylinder Detail'!H337)</f>
        <v/>
      </c>
      <c r="AB335" s="21" t="str">
        <f>IF('Cylinder Detail'!I337=0,"",'Cylinder Detail'!I337)</f>
        <v/>
      </c>
      <c r="AC335" s="22" t="str">
        <f>IF('Cylinder Detail'!AB337=0,"",'Cylinder Detail'!AB337)</f>
        <v/>
      </c>
      <c r="AD335" s="25" t="str">
        <f>IF('Sensor Detail'!F337=0,"","=" &amp; 'Sensor Detail'!F337)</f>
        <v/>
      </c>
      <c r="AE335" s="25" t="str">
        <f>IF('Sensor Detail'!H337=0,"",'Sensor Detail'!H337)</f>
        <v/>
      </c>
      <c r="AF335" s="27" t="str">
        <f>IF('Sensor Detail'!G337=0,"","-" &amp; 'Sensor Detail'!G337)</f>
        <v/>
      </c>
      <c r="AG335" s="27" t="str">
        <f>IF('Sensor Detail'!I337=0,"",'Sensor Detail'!I337)</f>
        <v/>
      </c>
      <c r="AH335" s="27" t="str">
        <f>IF('Sensor Detail'!E337=0,"","+" &amp; 'Sensor Detail'!E337)</f>
        <v/>
      </c>
      <c r="AI335" s="27" t="str">
        <f t="shared" si="87"/>
        <v/>
      </c>
      <c r="AJ335" s="27" t="str">
        <f>IF('Sensor Detail'!J337=0,"",'Sensor Detail'!J337)</f>
        <v/>
      </c>
      <c r="AK335" s="27" t="str">
        <f>IF('Sensor Detail'!K337=0,"",'Sensor Detail'!K337)</f>
        <v/>
      </c>
      <c r="AL335" s="27" t="str">
        <f>IF('Sensor Detail'!L337=0,"",'Sensor Detail'!L337)</f>
        <v/>
      </c>
      <c r="AM335" s="27" t="str">
        <f>IF('Sensor Detail'!M337=0,"",'Sensor Detail'!M337)</f>
        <v/>
      </c>
      <c r="AN335" s="27" t="str">
        <f>IF('Sensor Detail'!N337=0,"",'Sensor Detail'!N337)</f>
        <v/>
      </c>
      <c r="AO335" s="27" t="str">
        <f>IF('Sensor Detail'!O337=0,"",'Sensor Detail'!O337)</f>
        <v/>
      </c>
      <c r="AP335" s="15" t="str">
        <f t="shared" si="88"/>
        <v/>
      </c>
      <c r="AQ335" s="15" t="str">
        <f t="shared" si="89"/>
        <v/>
      </c>
    </row>
    <row r="336" spans="1:43">
      <c r="A336" s="13" t="str">
        <f t="shared" si="75"/>
        <v/>
      </c>
      <c r="B336" s="13" t="str">
        <f t="shared" si="76"/>
        <v/>
      </c>
      <c r="C336" s="15" t="str">
        <f t="shared" si="77"/>
        <v/>
      </c>
      <c r="D336" s="15" t="str">
        <f t="shared" si="78"/>
        <v/>
      </c>
      <c r="E336" s="15" t="str">
        <f t="shared" si="79"/>
        <v/>
      </c>
      <c r="F336" s="15" t="str">
        <f t="shared" si="80"/>
        <v/>
      </c>
      <c r="G336" s="15" t="str">
        <f t="shared" si="81"/>
        <v/>
      </c>
      <c r="H336" s="15" t="str">
        <f t="shared" si="82"/>
        <v/>
      </c>
      <c r="I336" s="15" t="str">
        <f t="shared" si="83"/>
        <v/>
      </c>
      <c r="J336" s="15" t="str">
        <f t="shared" si="84"/>
        <v/>
      </c>
      <c r="K336" s="13" t="str">
        <f>IF('Cylinder Detail'!U338=0,"",'Cylinder Detail'!U338)</f>
        <v/>
      </c>
      <c r="L336" s="13" t="str">
        <f>IF('Cylinder Detail'!Z338=0,"",_xlfn.TEXTBEFORE('Cylinder Detail'!Z338, ","))</f>
        <v/>
      </c>
      <c r="M336" s="13" t="str">
        <f t="shared" si="85"/>
        <v/>
      </c>
      <c r="N336" s="17" t="str">
        <f>IF('Cylinder Detail'!V338=0,"",'Cylinder Detail'!V338)</f>
        <v/>
      </c>
      <c r="O336" s="17" t="str">
        <f>IF('Cylinder Detail'!Z338=0,"",_xlfn.TEXTAFTER('Cylinder Detail'!Z338, ", "))</f>
        <v/>
      </c>
      <c r="P336" s="17" t="str">
        <f>IF('Cylinder Detail'!AA338=0,"",'Cylinder Detail'!AA338)</f>
        <v/>
      </c>
      <c r="Q336" s="19" t="str">
        <f>IF('Cylinder Detail'!W338=0,"",'Cylinder Detail'!W338)</f>
        <v/>
      </c>
      <c r="R336" s="19" t="str">
        <f>IF('Cylinder Detail'!Y338=0,"",'Cylinder Detail'!Y338)</f>
        <v/>
      </c>
      <c r="S336" s="21" t="str">
        <f>IF('Cylinder Detail'!X338=0,"",'Cylinder Detail'!X338)</f>
        <v/>
      </c>
      <c r="T336" s="21" t="str">
        <f>IF('Cylinder Detail'!F338=0,"",'Cylinder Detail'!F338)</f>
        <v/>
      </c>
      <c r="U336" s="21" t="str">
        <f>IF('Cylinder Detail'!R338=0,"",'Cylinder Detail'!R338)</f>
        <v/>
      </c>
      <c r="V336" s="21" t="str">
        <f>IF('Cylinder Detail'!Q338=0,"",'Cylinder Detail'!Q338)</f>
        <v/>
      </c>
      <c r="W336" s="21" t="str">
        <f>IF('Cylinder Detail'!E338=0,"","+" &amp; 'Cylinder Detail'!E338)</f>
        <v/>
      </c>
      <c r="X336" s="21" t="str">
        <f t="shared" si="86"/>
        <v/>
      </c>
      <c r="Y336" s="21" t="str">
        <f>IF('Cylinder Detail'!S338=0,"",'Cylinder Detail'!S338)</f>
        <v/>
      </c>
      <c r="Z336" s="21" t="str">
        <f>IF('Cylinder Detail'!T338=0,"",'Cylinder Detail'!T338)</f>
        <v/>
      </c>
      <c r="AA336" s="21" t="str">
        <f>IF('Cylinder Detail'!H338=0,"",'Cylinder Detail'!H338)</f>
        <v/>
      </c>
      <c r="AB336" s="21" t="str">
        <f>IF('Cylinder Detail'!I338=0,"",'Cylinder Detail'!I338)</f>
        <v/>
      </c>
      <c r="AC336" s="22" t="str">
        <f>IF('Cylinder Detail'!AB338=0,"",'Cylinder Detail'!AB338)</f>
        <v/>
      </c>
      <c r="AD336" s="25" t="str">
        <f>IF('Sensor Detail'!F338=0,"","=" &amp; 'Sensor Detail'!F338)</f>
        <v/>
      </c>
      <c r="AE336" s="25" t="str">
        <f>IF('Sensor Detail'!H338=0,"",'Sensor Detail'!H338)</f>
        <v/>
      </c>
      <c r="AF336" s="27" t="str">
        <f>IF('Sensor Detail'!G338=0,"","-" &amp; 'Sensor Detail'!G338)</f>
        <v/>
      </c>
      <c r="AG336" s="27" t="str">
        <f>IF('Sensor Detail'!I338=0,"",'Sensor Detail'!I338)</f>
        <v/>
      </c>
      <c r="AH336" s="27" t="str">
        <f>IF('Sensor Detail'!E338=0,"","+" &amp; 'Sensor Detail'!E338)</f>
        <v/>
      </c>
      <c r="AI336" s="27" t="str">
        <f t="shared" si="87"/>
        <v/>
      </c>
      <c r="AJ336" s="27" t="str">
        <f>IF('Sensor Detail'!J338=0,"",'Sensor Detail'!J338)</f>
        <v/>
      </c>
      <c r="AK336" s="27" t="str">
        <f>IF('Sensor Detail'!K338=0,"",'Sensor Detail'!K338)</f>
        <v/>
      </c>
      <c r="AL336" s="27" t="str">
        <f>IF('Sensor Detail'!L338=0,"",'Sensor Detail'!L338)</f>
        <v/>
      </c>
      <c r="AM336" s="27" t="str">
        <f>IF('Sensor Detail'!M338=0,"",'Sensor Detail'!M338)</f>
        <v/>
      </c>
      <c r="AN336" s="27" t="str">
        <f>IF('Sensor Detail'!N338=0,"",'Sensor Detail'!N338)</f>
        <v/>
      </c>
      <c r="AO336" s="27" t="str">
        <f>IF('Sensor Detail'!O338=0,"",'Sensor Detail'!O338)</f>
        <v/>
      </c>
      <c r="AP336" s="15" t="str">
        <f t="shared" si="88"/>
        <v/>
      </c>
      <c r="AQ336" s="15" t="str">
        <f t="shared" si="89"/>
        <v/>
      </c>
    </row>
    <row r="337" spans="1:43">
      <c r="A337" s="13" t="str">
        <f t="shared" si="75"/>
        <v/>
      </c>
      <c r="B337" s="13" t="str">
        <f t="shared" si="76"/>
        <v/>
      </c>
      <c r="C337" s="15" t="str">
        <f t="shared" si="77"/>
        <v/>
      </c>
      <c r="D337" s="15" t="str">
        <f t="shared" si="78"/>
        <v/>
      </c>
      <c r="E337" s="15" t="str">
        <f t="shared" si="79"/>
        <v/>
      </c>
      <c r="F337" s="15" t="str">
        <f t="shared" si="80"/>
        <v/>
      </c>
      <c r="G337" s="15" t="str">
        <f t="shared" si="81"/>
        <v/>
      </c>
      <c r="H337" s="15" t="str">
        <f t="shared" si="82"/>
        <v/>
      </c>
      <c r="I337" s="15" t="str">
        <f t="shared" si="83"/>
        <v/>
      </c>
      <c r="J337" s="15" t="str">
        <f t="shared" si="84"/>
        <v/>
      </c>
      <c r="K337" s="13" t="str">
        <f>IF('Cylinder Detail'!U339=0,"",'Cylinder Detail'!U339)</f>
        <v/>
      </c>
      <c r="L337" s="13" t="str">
        <f>IF('Cylinder Detail'!Z339=0,"",_xlfn.TEXTBEFORE('Cylinder Detail'!Z339, ","))</f>
        <v/>
      </c>
      <c r="M337" s="13" t="str">
        <f t="shared" si="85"/>
        <v/>
      </c>
      <c r="N337" s="17" t="str">
        <f>IF('Cylinder Detail'!V339=0,"",'Cylinder Detail'!V339)</f>
        <v/>
      </c>
      <c r="O337" s="17" t="str">
        <f>IF('Cylinder Detail'!Z339=0,"",_xlfn.TEXTAFTER('Cylinder Detail'!Z339, ", "))</f>
        <v/>
      </c>
      <c r="P337" s="17" t="str">
        <f>IF('Cylinder Detail'!AA339=0,"",'Cylinder Detail'!AA339)</f>
        <v/>
      </c>
      <c r="Q337" s="19" t="str">
        <f>IF('Cylinder Detail'!W339=0,"",'Cylinder Detail'!W339)</f>
        <v/>
      </c>
      <c r="R337" s="19" t="str">
        <f>IF('Cylinder Detail'!Y339=0,"",'Cylinder Detail'!Y339)</f>
        <v/>
      </c>
      <c r="S337" s="21" t="str">
        <f>IF('Cylinder Detail'!X339=0,"",'Cylinder Detail'!X339)</f>
        <v/>
      </c>
      <c r="T337" s="21" t="str">
        <f>IF('Cylinder Detail'!F339=0,"",'Cylinder Detail'!F339)</f>
        <v/>
      </c>
      <c r="U337" s="21" t="str">
        <f>IF('Cylinder Detail'!R339=0,"",'Cylinder Detail'!R339)</f>
        <v/>
      </c>
      <c r="V337" s="21" t="str">
        <f>IF('Cylinder Detail'!Q339=0,"",'Cylinder Detail'!Q339)</f>
        <v/>
      </c>
      <c r="W337" s="21" t="str">
        <f>IF('Cylinder Detail'!E339=0,"","+" &amp; 'Cylinder Detail'!E339)</f>
        <v/>
      </c>
      <c r="X337" s="21" t="str">
        <f t="shared" si="86"/>
        <v/>
      </c>
      <c r="Y337" s="21" t="str">
        <f>IF('Cylinder Detail'!S339=0,"",'Cylinder Detail'!S339)</f>
        <v/>
      </c>
      <c r="Z337" s="21" t="str">
        <f>IF('Cylinder Detail'!T339=0,"",'Cylinder Detail'!T339)</f>
        <v/>
      </c>
      <c r="AA337" s="21" t="str">
        <f>IF('Cylinder Detail'!H339=0,"",'Cylinder Detail'!H339)</f>
        <v/>
      </c>
      <c r="AB337" s="21" t="str">
        <f>IF('Cylinder Detail'!I339=0,"",'Cylinder Detail'!I339)</f>
        <v/>
      </c>
      <c r="AC337" s="22" t="str">
        <f>IF('Cylinder Detail'!AB339=0,"",'Cylinder Detail'!AB339)</f>
        <v/>
      </c>
      <c r="AD337" s="25" t="str">
        <f>IF('Sensor Detail'!F339=0,"","=" &amp; 'Sensor Detail'!F339)</f>
        <v/>
      </c>
      <c r="AE337" s="25" t="str">
        <f>IF('Sensor Detail'!H339=0,"",'Sensor Detail'!H339)</f>
        <v/>
      </c>
      <c r="AF337" s="27" t="str">
        <f>IF('Sensor Detail'!G339=0,"","-" &amp; 'Sensor Detail'!G339)</f>
        <v/>
      </c>
      <c r="AG337" s="27" t="str">
        <f>IF('Sensor Detail'!I339=0,"",'Sensor Detail'!I339)</f>
        <v/>
      </c>
      <c r="AH337" s="27" t="str">
        <f>IF('Sensor Detail'!E339=0,"","+" &amp; 'Sensor Detail'!E339)</f>
        <v/>
      </c>
      <c r="AI337" s="27" t="str">
        <f t="shared" si="87"/>
        <v/>
      </c>
      <c r="AJ337" s="27" t="str">
        <f>IF('Sensor Detail'!J339=0,"",'Sensor Detail'!J339)</f>
        <v/>
      </c>
      <c r="AK337" s="27" t="str">
        <f>IF('Sensor Detail'!K339=0,"",'Sensor Detail'!K339)</f>
        <v/>
      </c>
      <c r="AL337" s="27" t="str">
        <f>IF('Sensor Detail'!L339=0,"",'Sensor Detail'!L339)</f>
        <v/>
      </c>
      <c r="AM337" s="27" t="str">
        <f>IF('Sensor Detail'!M339=0,"",'Sensor Detail'!M339)</f>
        <v/>
      </c>
      <c r="AN337" s="27" t="str">
        <f>IF('Sensor Detail'!N339=0,"",'Sensor Detail'!N339)</f>
        <v/>
      </c>
      <c r="AO337" s="27" t="str">
        <f>IF('Sensor Detail'!O339=0,"",'Sensor Detail'!O339)</f>
        <v/>
      </c>
      <c r="AP337" s="15" t="str">
        <f t="shared" si="88"/>
        <v/>
      </c>
      <c r="AQ337" s="15" t="str">
        <f t="shared" si="89"/>
        <v/>
      </c>
    </row>
    <row r="338" spans="1:43">
      <c r="A338" s="13" t="str">
        <f t="shared" si="75"/>
        <v/>
      </c>
      <c r="B338" s="13" t="str">
        <f t="shared" si="76"/>
        <v/>
      </c>
      <c r="C338" s="15" t="str">
        <f t="shared" si="77"/>
        <v/>
      </c>
      <c r="D338" s="15" t="str">
        <f t="shared" si="78"/>
        <v/>
      </c>
      <c r="E338" s="15" t="str">
        <f t="shared" si="79"/>
        <v/>
      </c>
      <c r="F338" s="15" t="str">
        <f t="shared" si="80"/>
        <v/>
      </c>
      <c r="G338" s="15" t="str">
        <f t="shared" si="81"/>
        <v/>
      </c>
      <c r="H338" s="15" t="str">
        <f t="shared" si="82"/>
        <v/>
      </c>
      <c r="I338" s="15" t="str">
        <f t="shared" si="83"/>
        <v/>
      </c>
      <c r="J338" s="15" t="str">
        <f t="shared" si="84"/>
        <v/>
      </c>
      <c r="K338" s="13" t="str">
        <f>IF('Cylinder Detail'!U340=0,"",'Cylinder Detail'!U340)</f>
        <v/>
      </c>
      <c r="L338" s="13" t="str">
        <f>IF('Cylinder Detail'!Z340=0,"",_xlfn.TEXTBEFORE('Cylinder Detail'!Z340, ","))</f>
        <v/>
      </c>
      <c r="M338" s="13" t="str">
        <f t="shared" si="85"/>
        <v/>
      </c>
      <c r="N338" s="17" t="str">
        <f>IF('Cylinder Detail'!V340=0,"",'Cylinder Detail'!V340)</f>
        <v/>
      </c>
      <c r="O338" s="17" t="str">
        <f>IF('Cylinder Detail'!Z340=0,"",_xlfn.TEXTAFTER('Cylinder Detail'!Z340, ", "))</f>
        <v/>
      </c>
      <c r="P338" s="17" t="str">
        <f>IF('Cylinder Detail'!AA340=0,"",'Cylinder Detail'!AA340)</f>
        <v/>
      </c>
      <c r="Q338" s="19" t="str">
        <f>IF('Cylinder Detail'!W340=0,"",'Cylinder Detail'!W340)</f>
        <v/>
      </c>
      <c r="R338" s="19" t="str">
        <f>IF('Cylinder Detail'!Y340=0,"",'Cylinder Detail'!Y340)</f>
        <v/>
      </c>
      <c r="S338" s="21" t="str">
        <f>IF('Cylinder Detail'!X340=0,"",'Cylinder Detail'!X340)</f>
        <v/>
      </c>
      <c r="T338" s="21" t="str">
        <f>IF('Cylinder Detail'!F340=0,"",'Cylinder Detail'!F340)</f>
        <v/>
      </c>
      <c r="U338" s="21" t="str">
        <f>IF('Cylinder Detail'!R340=0,"",'Cylinder Detail'!R340)</f>
        <v/>
      </c>
      <c r="V338" s="21" t="str">
        <f>IF('Cylinder Detail'!Q340=0,"",'Cylinder Detail'!Q340)</f>
        <v/>
      </c>
      <c r="W338" s="21" t="str">
        <f>IF('Cylinder Detail'!E340=0,"","+" &amp; 'Cylinder Detail'!E340)</f>
        <v/>
      </c>
      <c r="X338" s="21" t="str">
        <f t="shared" si="86"/>
        <v/>
      </c>
      <c r="Y338" s="21" t="str">
        <f>IF('Cylinder Detail'!S340=0,"",'Cylinder Detail'!S340)</f>
        <v/>
      </c>
      <c r="Z338" s="21" t="str">
        <f>IF('Cylinder Detail'!T340=0,"",'Cylinder Detail'!T340)</f>
        <v/>
      </c>
      <c r="AA338" s="21" t="str">
        <f>IF('Cylinder Detail'!H340=0,"",'Cylinder Detail'!H340)</f>
        <v/>
      </c>
      <c r="AB338" s="21" t="str">
        <f>IF('Cylinder Detail'!I340=0,"",'Cylinder Detail'!I340)</f>
        <v/>
      </c>
      <c r="AC338" s="22" t="str">
        <f>IF('Cylinder Detail'!AB340=0,"",'Cylinder Detail'!AB340)</f>
        <v/>
      </c>
      <c r="AD338" s="25" t="str">
        <f>IF('Sensor Detail'!F340=0,"","=" &amp; 'Sensor Detail'!F340)</f>
        <v/>
      </c>
      <c r="AE338" s="25" t="str">
        <f>IF('Sensor Detail'!H340=0,"",'Sensor Detail'!H340)</f>
        <v/>
      </c>
      <c r="AF338" s="27" t="str">
        <f>IF('Sensor Detail'!G340=0,"","-" &amp; 'Sensor Detail'!G340)</f>
        <v/>
      </c>
      <c r="AG338" s="27" t="str">
        <f>IF('Sensor Detail'!I340=0,"",'Sensor Detail'!I340)</f>
        <v/>
      </c>
      <c r="AH338" s="27" t="str">
        <f>IF('Sensor Detail'!E340=0,"","+" &amp; 'Sensor Detail'!E340)</f>
        <v/>
      </c>
      <c r="AI338" s="27" t="str">
        <f t="shared" si="87"/>
        <v/>
      </c>
      <c r="AJ338" s="27" t="str">
        <f>IF('Sensor Detail'!J340=0,"",'Sensor Detail'!J340)</f>
        <v/>
      </c>
      <c r="AK338" s="27" t="str">
        <f>IF('Sensor Detail'!K340=0,"",'Sensor Detail'!K340)</f>
        <v/>
      </c>
      <c r="AL338" s="27" t="str">
        <f>IF('Sensor Detail'!L340=0,"",'Sensor Detail'!L340)</f>
        <v/>
      </c>
      <c r="AM338" s="27" t="str">
        <f>IF('Sensor Detail'!M340=0,"",'Sensor Detail'!M340)</f>
        <v/>
      </c>
      <c r="AN338" s="27" t="str">
        <f>IF('Sensor Detail'!N340=0,"",'Sensor Detail'!N340)</f>
        <v/>
      </c>
      <c r="AO338" s="27" t="str">
        <f>IF('Sensor Detail'!O340=0,"",'Sensor Detail'!O340)</f>
        <v/>
      </c>
      <c r="AP338" s="15" t="str">
        <f t="shared" si="88"/>
        <v/>
      </c>
      <c r="AQ338" s="15" t="str">
        <f t="shared" si="89"/>
        <v/>
      </c>
    </row>
    <row r="339" spans="1:43">
      <c r="A339" s="13" t="str">
        <f t="shared" si="75"/>
        <v/>
      </c>
      <c r="B339" s="13" t="str">
        <f t="shared" si="76"/>
        <v/>
      </c>
      <c r="C339" s="15" t="str">
        <f t="shared" si="77"/>
        <v/>
      </c>
      <c r="D339" s="15" t="str">
        <f t="shared" si="78"/>
        <v/>
      </c>
      <c r="E339" s="15" t="str">
        <f t="shared" si="79"/>
        <v/>
      </c>
      <c r="F339" s="15" t="str">
        <f t="shared" si="80"/>
        <v/>
      </c>
      <c r="G339" s="15" t="str">
        <f t="shared" si="81"/>
        <v/>
      </c>
      <c r="H339" s="15" t="str">
        <f t="shared" si="82"/>
        <v/>
      </c>
      <c r="I339" s="15" t="str">
        <f t="shared" si="83"/>
        <v/>
      </c>
      <c r="J339" s="15" t="str">
        <f t="shared" si="84"/>
        <v/>
      </c>
      <c r="K339" s="13" t="str">
        <f>IF('Cylinder Detail'!U341=0,"",'Cylinder Detail'!U341)</f>
        <v/>
      </c>
      <c r="L339" s="13" t="str">
        <f>IF('Cylinder Detail'!Z341=0,"",_xlfn.TEXTBEFORE('Cylinder Detail'!Z341, ","))</f>
        <v/>
      </c>
      <c r="M339" s="13" t="str">
        <f t="shared" si="85"/>
        <v/>
      </c>
      <c r="N339" s="17" t="str">
        <f>IF('Cylinder Detail'!V341=0,"",'Cylinder Detail'!V341)</f>
        <v/>
      </c>
      <c r="O339" s="17" t="str">
        <f>IF('Cylinder Detail'!Z341=0,"",_xlfn.TEXTAFTER('Cylinder Detail'!Z341, ", "))</f>
        <v/>
      </c>
      <c r="P339" s="17" t="str">
        <f>IF('Cylinder Detail'!AA341=0,"",'Cylinder Detail'!AA341)</f>
        <v/>
      </c>
      <c r="Q339" s="19" t="str">
        <f>IF('Cylinder Detail'!W341=0,"",'Cylinder Detail'!W341)</f>
        <v/>
      </c>
      <c r="R339" s="19" t="str">
        <f>IF('Cylinder Detail'!Y341=0,"",'Cylinder Detail'!Y341)</f>
        <v/>
      </c>
      <c r="S339" s="21" t="str">
        <f>IF('Cylinder Detail'!X341=0,"",'Cylinder Detail'!X341)</f>
        <v/>
      </c>
      <c r="T339" s="21" t="str">
        <f>IF('Cylinder Detail'!F341=0,"",'Cylinder Detail'!F341)</f>
        <v/>
      </c>
      <c r="U339" s="21" t="str">
        <f>IF('Cylinder Detail'!R341=0,"",'Cylinder Detail'!R341)</f>
        <v/>
      </c>
      <c r="V339" s="21" t="str">
        <f>IF('Cylinder Detail'!Q341=0,"",'Cylinder Detail'!Q341)</f>
        <v/>
      </c>
      <c r="W339" s="21" t="str">
        <f>IF('Cylinder Detail'!E341=0,"","+" &amp; 'Cylinder Detail'!E341)</f>
        <v/>
      </c>
      <c r="X339" s="21" t="str">
        <f t="shared" si="86"/>
        <v/>
      </c>
      <c r="Y339" s="21" t="str">
        <f>IF('Cylinder Detail'!S341=0,"",'Cylinder Detail'!S341)</f>
        <v/>
      </c>
      <c r="Z339" s="21" t="str">
        <f>IF('Cylinder Detail'!T341=0,"",'Cylinder Detail'!T341)</f>
        <v/>
      </c>
      <c r="AA339" s="21" t="str">
        <f>IF('Cylinder Detail'!H341=0,"",'Cylinder Detail'!H341)</f>
        <v/>
      </c>
      <c r="AB339" s="21" t="str">
        <f>IF('Cylinder Detail'!I341=0,"",'Cylinder Detail'!I341)</f>
        <v/>
      </c>
      <c r="AC339" s="22" t="str">
        <f>IF('Cylinder Detail'!AB341=0,"",'Cylinder Detail'!AB341)</f>
        <v/>
      </c>
      <c r="AD339" s="25" t="str">
        <f>IF('Sensor Detail'!F341=0,"","=" &amp; 'Sensor Detail'!F341)</f>
        <v/>
      </c>
      <c r="AE339" s="25" t="str">
        <f>IF('Sensor Detail'!H341=0,"",'Sensor Detail'!H341)</f>
        <v/>
      </c>
      <c r="AF339" s="27" t="str">
        <f>IF('Sensor Detail'!G341=0,"","-" &amp; 'Sensor Detail'!G341)</f>
        <v/>
      </c>
      <c r="AG339" s="27" t="str">
        <f>IF('Sensor Detail'!I341=0,"",'Sensor Detail'!I341)</f>
        <v/>
      </c>
      <c r="AH339" s="27" t="str">
        <f>IF('Sensor Detail'!E341=0,"","+" &amp; 'Sensor Detail'!E341)</f>
        <v/>
      </c>
      <c r="AI339" s="27" t="str">
        <f t="shared" si="87"/>
        <v/>
      </c>
      <c r="AJ339" s="27" t="str">
        <f>IF('Sensor Detail'!J341=0,"",'Sensor Detail'!J341)</f>
        <v/>
      </c>
      <c r="AK339" s="27" t="str">
        <f>IF('Sensor Detail'!K341=0,"",'Sensor Detail'!K341)</f>
        <v/>
      </c>
      <c r="AL339" s="27" t="str">
        <f>IF('Sensor Detail'!L341=0,"",'Sensor Detail'!L341)</f>
        <v/>
      </c>
      <c r="AM339" s="27" t="str">
        <f>IF('Sensor Detail'!M341=0,"",'Sensor Detail'!M341)</f>
        <v/>
      </c>
      <c r="AN339" s="27" t="str">
        <f>IF('Sensor Detail'!N341=0,"",'Sensor Detail'!N341)</f>
        <v/>
      </c>
      <c r="AO339" s="27" t="str">
        <f>IF('Sensor Detail'!O341=0,"",'Sensor Detail'!O341)</f>
        <v/>
      </c>
      <c r="AP339" s="15" t="str">
        <f t="shared" si="88"/>
        <v/>
      </c>
      <c r="AQ339" s="15" t="str">
        <f t="shared" si="89"/>
        <v/>
      </c>
    </row>
    <row r="340" spans="1:43">
      <c r="A340" s="13" t="str">
        <f t="shared" si="75"/>
        <v/>
      </c>
      <c r="B340" s="13" t="str">
        <f t="shared" si="76"/>
        <v/>
      </c>
      <c r="C340" s="15" t="str">
        <f t="shared" si="77"/>
        <v/>
      </c>
      <c r="D340" s="15" t="str">
        <f t="shared" si="78"/>
        <v/>
      </c>
      <c r="E340" s="15" t="str">
        <f t="shared" si="79"/>
        <v/>
      </c>
      <c r="F340" s="15" t="str">
        <f t="shared" si="80"/>
        <v/>
      </c>
      <c r="G340" s="15" t="str">
        <f t="shared" si="81"/>
        <v/>
      </c>
      <c r="H340" s="15" t="str">
        <f t="shared" si="82"/>
        <v/>
      </c>
      <c r="I340" s="15" t="str">
        <f t="shared" si="83"/>
        <v/>
      </c>
      <c r="J340" s="15" t="str">
        <f t="shared" si="84"/>
        <v/>
      </c>
      <c r="K340" s="13" t="str">
        <f>IF('Cylinder Detail'!U342=0,"",'Cylinder Detail'!U342)</f>
        <v/>
      </c>
      <c r="L340" s="13" t="str">
        <f>IF('Cylinder Detail'!Z342=0,"",_xlfn.TEXTBEFORE('Cylinder Detail'!Z342, ","))</f>
        <v/>
      </c>
      <c r="M340" s="13" t="str">
        <f t="shared" si="85"/>
        <v/>
      </c>
      <c r="N340" s="17" t="str">
        <f>IF('Cylinder Detail'!V342=0,"",'Cylinder Detail'!V342)</f>
        <v/>
      </c>
      <c r="O340" s="17" t="str">
        <f>IF('Cylinder Detail'!Z342=0,"",_xlfn.TEXTAFTER('Cylinder Detail'!Z342, ", "))</f>
        <v/>
      </c>
      <c r="P340" s="17" t="str">
        <f>IF('Cylinder Detail'!AA342=0,"",'Cylinder Detail'!AA342)</f>
        <v/>
      </c>
      <c r="Q340" s="19" t="str">
        <f>IF('Cylinder Detail'!W342=0,"",'Cylinder Detail'!W342)</f>
        <v/>
      </c>
      <c r="R340" s="19" t="str">
        <f>IF('Cylinder Detail'!Y342=0,"",'Cylinder Detail'!Y342)</f>
        <v/>
      </c>
      <c r="S340" s="21" t="str">
        <f>IF('Cylinder Detail'!X342=0,"",'Cylinder Detail'!X342)</f>
        <v/>
      </c>
      <c r="T340" s="21" t="str">
        <f>IF('Cylinder Detail'!F342=0,"",'Cylinder Detail'!F342)</f>
        <v/>
      </c>
      <c r="U340" s="21" t="str">
        <f>IF('Cylinder Detail'!R342=0,"",'Cylinder Detail'!R342)</f>
        <v/>
      </c>
      <c r="V340" s="21" t="str">
        <f>IF('Cylinder Detail'!Q342=0,"",'Cylinder Detail'!Q342)</f>
        <v/>
      </c>
      <c r="W340" s="21" t="str">
        <f>IF('Cylinder Detail'!E342=0,"","+" &amp; 'Cylinder Detail'!E342)</f>
        <v/>
      </c>
      <c r="X340" s="21" t="str">
        <f t="shared" si="86"/>
        <v/>
      </c>
      <c r="Y340" s="21" t="str">
        <f>IF('Cylinder Detail'!S342=0,"",'Cylinder Detail'!S342)</f>
        <v/>
      </c>
      <c r="Z340" s="21" t="str">
        <f>IF('Cylinder Detail'!T342=0,"",'Cylinder Detail'!T342)</f>
        <v/>
      </c>
      <c r="AA340" s="21" t="str">
        <f>IF('Cylinder Detail'!H342=0,"",'Cylinder Detail'!H342)</f>
        <v/>
      </c>
      <c r="AB340" s="21" t="str">
        <f>IF('Cylinder Detail'!I342=0,"",'Cylinder Detail'!I342)</f>
        <v/>
      </c>
      <c r="AC340" s="22" t="str">
        <f>IF('Cylinder Detail'!AB342=0,"",'Cylinder Detail'!AB342)</f>
        <v/>
      </c>
      <c r="AD340" s="25" t="str">
        <f>IF('Sensor Detail'!F342=0,"","=" &amp; 'Sensor Detail'!F342)</f>
        <v/>
      </c>
      <c r="AE340" s="25" t="str">
        <f>IF('Sensor Detail'!H342=0,"",'Sensor Detail'!H342)</f>
        <v/>
      </c>
      <c r="AF340" s="27" t="str">
        <f>IF('Sensor Detail'!G342=0,"","-" &amp; 'Sensor Detail'!G342)</f>
        <v/>
      </c>
      <c r="AG340" s="27" t="str">
        <f>IF('Sensor Detail'!I342=0,"",'Sensor Detail'!I342)</f>
        <v/>
      </c>
      <c r="AH340" s="27" t="str">
        <f>IF('Sensor Detail'!E342=0,"","+" &amp; 'Sensor Detail'!E342)</f>
        <v/>
      </c>
      <c r="AI340" s="27" t="str">
        <f t="shared" si="87"/>
        <v/>
      </c>
      <c r="AJ340" s="27" t="str">
        <f>IF('Sensor Detail'!J342=0,"",'Sensor Detail'!J342)</f>
        <v/>
      </c>
      <c r="AK340" s="27" t="str">
        <f>IF('Sensor Detail'!K342=0,"",'Sensor Detail'!K342)</f>
        <v/>
      </c>
      <c r="AL340" s="27" t="str">
        <f>IF('Sensor Detail'!L342=0,"",'Sensor Detail'!L342)</f>
        <v/>
      </c>
      <c r="AM340" s="27" t="str">
        <f>IF('Sensor Detail'!M342=0,"",'Sensor Detail'!M342)</f>
        <v/>
      </c>
      <c r="AN340" s="27" t="str">
        <f>IF('Sensor Detail'!N342=0,"",'Sensor Detail'!N342)</f>
        <v/>
      </c>
      <c r="AO340" s="27" t="str">
        <f>IF('Sensor Detail'!O342=0,"",'Sensor Detail'!O342)</f>
        <v/>
      </c>
      <c r="AP340" s="15" t="str">
        <f t="shared" si="88"/>
        <v/>
      </c>
      <c r="AQ340" s="15" t="str">
        <f t="shared" si="89"/>
        <v/>
      </c>
    </row>
    <row r="341" spans="1:43">
      <c r="A341" s="13" t="str">
        <f t="shared" si="75"/>
        <v/>
      </c>
      <c r="B341" s="13" t="str">
        <f t="shared" si="76"/>
        <v/>
      </c>
      <c r="C341" s="15" t="str">
        <f t="shared" si="77"/>
        <v/>
      </c>
      <c r="D341" s="15" t="str">
        <f t="shared" si="78"/>
        <v/>
      </c>
      <c r="E341" s="15" t="str">
        <f t="shared" si="79"/>
        <v/>
      </c>
      <c r="F341" s="15" t="str">
        <f t="shared" si="80"/>
        <v/>
      </c>
      <c r="G341" s="15" t="str">
        <f t="shared" si="81"/>
        <v/>
      </c>
      <c r="H341" s="15" t="str">
        <f t="shared" si="82"/>
        <v/>
      </c>
      <c r="I341" s="15" t="str">
        <f t="shared" si="83"/>
        <v/>
      </c>
      <c r="J341" s="15" t="str">
        <f t="shared" si="84"/>
        <v/>
      </c>
      <c r="K341" s="13" t="str">
        <f>IF('Cylinder Detail'!U343=0,"",'Cylinder Detail'!U343)</f>
        <v/>
      </c>
      <c r="L341" s="13" t="str">
        <f>IF('Cylinder Detail'!Z343=0,"",_xlfn.TEXTBEFORE('Cylinder Detail'!Z343, ","))</f>
        <v/>
      </c>
      <c r="M341" s="13" t="str">
        <f t="shared" si="85"/>
        <v/>
      </c>
      <c r="N341" s="17" t="str">
        <f>IF('Cylinder Detail'!V343=0,"",'Cylinder Detail'!V343)</f>
        <v/>
      </c>
      <c r="O341" s="17" t="str">
        <f>IF('Cylinder Detail'!Z343=0,"",_xlfn.TEXTAFTER('Cylinder Detail'!Z343, ", "))</f>
        <v/>
      </c>
      <c r="P341" s="17" t="str">
        <f>IF('Cylinder Detail'!AA343=0,"",'Cylinder Detail'!AA343)</f>
        <v/>
      </c>
      <c r="Q341" s="19" t="str">
        <f>IF('Cylinder Detail'!W343=0,"",'Cylinder Detail'!W343)</f>
        <v/>
      </c>
      <c r="R341" s="19" t="str">
        <f>IF('Cylinder Detail'!Y343=0,"",'Cylinder Detail'!Y343)</f>
        <v/>
      </c>
      <c r="S341" s="21" t="str">
        <f>IF('Cylinder Detail'!X343=0,"",'Cylinder Detail'!X343)</f>
        <v/>
      </c>
      <c r="T341" s="21" t="str">
        <f>IF('Cylinder Detail'!F343=0,"",'Cylinder Detail'!F343)</f>
        <v/>
      </c>
      <c r="U341" s="21" t="str">
        <f>IF('Cylinder Detail'!R343=0,"",'Cylinder Detail'!R343)</f>
        <v/>
      </c>
      <c r="V341" s="21" t="str">
        <f>IF('Cylinder Detail'!Q343=0,"",'Cylinder Detail'!Q343)</f>
        <v/>
      </c>
      <c r="W341" s="21" t="str">
        <f>IF('Cylinder Detail'!E343=0,"","+" &amp; 'Cylinder Detail'!E343)</f>
        <v/>
      </c>
      <c r="X341" s="21" t="str">
        <f t="shared" si="86"/>
        <v/>
      </c>
      <c r="Y341" s="21" t="str">
        <f>IF('Cylinder Detail'!S343=0,"",'Cylinder Detail'!S343)</f>
        <v/>
      </c>
      <c r="Z341" s="21" t="str">
        <f>IF('Cylinder Detail'!T343=0,"",'Cylinder Detail'!T343)</f>
        <v/>
      </c>
      <c r="AA341" s="21" t="str">
        <f>IF('Cylinder Detail'!H343=0,"",'Cylinder Detail'!H343)</f>
        <v/>
      </c>
      <c r="AB341" s="21" t="str">
        <f>IF('Cylinder Detail'!I343=0,"",'Cylinder Detail'!I343)</f>
        <v/>
      </c>
      <c r="AC341" s="22" t="str">
        <f>IF('Cylinder Detail'!AB343=0,"",'Cylinder Detail'!AB343)</f>
        <v/>
      </c>
      <c r="AD341" s="25" t="str">
        <f>IF('Sensor Detail'!F343=0,"","=" &amp; 'Sensor Detail'!F343)</f>
        <v/>
      </c>
      <c r="AE341" s="25" t="str">
        <f>IF('Sensor Detail'!H343=0,"",'Sensor Detail'!H343)</f>
        <v/>
      </c>
      <c r="AF341" s="27" t="str">
        <f>IF('Sensor Detail'!G343=0,"","-" &amp; 'Sensor Detail'!G343)</f>
        <v/>
      </c>
      <c r="AG341" s="27" t="str">
        <f>IF('Sensor Detail'!I343=0,"",'Sensor Detail'!I343)</f>
        <v/>
      </c>
      <c r="AH341" s="27" t="str">
        <f>IF('Sensor Detail'!E343=0,"","+" &amp; 'Sensor Detail'!E343)</f>
        <v/>
      </c>
      <c r="AI341" s="27" t="str">
        <f t="shared" si="87"/>
        <v/>
      </c>
      <c r="AJ341" s="27" t="str">
        <f>IF('Sensor Detail'!J343=0,"",'Sensor Detail'!J343)</f>
        <v/>
      </c>
      <c r="AK341" s="27" t="str">
        <f>IF('Sensor Detail'!K343=0,"",'Sensor Detail'!K343)</f>
        <v/>
      </c>
      <c r="AL341" s="27" t="str">
        <f>IF('Sensor Detail'!L343=0,"",'Sensor Detail'!L343)</f>
        <v/>
      </c>
      <c r="AM341" s="27" t="str">
        <f>IF('Sensor Detail'!M343=0,"",'Sensor Detail'!M343)</f>
        <v/>
      </c>
      <c r="AN341" s="27" t="str">
        <f>IF('Sensor Detail'!N343=0,"",'Sensor Detail'!N343)</f>
        <v/>
      </c>
      <c r="AO341" s="27" t="str">
        <f>IF('Sensor Detail'!O343=0,"",'Sensor Detail'!O343)</f>
        <v/>
      </c>
      <c r="AP341" s="15" t="str">
        <f t="shared" si="88"/>
        <v/>
      </c>
      <c r="AQ341" s="15" t="str">
        <f t="shared" si="89"/>
        <v/>
      </c>
    </row>
    <row r="342" spans="1:43">
      <c r="A342" s="13" t="str">
        <f t="shared" si="75"/>
        <v/>
      </c>
      <c r="B342" s="13" t="str">
        <f t="shared" si="76"/>
        <v/>
      </c>
      <c r="C342" s="15" t="str">
        <f t="shared" si="77"/>
        <v/>
      </c>
      <c r="D342" s="15" t="str">
        <f t="shared" si="78"/>
        <v/>
      </c>
      <c r="E342" s="15" t="str">
        <f t="shared" si="79"/>
        <v/>
      </c>
      <c r="F342" s="15" t="str">
        <f t="shared" si="80"/>
        <v/>
      </c>
      <c r="G342" s="15" t="str">
        <f t="shared" si="81"/>
        <v/>
      </c>
      <c r="H342" s="15" t="str">
        <f t="shared" si="82"/>
        <v/>
      </c>
      <c r="I342" s="15" t="str">
        <f t="shared" si="83"/>
        <v/>
      </c>
      <c r="J342" s="15" t="str">
        <f t="shared" si="84"/>
        <v/>
      </c>
      <c r="K342" s="13" t="str">
        <f>IF('Cylinder Detail'!U344=0,"",'Cylinder Detail'!U344)</f>
        <v/>
      </c>
      <c r="L342" s="13" t="str">
        <f>IF('Cylinder Detail'!Z344=0,"",_xlfn.TEXTBEFORE('Cylinder Detail'!Z344, ","))</f>
        <v/>
      </c>
      <c r="M342" s="13" t="str">
        <f t="shared" si="85"/>
        <v/>
      </c>
      <c r="N342" s="17" t="str">
        <f>IF('Cylinder Detail'!V344=0,"",'Cylinder Detail'!V344)</f>
        <v/>
      </c>
      <c r="O342" s="17" t="str">
        <f>IF('Cylinder Detail'!Z344=0,"",_xlfn.TEXTAFTER('Cylinder Detail'!Z344, ", "))</f>
        <v/>
      </c>
      <c r="P342" s="17" t="str">
        <f>IF('Cylinder Detail'!AA344=0,"",'Cylinder Detail'!AA344)</f>
        <v/>
      </c>
      <c r="Q342" s="19" t="str">
        <f>IF('Cylinder Detail'!W344=0,"",'Cylinder Detail'!W344)</f>
        <v/>
      </c>
      <c r="R342" s="19" t="str">
        <f>IF('Cylinder Detail'!Y344=0,"",'Cylinder Detail'!Y344)</f>
        <v/>
      </c>
      <c r="S342" s="21" t="str">
        <f>IF('Cylinder Detail'!X344=0,"",'Cylinder Detail'!X344)</f>
        <v/>
      </c>
      <c r="T342" s="21" t="str">
        <f>IF('Cylinder Detail'!F344=0,"",'Cylinder Detail'!F344)</f>
        <v/>
      </c>
      <c r="U342" s="21" t="str">
        <f>IF('Cylinder Detail'!R344=0,"",'Cylinder Detail'!R344)</f>
        <v/>
      </c>
      <c r="V342" s="21" t="str">
        <f>IF('Cylinder Detail'!Q344=0,"",'Cylinder Detail'!Q344)</f>
        <v/>
      </c>
      <c r="W342" s="21" t="str">
        <f>IF('Cylinder Detail'!E344=0,"","+" &amp; 'Cylinder Detail'!E344)</f>
        <v/>
      </c>
      <c r="X342" s="21" t="str">
        <f t="shared" si="86"/>
        <v/>
      </c>
      <c r="Y342" s="21" t="str">
        <f>IF('Cylinder Detail'!S344=0,"",'Cylinder Detail'!S344)</f>
        <v/>
      </c>
      <c r="Z342" s="21" t="str">
        <f>IF('Cylinder Detail'!T344=0,"",'Cylinder Detail'!T344)</f>
        <v/>
      </c>
      <c r="AA342" s="21" t="str">
        <f>IF('Cylinder Detail'!H344=0,"",'Cylinder Detail'!H344)</f>
        <v/>
      </c>
      <c r="AB342" s="21" t="str">
        <f>IF('Cylinder Detail'!I344=0,"",'Cylinder Detail'!I344)</f>
        <v/>
      </c>
      <c r="AC342" s="22" t="str">
        <f>IF('Cylinder Detail'!AB344=0,"",'Cylinder Detail'!AB344)</f>
        <v/>
      </c>
      <c r="AD342" s="25" t="str">
        <f>IF('Sensor Detail'!F344=0,"","=" &amp; 'Sensor Detail'!F344)</f>
        <v/>
      </c>
      <c r="AE342" s="25" t="str">
        <f>IF('Sensor Detail'!H344=0,"",'Sensor Detail'!H344)</f>
        <v/>
      </c>
      <c r="AF342" s="27" t="str">
        <f>IF('Sensor Detail'!G344=0,"","-" &amp; 'Sensor Detail'!G344)</f>
        <v/>
      </c>
      <c r="AG342" s="27" t="str">
        <f>IF('Sensor Detail'!I344=0,"",'Sensor Detail'!I344)</f>
        <v/>
      </c>
      <c r="AH342" s="27" t="str">
        <f>IF('Sensor Detail'!E344=0,"","+" &amp; 'Sensor Detail'!E344)</f>
        <v/>
      </c>
      <c r="AI342" s="27" t="str">
        <f t="shared" si="87"/>
        <v/>
      </c>
      <c r="AJ342" s="27" t="str">
        <f>IF('Sensor Detail'!J344=0,"",'Sensor Detail'!J344)</f>
        <v/>
      </c>
      <c r="AK342" s="27" t="str">
        <f>IF('Sensor Detail'!K344=0,"",'Sensor Detail'!K344)</f>
        <v/>
      </c>
      <c r="AL342" s="27" t="str">
        <f>IF('Sensor Detail'!L344=0,"",'Sensor Detail'!L344)</f>
        <v/>
      </c>
      <c r="AM342" s="27" t="str">
        <f>IF('Sensor Detail'!M344=0,"",'Sensor Detail'!M344)</f>
        <v/>
      </c>
      <c r="AN342" s="27" t="str">
        <f>IF('Sensor Detail'!N344=0,"",'Sensor Detail'!N344)</f>
        <v/>
      </c>
      <c r="AO342" s="27" t="str">
        <f>IF('Sensor Detail'!O344=0,"",'Sensor Detail'!O344)</f>
        <v/>
      </c>
      <c r="AP342" s="15" t="str">
        <f t="shared" si="88"/>
        <v/>
      </c>
      <c r="AQ342" s="15" t="str">
        <f t="shared" si="89"/>
        <v/>
      </c>
    </row>
    <row r="343" spans="1:43">
      <c r="A343" s="13" t="str">
        <f t="shared" si="75"/>
        <v/>
      </c>
      <c r="B343" s="13" t="str">
        <f t="shared" si="76"/>
        <v/>
      </c>
      <c r="C343" s="15" t="str">
        <f t="shared" si="77"/>
        <v/>
      </c>
      <c r="D343" s="15" t="str">
        <f t="shared" si="78"/>
        <v/>
      </c>
      <c r="E343" s="15" t="str">
        <f t="shared" si="79"/>
        <v/>
      </c>
      <c r="F343" s="15" t="str">
        <f t="shared" si="80"/>
        <v/>
      </c>
      <c r="G343" s="15" t="str">
        <f t="shared" si="81"/>
        <v/>
      </c>
      <c r="H343" s="15" t="str">
        <f t="shared" si="82"/>
        <v/>
      </c>
      <c r="I343" s="15" t="str">
        <f t="shared" si="83"/>
        <v/>
      </c>
      <c r="J343" s="15" t="str">
        <f t="shared" si="84"/>
        <v/>
      </c>
      <c r="K343" s="13" t="str">
        <f>IF('Cylinder Detail'!U345=0,"",'Cylinder Detail'!U345)</f>
        <v/>
      </c>
      <c r="L343" s="13" t="str">
        <f>IF('Cylinder Detail'!Z345=0,"",_xlfn.TEXTBEFORE('Cylinder Detail'!Z345, ","))</f>
        <v/>
      </c>
      <c r="M343" s="13" t="str">
        <f t="shared" si="85"/>
        <v/>
      </c>
      <c r="N343" s="17" t="str">
        <f>IF('Cylinder Detail'!V345=0,"",'Cylinder Detail'!V345)</f>
        <v/>
      </c>
      <c r="O343" s="17" t="str">
        <f>IF('Cylinder Detail'!Z345=0,"",_xlfn.TEXTAFTER('Cylinder Detail'!Z345, ", "))</f>
        <v/>
      </c>
      <c r="P343" s="17" t="str">
        <f>IF('Cylinder Detail'!AA345=0,"",'Cylinder Detail'!AA345)</f>
        <v/>
      </c>
      <c r="Q343" s="19" t="str">
        <f>IF('Cylinder Detail'!W345=0,"",'Cylinder Detail'!W345)</f>
        <v/>
      </c>
      <c r="R343" s="19" t="str">
        <f>IF('Cylinder Detail'!Y345=0,"",'Cylinder Detail'!Y345)</f>
        <v/>
      </c>
      <c r="S343" s="21" t="str">
        <f>IF('Cylinder Detail'!X345=0,"",'Cylinder Detail'!X345)</f>
        <v/>
      </c>
      <c r="T343" s="21" t="str">
        <f>IF('Cylinder Detail'!F345=0,"",'Cylinder Detail'!F345)</f>
        <v/>
      </c>
      <c r="U343" s="21" t="str">
        <f>IF('Cylinder Detail'!R345=0,"",'Cylinder Detail'!R345)</f>
        <v/>
      </c>
      <c r="V343" s="21" t="str">
        <f>IF('Cylinder Detail'!Q345=0,"",'Cylinder Detail'!Q345)</f>
        <v/>
      </c>
      <c r="W343" s="21" t="str">
        <f>IF('Cylinder Detail'!E345=0,"","+" &amp; 'Cylinder Detail'!E345)</f>
        <v/>
      </c>
      <c r="X343" s="21" t="str">
        <f t="shared" si="86"/>
        <v/>
      </c>
      <c r="Y343" s="21" t="str">
        <f>IF('Cylinder Detail'!S345=0,"",'Cylinder Detail'!S345)</f>
        <v/>
      </c>
      <c r="Z343" s="21" t="str">
        <f>IF('Cylinder Detail'!T345=0,"",'Cylinder Detail'!T345)</f>
        <v/>
      </c>
      <c r="AA343" s="21" t="str">
        <f>IF('Cylinder Detail'!H345=0,"",'Cylinder Detail'!H345)</f>
        <v/>
      </c>
      <c r="AB343" s="21" t="str">
        <f>IF('Cylinder Detail'!I345=0,"",'Cylinder Detail'!I345)</f>
        <v/>
      </c>
      <c r="AC343" s="22" t="str">
        <f>IF('Cylinder Detail'!AB345=0,"",'Cylinder Detail'!AB345)</f>
        <v/>
      </c>
      <c r="AD343" s="25" t="str">
        <f>IF('Sensor Detail'!F345=0,"","=" &amp; 'Sensor Detail'!F345)</f>
        <v/>
      </c>
      <c r="AE343" s="25" t="str">
        <f>IF('Sensor Detail'!H345=0,"",'Sensor Detail'!H345)</f>
        <v/>
      </c>
      <c r="AF343" s="27" t="str">
        <f>IF('Sensor Detail'!G345=0,"","-" &amp; 'Sensor Detail'!G345)</f>
        <v/>
      </c>
      <c r="AG343" s="27" t="str">
        <f>IF('Sensor Detail'!I345=0,"",'Sensor Detail'!I345)</f>
        <v/>
      </c>
      <c r="AH343" s="27" t="str">
        <f>IF('Sensor Detail'!E345=0,"","+" &amp; 'Sensor Detail'!E345)</f>
        <v/>
      </c>
      <c r="AI343" s="27" t="str">
        <f t="shared" si="87"/>
        <v/>
      </c>
      <c r="AJ343" s="27" t="str">
        <f>IF('Sensor Detail'!J345=0,"",'Sensor Detail'!J345)</f>
        <v/>
      </c>
      <c r="AK343" s="27" t="str">
        <f>IF('Sensor Detail'!K345=0,"",'Sensor Detail'!K345)</f>
        <v/>
      </c>
      <c r="AL343" s="27" t="str">
        <f>IF('Sensor Detail'!L345=0,"",'Sensor Detail'!L345)</f>
        <v/>
      </c>
      <c r="AM343" s="27" t="str">
        <f>IF('Sensor Detail'!M345=0,"",'Sensor Detail'!M345)</f>
        <v/>
      </c>
      <c r="AN343" s="27" t="str">
        <f>IF('Sensor Detail'!N345=0,"",'Sensor Detail'!N345)</f>
        <v/>
      </c>
      <c r="AO343" s="27" t="str">
        <f>IF('Sensor Detail'!O345=0,"",'Sensor Detail'!O345)</f>
        <v/>
      </c>
      <c r="AP343" s="15" t="str">
        <f t="shared" si="88"/>
        <v/>
      </c>
      <c r="AQ343" s="15" t="str">
        <f t="shared" si="89"/>
        <v/>
      </c>
    </row>
    <row r="344" spans="1:43">
      <c r="A344" s="13" t="str">
        <f t="shared" si="75"/>
        <v/>
      </c>
      <c r="B344" s="13" t="str">
        <f t="shared" si="76"/>
        <v/>
      </c>
      <c r="C344" s="15" t="str">
        <f t="shared" si="77"/>
        <v/>
      </c>
      <c r="D344" s="15" t="str">
        <f t="shared" si="78"/>
        <v/>
      </c>
      <c r="E344" s="15" t="str">
        <f t="shared" si="79"/>
        <v/>
      </c>
      <c r="F344" s="15" t="str">
        <f t="shared" si="80"/>
        <v/>
      </c>
      <c r="G344" s="15" t="str">
        <f t="shared" si="81"/>
        <v/>
      </c>
      <c r="H344" s="15" t="str">
        <f t="shared" si="82"/>
        <v/>
      </c>
      <c r="I344" s="15" t="str">
        <f t="shared" si="83"/>
        <v/>
      </c>
      <c r="J344" s="15" t="str">
        <f t="shared" si="84"/>
        <v/>
      </c>
      <c r="K344" s="13" t="str">
        <f>IF('Cylinder Detail'!U346=0,"",'Cylinder Detail'!U346)</f>
        <v/>
      </c>
      <c r="L344" s="13" t="str">
        <f>IF('Cylinder Detail'!Z346=0,"",_xlfn.TEXTBEFORE('Cylinder Detail'!Z346, ","))</f>
        <v/>
      </c>
      <c r="M344" s="13" t="str">
        <f t="shared" si="85"/>
        <v/>
      </c>
      <c r="N344" s="17" t="str">
        <f>IF('Cylinder Detail'!V346=0,"",'Cylinder Detail'!V346)</f>
        <v/>
      </c>
      <c r="O344" s="17" t="str">
        <f>IF('Cylinder Detail'!Z346=0,"",_xlfn.TEXTAFTER('Cylinder Detail'!Z346, ", "))</f>
        <v/>
      </c>
      <c r="P344" s="17" t="str">
        <f>IF('Cylinder Detail'!AA346=0,"",'Cylinder Detail'!AA346)</f>
        <v/>
      </c>
      <c r="Q344" s="19" t="str">
        <f>IF('Cylinder Detail'!W346=0,"",'Cylinder Detail'!W346)</f>
        <v/>
      </c>
      <c r="R344" s="19" t="str">
        <f>IF('Cylinder Detail'!Y346=0,"",'Cylinder Detail'!Y346)</f>
        <v/>
      </c>
      <c r="S344" s="21" t="str">
        <f>IF('Cylinder Detail'!X346=0,"",'Cylinder Detail'!X346)</f>
        <v/>
      </c>
      <c r="T344" s="21" t="str">
        <f>IF('Cylinder Detail'!F346=0,"",'Cylinder Detail'!F346)</f>
        <v/>
      </c>
      <c r="U344" s="21" t="str">
        <f>IF('Cylinder Detail'!R346=0,"",'Cylinder Detail'!R346)</f>
        <v/>
      </c>
      <c r="V344" s="21" t="str">
        <f>IF('Cylinder Detail'!Q346=0,"",'Cylinder Detail'!Q346)</f>
        <v/>
      </c>
      <c r="W344" s="21" t="str">
        <f>IF('Cylinder Detail'!E346=0,"","+" &amp; 'Cylinder Detail'!E346)</f>
        <v/>
      </c>
      <c r="X344" s="21" t="str">
        <f t="shared" si="86"/>
        <v/>
      </c>
      <c r="Y344" s="21" t="str">
        <f>IF('Cylinder Detail'!S346=0,"",'Cylinder Detail'!S346)</f>
        <v/>
      </c>
      <c r="Z344" s="21" t="str">
        <f>IF('Cylinder Detail'!T346=0,"",'Cylinder Detail'!T346)</f>
        <v/>
      </c>
      <c r="AA344" s="21" t="str">
        <f>IF('Cylinder Detail'!H346=0,"",'Cylinder Detail'!H346)</f>
        <v/>
      </c>
      <c r="AB344" s="21" t="str">
        <f>IF('Cylinder Detail'!I346=0,"",'Cylinder Detail'!I346)</f>
        <v/>
      </c>
      <c r="AC344" s="22" t="str">
        <f>IF('Cylinder Detail'!AB346=0,"",'Cylinder Detail'!AB346)</f>
        <v/>
      </c>
      <c r="AD344" s="25" t="str">
        <f>IF('Sensor Detail'!F346=0,"","=" &amp; 'Sensor Detail'!F346)</f>
        <v/>
      </c>
      <c r="AE344" s="25" t="str">
        <f>IF('Sensor Detail'!H346=0,"",'Sensor Detail'!H346)</f>
        <v/>
      </c>
      <c r="AF344" s="27" t="str">
        <f>IF('Sensor Detail'!G346=0,"","-" &amp; 'Sensor Detail'!G346)</f>
        <v/>
      </c>
      <c r="AG344" s="27" t="str">
        <f>IF('Sensor Detail'!I346=0,"",'Sensor Detail'!I346)</f>
        <v/>
      </c>
      <c r="AH344" s="27" t="str">
        <f>IF('Sensor Detail'!E346=0,"","+" &amp; 'Sensor Detail'!E346)</f>
        <v/>
      </c>
      <c r="AI344" s="27" t="str">
        <f t="shared" si="87"/>
        <v/>
      </c>
      <c r="AJ344" s="27" t="str">
        <f>IF('Sensor Detail'!J346=0,"",'Sensor Detail'!J346)</f>
        <v/>
      </c>
      <c r="AK344" s="27" t="str">
        <f>IF('Sensor Detail'!K346=0,"",'Sensor Detail'!K346)</f>
        <v/>
      </c>
      <c r="AL344" s="27" t="str">
        <f>IF('Sensor Detail'!L346=0,"",'Sensor Detail'!L346)</f>
        <v/>
      </c>
      <c r="AM344" s="27" t="str">
        <f>IF('Sensor Detail'!M346=0,"",'Sensor Detail'!M346)</f>
        <v/>
      </c>
      <c r="AN344" s="27" t="str">
        <f>IF('Sensor Detail'!N346=0,"",'Sensor Detail'!N346)</f>
        <v/>
      </c>
      <c r="AO344" s="27" t="str">
        <f>IF('Sensor Detail'!O346=0,"",'Sensor Detail'!O346)</f>
        <v/>
      </c>
      <c r="AP344" s="15" t="str">
        <f t="shared" si="88"/>
        <v/>
      </c>
      <c r="AQ344" s="15" t="str">
        <f t="shared" si="89"/>
        <v/>
      </c>
    </row>
    <row r="345" spans="1:43">
      <c r="A345" s="13" t="str">
        <f t="shared" si="75"/>
        <v/>
      </c>
      <c r="B345" s="13" t="str">
        <f t="shared" si="76"/>
        <v/>
      </c>
      <c r="C345" s="15" t="str">
        <f t="shared" si="77"/>
        <v/>
      </c>
      <c r="D345" s="15" t="str">
        <f t="shared" si="78"/>
        <v/>
      </c>
      <c r="E345" s="15" t="str">
        <f t="shared" si="79"/>
        <v/>
      </c>
      <c r="F345" s="15" t="str">
        <f t="shared" si="80"/>
        <v/>
      </c>
      <c r="G345" s="15" t="str">
        <f t="shared" si="81"/>
        <v/>
      </c>
      <c r="H345" s="15" t="str">
        <f t="shared" si="82"/>
        <v/>
      </c>
      <c r="I345" s="15" t="str">
        <f t="shared" si="83"/>
        <v/>
      </c>
      <c r="J345" s="15" t="str">
        <f t="shared" si="84"/>
        <v/>
      </c>
      <c r="K345" s="13" t="str">
        <f>IF('Cylinder Detail'!U347=0,"",'Cylinder Detail'!U347)</f>
        <v/>
      </c>
      <c r="L345" s="13" t="str">
        <f>IF('Cylinder Detail'!Z347=0,"",_xlfn.TEXTBEFORE('Cylinder Detail'!Z347, ","))</f>
        <v/>
      </c>
      <c r="M345" s="13" t="str">
        <f t="shared" si="85"/>
        <v/>
      </c>
      <c r="N345" s="17" t="str">
        <f>IF('Cylinder Detail'!V347=0,"",'Cylinder Detail'!V347)</f>
        <v/>
      </c>
      <c r="O345" s="17" t="str">
        <f>IF('Cylinder Detail'!Z347=0,"",_xlfn.TEXTAFTER('Cylinder Detail'!Z347, ", "))</f>
        <v/>
      </c>
      <c r="P345" s="17" t="str">
        <f>IF('Cylinder Detail'!AA347=0,"",'Cylinder Detail'!AA347)</f>
        <v/>
      </c>
      <c r="Q345" s="19" t="str">
        <f>IF('Cylinder Detail'!W347=0,"",'Cylinder Detail'!W347)</f>
        <v/>
      </c>
      <c r="R345" s="19" t="str">
        <f>IF('Cylinder Detail'!Y347=0,"",'Cylinder Detail'!Y347)</f>
        <v/>
      </c>
      <c r="S345" s="21" t="str">
        <f>IF('Cylinder Detail'!X347=0,"",'Cylinder Detail'!X347)</f>
        <v/>
      </c>
      <c r="T345" s="21" t="str">
        <f>IF('Cylinder Detail'!F347=0,"",'Cylinder Detail'!F347)</f>
        <v/>
      </c>
      <c r="U345" s="21" t="str">
        <f>IF('Cylinder Detail'!R347=0,"",'Cylinder Detail'!R347)</f>
        <v/>
      </c>
      <c r="V345" s="21" t="str">
        <f>IF('Cylinder Detail'!Q347=0,"",'Cylinder Detail'!Q347)</f>
        <v/>
      </c>
      <c r="W345" s="21" t="str">
        <f>IF('Cylinder Detail'!E347=0,"","+" &amp; 'Cylinder Detail'!E347)</f>
        <v/>
      </c>
      <c r="X345" s="21" t="str">
        <f t="shared" si="86"/>
        <v/>
      </c>
      <c r="Y345" s="21" t="str">
        <f>IF('Cylinder Detail'!S347=0,"",'Cylinder Detail'!S347)</f>
        <v/>
      </c>
      <c r="Z345" s="21" t="str">
        <f>IF('Cylinder Detail'!T347=0,"",'Cylinder Detail'!T347)</f>
        <v/>
      </c>
      <c r="AA345" s="21" t="str">
        <f>IF('Cylinder Detail'!H347=0,"",'Cylinder Detail'!H347)</f>
        <v/>
      </c>
      <c r="AB345" s="21" t="str">
        <f>IF('Cylinder Detail'!I347=0,"",'Cylinder Detail'!I347)</f>
        <v/>
      </c>
      <c r="AC345" s="22" t="str">
        <f>IF('Cylinder Detail'!AB347=0,"",'Cylinder Detail'!AB347)</f>
        <v/>
      </c>
      <c r="AD345" s="25" t="str">
        <f>IF('Sensor Detail'!F347=0,"","=" &amp; 'Sensor Detail'!F347)</f>
        <v/>
      </c>
      <c r="AE345" s="25" t="str">
        <f>IF('Sensor Detail'!H347=0,"",'Sensor Detail'!H347)</f>
        <v/>
      </c>
      <c r="AF345" s="27" t="str">
        <f>IF('Sensor Detail'!G347=0,"","-" &amp; 'Sensor Detail'!G347)</f>
        <v/>
      </c>
      <c r="AG345" s="27" t="str">
        <f>IF('Sensor Detail'!I347=0,"",'Sensor Detail'!I347)</f>
        <v/>
      </c>
      <c r="AH345" s="27" t="str">
        <f>IF('Sensor Detail'!E347=0,"","+" &amp; 'Sensor Detail'!E347)</f>
        <v/>
      </c>
      <c r="AI345" s="27" t="str">
        <f t="shared" si="87"/>
        <v/>
      </c>
      <c r="AJ345" s="27" t="str">
        <f>IF('Sensor Detail'!J347=0,"",'Sensor Detail'!J347)</f>
        <v/>
      </c>
      <c r="AK345" s="27" t="str">
        <f>IF('Sensor Detail'!K347=0,"",'Sensor Detail'!K347)</f>
        <v/>
      </c>
      <c r="AL345" s="27" t="str">
        <f>IF('Sensor Detail'!L347=0,"",'Sensor Detail'!L347)</f>
        <v/>
      </c>
      <c r="AM345" s="27" t="str">
        <f>IF('Sensor Detail'!M347=0,"",'Sensor Detail'!M347)</f>
        <v/>
      </c>
      <c r="AN345" s="27" t="str">
        <f>IF('Sensor Detail'!N347=0,"",'Sensor Detail'!N347)</f>
        <v/>
      </c>
      <c r="AO345" s="27" t="str">
        <f>IF('Sensor Detail'!O347=0,"",'Sensor Detail'!O347)</f>
        <v/>
      </c>
      <c r="AP345" s="15" t="str">
        <f t="shared" si="88"/>
        <v/>
      </c>
      <c r="AQ345" s="15" t="str">
        <f t="shared" si="89"/>
        <v/>
      </c>
    </row>
    <row r="346" spans="1:43">
      <c r="A346" s="13" t="str">
        <f t="shared" si="75"/>
        <v/>
      </c>
      <c r="B346" s="13" t="str">
        <f t="shared" si="76"/>
        <v/>
      </c>
      <c r="C346" s="15" t="str">
        <f t="shared" si="77"/>
        <v/>
      </c>
      <c r="D346" s="15" t="str">
        <f t="shared" si="78"/>
        <v/>
      </c>
      <c r="E346" s="15" t="str">
        <f t="shared" si="79"/>
        <v/>
      </c>
      <c r="F346" s="15" t="str">
        <f t="shared" si="80"/>
        <v/>
      </c>
      <c r="G346" s="15" t="str">
        <f t="shared" si="81"/>
        <v/>
      </c>
      <c r="H346" s="15" t="str">
        <f t="shared" si="82"/>
        <v/>
      </c>
      <c r="I346" s="15" t="str">
        <f t="shared" si="83"/>
        <v/>
      </c>
      <c r="J346" s="15" t="str">
        <f t="shared" si="84"/>
        <v/>
      </c>
      <c r="K346" s="13" t="str">
        <f>IF('Cylinder Detail'!U348=0,"",'Cylinder Detail'!U348)</f>
        <v/>
      </c>
      <c r="L346" s="13" t="str">
        <f>IF('Cylinder Detail'!Z348=0,"",_xlfn.TEXTBEFORE('Cylinder Detail'!Z348, ","))</f>
        <v/>
      </c>
      <c r="M346" s="13" t="str">
        <f t="shared" si="85"/>
        <v/>
      </c>
      <c r="N346" s="17" t="str">
        <f>IF('Cylinder Detail'!V348=0,"",'Cylinder Detail'!V348)</f>
        <v/>
      </c>
      <c r="O346" s="17" t="str">
        <f>IF('Cylinder Detail'!Z348=0,"",_xlfn.TEXTAFTER('Cylinder Detail'!Z348, ", "))</f>
        <v/>
      </c>
      <c r="P346" s="17" t="str">
        <f>IF('Cylinder Detail'!AA348=0,"",'Cylinder Detail'!AA348)</f>
        <v/>
      </c>
      <c r="Q346" s="19" t="str">
        <f>IF('Cylinder Detail'!W348=0,"",'Cylinder Detail'!W348)</f>
        <v/>
      </c>
      <c r="R346" s="19" t="str">
        <f>IF('Cylinder Detail'!Y348=0,"",'Cylinder Detail'!Y348)</f>
        <v/>
      </c>
      <c r="S346" s="21" t="str">
        <f>IF('Cylinder Detail'!X348=0,"",'Cylinder Detail'!X348)</f>
        <v/>
      </c>
      <c r="T346" s="21" t="str">
        <f>IF('Cylinder Detail'!F348=0,"",'Cylinder Detail'!F348)</f>
        <v/>
      </c>
      <c r="U346" s="21" t="str">
        <f>IF('Cylinder Detail'!R348=0,"",'Cylinder Detail'!R348)</f>
        <v/>
      </c>
      <c r="V346" s="21" t="str">
        <f>IF('Cylinder Detail'!Q348=0,"",'Cylinder Detail'!Q348)</f>
        <v/>
      </c>
      <c r="W346" s="21" t="str">
        <f>IF('Cylinder Detail'!E348=0,"","+" &amp; 'Cylinder Detail'!E348)</f>
        <v/>
      </c>
      <c r="X346" s="21" t="str">
        <f t="shared" si="86"/>
        <v/>
      </c>
      <c r="Y346" s="21" t="str">
        <f>IF('Cylinder Detail'!S348=0,"",'Cylinder Detail'!S348)</f>
        <v/>
      </c>
      <c r="Z346" s="21" t="str">
        <f>IF('Cylinder Detail'!T348=0,"",'Cylinder Detail'!T348)</f>
        <v/>
      </c>
      <c r="AA346" s="21" t="str">
        <f>IF('Cylinder Detail'!H348=0,"",'Cylinder Detail'!H348)</f>
        <v/>
      </c>
      <c r="AB346" s="21" t="str">
        <f>IF('Cylinder Detail'!I348=0,"",'Cylinder Detail'!I348)</f>
        <v/>
      </c>
      <c r="AC346" s="22" t="str">
        <f>IF('Cylinder Detail'!AB348=0,"",'Cylinder Detail'!AB348)</f>
        <v/>
      </c>
      <c r="AD346" s="25" t="str">
        <f>IF('Sensor Detail'!F348=0,"","=" &amp; 'Sensor Detail'!F348)</f>
        <v/>
      </c>
      <c r="AE346" s="25" t="str">
        <f>IF('Sensor Detail'!H348=0,"",'Sensor Detail'!H348)</f>
        <v/>
      </c>
      <c r="AF346" s="27" t="str">
        <f>IF('Sensor Detail'!G348=0,"","-" &amp; 'Sensor Detail'!G348)</f>
        <v/>
      </c>
      <c r="AG346" s="27" t="str">
        <f>IF('Sensor Detail'!I348=0,"",'Sensor Detail'!I348)</f>
        <v/>
      </c>
      <c r="AH346" s="27" t="str">
        <f>IF('Sensor Detail'!E348=0,"","+" &amp; 'Sensor Detail'!E348)</f>
        <v/>
      </c>
      <c r="AI346" s="27" t="str">
        <f t="shared" si="87"/>
        <v/>
      </c>
      <c r="AJ346" s="27" t="str">
        <f>IF('Sensor Detail'!J348=0,"",'Sensor Detail'!J348)</f>
        <v/>
      </c>
      <c r="AK346" s="27" t="str">
        <f>IF('Sensor Detail'!K348=0,"",'Sensor Detail'!K348)</f>
        <v/>
      </c>
      <c r="AL346" s="27" t="str">
        <f>IF('Sensor Detail'!L348=0,"",'Sensor Detail'!L348)</f>
        <v/>
      </c>
      <c r="AM346" s="27" t="str">
        <f>IF('Sensor Detail'!M348=0,"",'Sensor Detail'!M348)</f>
        <v/>
      </c>
      <c r="AN346" s="27" t="str">
        <f>IF('Sensor Detail'!N348=0,"",'Sensor Detail'!N348)</f>
        <v/>
      </c>
      <c r="AO346" s="27" t="str">
        <f>IF('Sensor Detail'!O348=0,"",'Sensor Detail'!O348)</f>
        <v/>
      </c>
      <c r="AP346" s="15" t="str">
        <f t="shared" si="88"/>
        <v/>
      </c>
      <c r="AQ346" s="15" t="str">
        <f t="shared" si="89"/>
        <v/>
      </c>
    </row>
    <row r="347" spans="1:43">
      <c r="A347" s="13" t="str">
        <f t="shared" si="75"/>
        <v/>
      </c>
      <c r="B347" s="13" t="str">
        <f t="shared" si="76"/>
        <v/>
      </c>
      <c r="C347" s="15" t="str">
        <f t="shared" si="77"/>
        <v/>
      </c>
      <c r="D347" s="15" t="str">
        <f t="shared" si="78"/>
        <v/>
      </c>
      <c r="E347" s="15" t="str">
        <f t="shared" si="79"/>
        <v/>
      </c>
      <c r="F347" s="15" t="str">
        <f t="shared" si="80"/>
        <v/>
      </c>
      <c r="G347" s="15" t="str">
        <f t="shared" si="81"/>
        <v/>
      </c>
      <c r="H347" s="15" t="str">
        <f t="shared" si="82"/>
        <v/>
      </c>
      <c r="I347" s="15" t="str">
        <f t="shared" si="83"/>
        <v/>
      </c>
      <c r="J347" s="15" t="str">
        <f t="shared" si="84"/>
        <v/>
      </c>
      <c r="K347" s="13" t="str">
        <f>IF('Cylinder Detail'!U349=0,"",'Cylinder Detail'!U349)</f>
        <v/>
      </c>
      <c r="L347" s="13" t="str">
        <f>IF('Cylinder Detail'!Z349=0,"",_xlfn.TEXTBEFORE('Cylinder Detail'!Z349, ","))</f>
        <v/>
      </c>
      <c r="M347" s="13" t="str">
        <f t="shared" si="85"/>
        <v/>
      </c>
      <c r="N347" s="17" t="str">
        <f>IF('Cylinder Detail'!V349=0,"",'Cylinder Detail'!V349)</f>
        <v/>
      </c>
      <c r="O347" s="17" t="str">
        <f>IF('Cylinder Detail'!Z349=0,"",_xlfn.TEXTAFTER('Cylinder Detail'!Z349, ", "))</f>
        <v/>
      </c>
      <c r="P347" s="17" t="str">
        <f>IF('Cylinder Detail'!AA349=0,"",'Cylinder Detail'!AA349)</f>
        <v/>
      </c>
      <c r="Q347" s="19" t="str">
        <f>IF('Cylinder Detail'!W349=0,"",'Cylinder Detail'!W349)</f>
        <v/>
      </c>
      <c r="R347" s="19" t="str">
        <f>IF('Cylinder Detail'!Y349=0,"",'Cylinder Detail'!Y349)</f>
        <v/>
      </c>
      <c r="S347" s="21" t="str">
        <f>IF('Cylinder Detail'!X349=0,"",'Cylinder Detail'!X349)</f>
        <v/>
      </c>
      <c r="T347" s="21" t="str">
        <f>IF('Cylinder Detail'!F349=0,"",'Cylinder Detail'!F349)</f>
        <v/>
      </c>
      <c r="U347" s="21" t="str">
        <f>IF('Cylinder Detail'!R349=0,"",'Cylinder Detail'!R349)</f>
        <v/>
      </c>
      <c r="V347" s="21" t="str">
        <f>IF('Cylinder Detail'!Q349=0,"",'Cylinder Detail'!Q349)</f>
        <v/>
      </c>
      <c r="W347" s="21" t="str">
        <f>IF('Cylinder Detail'!E349=0,"","+" &amp; 'Cylinder Detail'!E349)</f>
        <v/>
      </c>
      <c r="X347" s="21" t="str">
        <f t="shared" si="86"/>
        <v/>
      </c>
      <c r="Y347" s="21" t="str">
        <f>IF('Cylinder Detail'!S349=0,"",'Cylinder Detail'!S349)</f>
        <v/>
      </c>
      <c r="Z347" s="21" t="str">
        <f>IF('Cylinder Detail'!T349=0,"",'Cylinder Detail'!T349)</f>
        <v/>
      </c>
      <c r="AA347" s="21" t="str">
        <f>IF('Cylinder Detail'!H349=0,"",'Cylinder Detail'!H349)</f>
        <v/>
      </c>
      <c r="AB347" s="21" t="str">
        <f>IF('Cylinder Detail'!I349=0,"",'Cylinder Detail'!I349)</f>
        <v/>
      </c>
      <c r="AC347" s="22" t="str">
        <f>IF('Cylinder Detail'!AB349=0,"",'Cylinder Detail'!AB349)</f>
        <v/>
      </c>
      <c r="AD347" s="25" t="str">
        <f>IF('Sensor Detail'!F349=0,"","=" &amp; 'Sensor Detail'!F349)</f>
        <v/>
      </c>
      <c r="AE347" s="25" t="str">
        <f>IF('Sensor Detail'!H349=0,"",'Sensor Detail'!H349)</f>
        <v/>
      </c>
      <c r="AF347" s="27" t="str">
        <f>IF('Sensor Detail'!G349=0,"","-" &amp; 'Sensor Detail'!G349)</f>
        <v/>
      </c>
      <c r="AG347" s="27" t="str">
        <f>IF('Sensor Detail'!I349=0,"",'Sensor Detail'!I349)</f>
        <v/>
      </c>
      <c r="AH347" s="27" t="str">
        <f>IF('Sensor Detail'!E349=0,"","+" &amp; 'Sensor Detail'!E349)</f>
        <v/>
      </c>
      <c r="AI347" s="27" t="str">
        <f t="shared" si="87"/>
        <v/>
      </c>
      <c r="AJ347" s="27" t="str">
        <f>IF('Sensor Detail'!J349=0,"",'Sensor Detail'!J349)</f>
        <v/>
      </c>
      <c r="AK347" s="27" t="str">
        <f>IF('Sensor Detail'!K349=0,"",'Sensor Detail'!K349)</f>
        <v/>
      </c>
      <c r="AL347" s="27" t="str">
        <f>IF('Sensor Detail'!L349=0,"",'Sensor Detail'!L349)</f>
        <v/>
      </c>
      <c r="AM347" s="27" t="str">
        <f>IF('Sensor Detail'!M349=0,"",'Sensor Detail'!M349)</f>
        <v/>
      </c>
      <c r="AN347" s="27" t="str">
        <f>IF('Sensor Detail'!N349=0,"",'Sensor Detail'!N349)</f>
        <v/>
      </c>
      <c r="AO347" s="27" t="str">
        <f>IF('Sensor Detail'!O349=0,"",'Sensor Detail'!O349)</f>
        <v/>
      </c>
      <c r="AP347" s="15" t="str">
        <f t="shared" si="88"/>
        <v/>
      </c>
      <c r="AQ347" s="15" t="str">
        <f t="shared" si="89"/>
        <v/>
      </c>
    </row>
    <row r="348" spans="1:43">
      <c r="A348" s="13" t="str">
        <f t="shared" si="75"/>
        <v/>
      </c>
      <c r="B348" s="13" t="str">
        <f t="shared" si="76"/>
        <v/>
      </c>
      <c r="C348" s="15" t="str">
        <f t="shared" si="77"/>
        <v/>
      </c>
      <c r="D348" s="15" t="str">
        <f t="shared" si="78"/>
        <v/>
      </c>
      <c r="E348" s="15" t="str">
        <f t="shared" si="79"/>
        <v/>
      </c>
      <c r="F348" s="15" t="str">
        <f t="shared" si="80"/>
        <v/>
      </c>
      <c r="G348" s="15" t="str">
        <f t="shared" si="81"/>
        <v/>
      </c>
      <c r="H348" s="15" t="str">
        <f t="shared" si="82"/>
        <v/>
      </c>
      <c r="I348" s="15" t="str">
        <f t="shared" si="83"/>
        <v/>
      </c>
      <c r="J348" s="15" t="str">
        <f t="shared" si="84"/>
        <v/>
      </c>
      <c r="K348" s="13" t="str">
        <f>IF('Cylinder Detail'!U350=0,"",'Cylinder Detail'!U350)</f>
        <v/>
      </c>
      <c r="L348" s="13" t="str">
        <f>IF('Cylinder Detail'!Z350=0,"",_xlfn.TEXTBEFORE('Cylinder Detail'!Z350, ","))</f>
        <v/>
      </c>
      <c r="M348" s="13" t="str">
        <f t="shared" si="85"/>
        <v/>
      </c>
      <c r="N348" s="17" t="str">
        <f>IF('Cylinder Detail'!V350=0,"",'Cylinder Detail'!V350)</f>
        <v/>
      </c>
      <c r="O348" s="17" t="str">
        <f>IF('Cylinder Detail'!Z350=0,"",_xlfn.TEXTAFTER('Cylinder Detail'!Z350, ", "))</f>
        <v/>
      </c>
      <c r="P348" s="17" t="str">
        <f>IF('Cylinder Detail'!AA350=0,"",'Cylinder Detail'!AA350)</f>
        <v/>
      </c>
      <c r="Q348" s="19" t="str">
        <f>IF('Cylinder Detail'!W350=0,"",'Cylinder Detail'!W350)</f>
        <v/>
      </c>
      <c r="R348" s="19" t="str">
        <f>IF('Cylinder Detail'!Y350=0,"",'Cylinder Detail'!Y350)</f>
        <v/>
      </c>
      <c r="S348" s="21" t="str">
        <f>IF('Cylinder Detail'!X350=0,"",'Cylinder Detail'!X350)</f>
        <v/>
      </c>
      <c r="T348" s="21" t="str">
        <f>IF('Cylinder Detail'!F350=0,"",'Cylinder Detail'!F350)</f>
        <v/>
      </c>
      <c r="U348" s="21" t="str">
        <f>IF('Cylinder Detail'!R350=0,"",'Cylinder Detail'!R350)</f>
        <v/>
      </c>
      <c r="V348" s="21" t="str">
        <f>IF('Cylinder Detail'!Q350=0,"",'Cylinder Detail'!Q350)</f>
        <v/>
      </c>
      <c r="W348" s="21" t="str">
        <f>IF('Cylinder Detail'!E350=0,"","+" &amp; 'Cylinder Detail'!E350)</f>
        <v/>
      </c>
      <c r="X348" s="21" t="str">
        <f t="shared" si="86"/>
        <v/>
      </c>
      <c r="Y348" s="21" t="str">
        <f>IF('Cylinder Detail'!S350=0,"",'Cylinder Detail'!S350)</f>
        <v/>
      </c>
      <c r="Z348" s="21" t="str">
        <f>IF('Cylinder Detail'!T350=0,"",'Cylinder Detail'!T350)</f>
        <v/>
      </c>
      <c r="AA348" s="21" t="str">
        <f>IF('Cylinder Detail'!H350=0,"",'Cylinder Detail'!H350)</f>
        <v/>
      </c>
      <c r="AB348" s="21" t="str">
        <f>IF('Cylinder Detail'!I350=0,"",'Cylinder Detail'!I350)</f>
        <v/>
      </c>
      <c r="AC348" s="22" t="str">
        <f>IF('Cylinder Detail'!AB350=0,"",'Cylinder Detail'!AB350)</f>
        <v/>
      </c>
      <c r="AD348" s="25" t="str">
        <f>IF('Sensor Detail'!F350=0,"","=" &amp; 'Sensor Detail'!F350)</f>
        <v/>
      </c>
      <c r="AE348" s="25" t="str">
        <f>IF('Sensor Detail'!H350=0,"",'Sensor Detail'!H350)</f>
        <v/>
      </c>
      <c r="AF348" s="27" t="str">
        <f>IF('Sensor Detail'!G350=0,"","-" &amp; 'Sensor Detail'!G350)</f>
        <v/>
      </c>
      <c r="AG348" s="27" t="str">
        <f>IF('Sensor Detail'!I350=0,"",'Sensor Detail'!I350)</f>
        <v/>
      </c>
      <c r="AH348" s="27" t="str">
        <f>IF('Sensor Detail'!E350=0,"","+" &amp; 'Sensor Detail'!E350)</f>
        <v/>
      </c>
      <c r="AI348" s="27" t="str">
        <f t="shared" si="87"/>
        <v/>
      </c>
      <c r="AJ348" s="27" t="str">
        <f>IF('Sensor Detail'!J350=0,"",'Sensor Detail'!J350)</f>
        <v/>
      </c>
      <c r="AK348" s="27" t="str">
        <f>IF('Sensor Detail'!K350=0,"",'Sensor Detail'!K350)</f>
        <v/>
      </c>
      <c r="AL348" s="27" t="str">
        <f>IF('Sensor Detail'!L350=0,"",'Sensor Detail'!L350)</f>
        <v/>
      </c>
      <c r="AM348" s="27" t="str">
        <f>IF('Sensor Detail'!M350=0,"",'Sensor Detail'!M350)</f>
        <v/>
      </c>
      <c r="AN348" s="27" t="str">
        <f>IF('Sensor Detail'!N350=0,"",'Sensor Detail'!N350)</f>
        <v/>
      </c>
      <c r="AO348" s="27" t="str">
        <f>IF('Sensor Detail'!O350=0,"",'Sensor Detail'!O350)</f>
        <v/>
      </c>
      <c r="AP348" s="15" t="str">
        <f t="shared" si="88"/>
        <v/>
      </c>
      <c r="AQ348" s="15" t="str">
        <f t="shared" si="89"/>
        <v/>
      </c>
    </row>
    <row r="349" spans="1:43">
      <c r="A349" s="13" t="str">
        <f t="shared" si="75"/>
        <v/>
      </c>
      <c r="B349" s="13" t="str">
        <f t="shared" si="76"/>
        <v/>
      </c>
      <c r="C349" s="15" t="str">
        <f t="shared" si="77"/>
        <v/>
      </c>
      <c r="D349" s="15" t="str">
        <f t="shared" si="78"/>
        <v/>
      </c>
      <c r="E349" s="15" t="str">
        <f t="shared" si="79"/>
        <v/>
      </c>
      <c r="F349" s="15" t="str">
        <f t="shared" si="80"/>
        <v/>
      </c>
      <c r="G349" s="15" t="str">
        <f t="shared" si="81"/>
        <v/>
      </c>
      <c r="H349" s="15" t="str">
        <f t="shared" si="82"/>
        <v/>
      </c>
      <c r="I349" s="15" t="str">
        <f t="shared" si="83"/>
        <v/>
      </c>
      <c r="J349" s="15" t="str">
        <f t="shared" si="84"/>
        <v/>
      </c>
      <c r="K349" s="13" t="str">
        <f>IF('Cylinder Detail'!U351=0,"",'Cylinder Detail'!U351)</f>
        <v/>
      </c>
      <c r="L349" s="13" t="str">
        <f>IF('Cylinder Detail'!Z351=0,"",_xlfn.TEXTBEFORE('Cylinder Detail'!Z351, ","))</f>
        <v/>
      </c>
      <c r="M349" s="13" t="str">
        <f t="shared" si="85"/>
        <v/>
      </c>
      <c r="N349" s="17" t="str">
        <f>IF('Cylinder Detail'!V351=0,"",'Cylinder Detail'!V351)</f>
        <v/>
      </c>
      <c r="O349" s="17" t="str">
        <f>IF('Cylinder Detail'!Z351=0,"",_xlfn.TEXTAFTER('Cylinder Detail'!Z351, ", "))</f>
        <v/>
      </c>
      <c r="P349" s="17" t="str">
        <f>IF('Cylinder Detail'!AA351=0,"",'Cylinder Detail'!AA351)</f>
        <v/>
      </c>
      <c r="Q349" s="19" t="str">
        <f>IF('Cylinder Detail'!W351=0,"",'Cylinder Detail'!W351)</f>
        <v/>
      </c>
      <c r="R349" s="19" t="str">
        <f>IF('Cylinder Detail'!Y351=0,"",'Cylinder Detail'!Y351)</f>
        <v/>
      </c>
      <c r="S349" s="21" t="str">
        <f>IF('Cylinder Detail'!X351=0,"",'Cylinder Detail'!X351)</f>
        <v/>
      </c>
      <c r="T349" s="21" t="str">
        <f>IF('Cylinder Detail'!F351=0,"",'Cylinder Detail'!F351)</f>
        <v/>
      </c>
      <c r="U349" s="21" t="str">
        <f>IF('Cylinder Detail'!R351=0,"",'Cylinder Detail'!R351)</f>
        <v/>
      </c>
      <c r="V349" s="21" t="str">
        <f>IF('Cylinder Detail'!Q351=0,"",'Cylinder Detail'!Q351)</f>
        <v/>
      </c>
      <c r="W349" s="21" t="str">
        <f>IF('Cylinder Detail'!E351=0,"","+" &amp; 'Cylinder Detail'!E351)</f>
        <v/>
      </c>
      <c r="X349" s="21" t="str">
        <f t="shared" si="86"/>
        <v/>
      </c>
      <c r="Y349" s="21" t="str">
        <f>IF('Cylinder Detail'!S351=0,"",'Cylinder Detail'!S351)</f>
        <v/>
      </c>
      <c r="Z349" s="21" t="str">
        <f>IF('Cylinder Detail'!T351=0,"",'Cylinder Detail'!T351)</f>
        <v/>
      </c>
      <c r="AA349" s="21" t="str">
        <f>IF('Cylinder Detail'!H351=0,"",'Cylinder Detail'!H351)</f>
        <v/>
      </c>
      <c r="AB349" s="21" t="str">
        <f>IF('Cylinder Detail'!I351=0,"",'Cylinder Detail'!I351)</f>
        <v/>
      </c>
      <c r="AC349" s="22" t="str">
        <f>IF('Cylinder Detail'!AB351=0,"",'Cylinder Detail'!AB351)</f>
        <v/>
      </c>
      <c r="AD349" s="25" t="str">
        <f>IF('Sensor Detail'!F351=0,"","=" &amp; 'Sensor Detail'!F351)</f>
        <v/>
      </c>
      <c r="AE349" s="25" t="str">
        <f>IF('Sensor Detail'!H351=0,"",'Sensor Detail'!H351)</f>
        <v/>
      </c>
      <c r="AF349" s="27" t="str">
        <f>IF('Sensor Detail'!G351=0,"","-" &amp; 'Sensor Detail'!G351)</f>
        <v/>
      </c>
      <c r="AG349" s="27" t="str">
        <f>IF('Sensor Detail'!I351=0,"",'Sensor Detail'!I351)</f>
        <v/>
      </c>
      <c r="AH349" s="27" t="str">
        <f>IF('Sensor Detail'!E351=0,"","+" &amp; 'Sensor Detail'!E351)</f>
        <v/>
      </c>
      <c r="AI349" s="27" t="str">
        <f t="shared" si="87"/>
        <v/>
      </c>
      <c r="AJ349" s="27" t="str">
        <f>IF('Sensor Detail'!J351=0,"",'Sensor Detail'!J351)</f>
        <v/>
      </c>
      <c r="AK349" s="27" t="str">
        <f>IF('Sensor Detail'!K351=0,"",'Sensor Detail'!K351)</f>
        <v/>
      </c>
      <c r="AL349" s="27" t="str">
        <f>IF('Sensor Detail'!L351=0,"",'Sensor Detail'!L351)</f>
        <v/>
      </c>
      <c r="AM349" s="27" t="str">
        <f>IF('Sensor Detail'!M351=0,"",'Sensor Detail'!M351)</f>
        <v/>
      </c>
      <c r="AN349" s="27" t="str">
        <f>IF('Sensor Detail'!N351=0,"",'Sensor Detail'!N351)</f>
        <v/>
      </c>
      <c r="AO349" s="27" t="str">
        <f>IF('Sensor Detail'!O351=0,"",'Sensor Detail'!O351)</f>
        <v/>
      </c>
      <c r="AP349" s="15" t="str">
        <f t="shared" si="88"/>
        <v/>
      </c>
      <c r="AQ349" s="15" t="str">
        <f t="shared" si="89"/>
        <v/>
      </c>
    </row>
    <row r="350" spans="1:43">
      <c r="A350" s="13" t="str">
        <f t="shared" si="75"/>
        <v/>
      </c>
      <c r="B350" s="13" t="str">
        <f t="shared" si="76"/>
        <v/>
      </c>
      <c r="C350" s="15" t="str">
        <f t="shared" si="77"/>
        <v/>
      </c>
      <c r="D350" s="15" t="str">
        <f t="shared" si="78"/>
        <v/>
      </c>
      <c r="E350" s="15" t="str">
        <f t="shared" si="79"/>
        <v/>
      </c>
      <c r="F350" s="15" t="str">
        <f t="shared" si="80"/>
        <v/>
      </c>
      <c r="G350" s="15" t="str">
        <f t="shared" si="81"/>
        <v/>
      </c>
      <c r="H350" s="15" t="str">
        <f t="shared" si="82"/>
        <v/>
      </c>
      <c r="I350" s="15" t="str">
        <f t="shared" si="83"/>
        <v/>
      </c>
      <c r="J350" s="15" t="str">
        <f t="shared" si="84"/>
        <v/>
      </c>
      <c r="K350" s="13" t="str">
        <f>IF('Cylinder Detail'!U352=0,"",'Cylinder Detail'!U352)</f>
        <v/>
      </c>
      <c r="L350" s="13" t="str">
        <f>IF('Cylinder Detail'!Z352=0,"",_xlfn.TEXTBEFORE('Cylinder Detail'!Z352, ","))</f>
        <v/>
      </c>
      <c r="M350" s="13" t="str">
        <f t="shared" si="85"/>
        <v/>
      </c>
      <c r="N350" s="17" t="str">
        <f>IF('Cylinder Detail'!V352=0,"",'Cylinder Detail'!V352)</f>
        <v/>
      </c>
      <c r="O350" s="17" t="str">
        <f>IF('Cylinder Detail'!Z352=0,"",_xlfn.TEXTAFTER('Cylinder Detail'!Z352, ", "))</f>
        <v/>
      </c>
      <c r="P350" s="17" t="str">
        <f>IF('Cylinder Detail'!AA352=0,"",'Cylinder Detail'!AA352)</f>
        <v/>
      </c>
      <c r="Q350" s="19" t="str">
        <f>IF('Cylinder Detail'!W352=0,"",'Cylinder Detail'!W352)</f>
        <v/>
      </c>
      <c r="R350" s="19" t="str">
        <f>IF('Cylinder Detail'!Y352=0,"",'Cylinder Detail'!Y352)</f>
        <v/>
      </c>
      <c r="S350" s="21" t="str">
        <f>IF('Cylinder Detail'!X352=0,"",'Cylinder Detail'!X352)</f>
        <v/>
      </c>
      <c r="T350" s="21" t="str">
        <f>IF('Cylinder Detail'!F352=0,"",'Cylinder Detail'!F352)</f>
        <v/>
      </c>
      <c r="U350" s="21" t="str">
        <f>IF('Cylinder Detail'!R352=0,"",'Cylinder Detail'!R352)</f>
        <v/>
      </c>
      <c r="V350" s="21" t="str">
        <f>IF('Cylinder Detail'!Q352=0,"",'Cylinder Detail'!Q352)</f>
        <v/>
      </c>
      <c r="W350" s="21" t="str">
        <f>IF('Cylinder Detail'!E352=0,"","+" &amp; 'Cylinder Detail'!E352)</f>
        <v/>
      </c>
      <c r="X350" s="21" t="str">
        <f t="shared" si="86"/>
        <v/>
      </c>
      <c r="Y350" s="21" t="str">
        <f>IF('Cylinder Detail'!S352=0,"",'Cylinder Detail'!S352)</f>
        <v/>
      </c>
      <c r="Z350" s="21" t="str">
        <f>IF('Cylinder Detail'!T352=0,"",'Cylinder Detail'!T352)</f>
        <v/>
      </c>
      <c r="AA350" s="21" t="str">
        <f>IF('Cylinder Detail'!H352=0,"",'Cylinder Detail'!H352)</f>
        <v/>
      </c>
      <c r="AB350" s="21" t="str">
        <f>IF('Cylinder Detail'!I352=0,"",'Cylinder Detail'!I352)</f>
        <v/>
      </c>
      <c r="AC350" s="22" t="str">
        <f>IF('Cylinder Detail'!AB352=0,"",'Cylinder Detail'!AB352)</f>
        <v/>
      </c>
      <c r="AD350" s="25" t="str">
        <f>IF('Sensor Detail'!F352=0,"","=" &amp; 'Sensor Detail'!F352)</f>
        <v/>
      </c>
      <c r="AE350" s="25" t="str">
        <f>IF('Sensor Detail'!H352=0,"",'Sensor Detail'!H352)</f>
        <v/>
      </c>
      <c r="AF350" s="27" t="str">
        <f>IF('Sensor Detail'!G352=0,"","-" &amp; 'Sensor Detail'!G352)</f>
        <v/>
      </c>
      <c r="AG350" s="27" t="str">
        <f>IF('Sensor Detail'!I352=0,"",'Sensor Detail'!I352)</f>
        <v/>
      </c>
      <c r="AH350" s="27" t="str">
        <f>IF('Sensor Detail'!E352=0,"","+" &amp; 'Sensor Detail'!E352)</f>
        <v/>
      </c>
      <c r="AI350" s="27" t="str">
        <f t="shared" si="87"/>
        <v/>
      </c>
      <c r="AJ350" s="27" t="str">
        <f>IF('Sensor Detail'!J352=0,"",'Sensor Detail'!J352)</f>
        <v/>
      </c>
      <c r="AK350" s="27" t="str">
        <f>IF('Sensor Detail'!K352=0,"",'Sensor Detail'!K352)</f>
        <v/>
      </c>
      <c r="AL350" s="27" t="str">
        <f>IF('Sensor Detail'!L352=0,"",'Sensor Detail'!L352)</f>
        <v/>
      </c>
      <c r="AM350" s="27" t="str">
        <f>IF('Sensor Detail'!M352=0,"",'Sensor Detail'!M352)</f>
        <v/>
      </c>
      <c r="AN350" s="27" t="str">
        <f>IF('Sensor Detail'!N352=0,"",'Sensor Detail'!N352)</f>
        <v/>
      </c>
      <c r="AO350" s="27" t="str">
        <f>IF('Sensor Detail'!O352=0,"",'Sensor Detail'!O352)</f>
        <v/>
      </c>
      <c r="AP350" s="15" t="str">
        <f t="shared" si="88"/>
        <v/>
      </c>
      <c r="AQ350" s="15" t="str">
        <f t="shared" si="89"/>
        <v/>
      </c>
    </row>
    <row r="351" spans="1:43">
      <c r="A351" s="13" t="str">
        <f t="shared" si="75"/>
        <v/>
      </c>
      <c r="B351" s="13" t="str">
        <f t="shared" si="76"/>
        <v/>
      </c>
      <c r="C351" s="15" t="str">
        <f t="shared" si="77"/>
        <v/>
      </c>
      <c r="D351" s="15" t="str">
        <f t="shared" si="78"/>
        <v/>
      </c>
      <c r="E351" s="15" t="str">
        <f t="shared" si="79"/>
        <v/>
      </c>
      <c r="F351" s="15" t="str">
        <f t="shared" si="80"/>
        <v/>
      </c>
      <c r="G351" s="15" t="str">
        <f t="shared" si="81"/>
        <v/>
      </c>
      <c r="H351" s="15" t="str">
        <f t="shared" si="82"/>
        <v/>
      </c>
      <c r="I351" s="15" t="str">
        <f t="shared" si="83"/>
        <v/>
      </c>
      <c r="J351" s="15" t="str">
        <f t="shared" si="84"/>
        <v/>
      </c>
      <c r="K351" s="13" t="str">
        <f>IF('Cylinder Detail'!U353=0,"",'Cylinder Detail'!U353)</f>
        <v/>
      </c>
      <c r="L351" s="13" t="str">
        <f>IF('Cylinder Detail'!Z353=0,"",_xlfn.TEXTBEFORE('Cylinder Detail'!Z353, ","))</f>
        <v/>
      </c>
      <c r="M351" s="13" t="str">
        <f t="shared" si="85"/>
        <v/>
      </c>
      <c r="N351" s="17" t="str">
        <f>IF('Cylinder Detail'!V353=0,"",'Cylinder Detail'!V353)</f>
        <v/>
      </c>
      <c r="O351" s="17" t="str">
        <f>IF('Cylinder Detail'!Z353=0,"",_xlfn.TEXTAFTER('Cylinder Detail'!Z353, ", "))</f>
        <v/>
      </c>
      <c r="P351" s="17" t="str">
        <f>IF('Cylinder Detail'!AA353=0,"",'Cylinder Detail'!AA353)</f>
        <v/>
      </c>
      <c r="Q351" s="19" t="str">
        <f>IF('Cylinder Detail'!W353=0,"",'Cylinder Detail'!W353)</f>
        <v/>
      </c>
      <c r="R351" s="19" t="str">
        <f>IF('Cylinder Detail'!Y353=0,"",'Cylinder Detail'!Y353)</f>
        <v/>
      </c>
      <c r="S351" s="21" t="str">
        <f>IF('Cylinder Detail'!X353=0,"",'Cylinder Detail'!X353)</f>
        <v/>
      </c>
      <c r="T351" s="21" t="str">
        <f>IF('Cylinder Detail'!F353=0,"",'Cylinder Detail'!F353)</f>
        <v/>
      </c>
      <c r="U351" s="21" t="str">
        <f>IF('Cylinder Detail'!R353=0,"",'Cylinder Detail'!R353)</f>
        <v/>
      </c>
      <c r="V351" s="21" t="str">
        <f>IF('Cylinder Detail'!Q353=0,"",'Cylinder Detail'!Q353)</f>
        <v/>
      </c>
      <c r="W351" s="21" t="str">
        <f>IF('Cylinder Detail'!E353=0,"","+" &amp; 'Cylinder Detail'!E353)</f>
        <v/>
      </c>
      <c r="X351" s="21" t="str">
        <f t="shared" si="86"/>
        <v/>
      </c>
      <c r="Y351" s="21" t="str">
        <f>IF('Cylinder Detail'!S353=0,"",'Cylinder Detail'!S353)</f>
        <v/>
      </c>
      <c r="Z351" s="21" t="str">
        <f>IF('Cylinder Detail'!T353=0,"",'Cylinder Detail'!T353)</f>
        <v/>
      </c>
      <c r="AA351" s="21" t="str">
        <f>IF('Cylinder Detail'!H353=0,"",'Cylinder Detail'!H353)</f>
        <v/>
      </c>
      <c r="AB351" s="21" t="str">
        <f>IF('Cylinder Detail'!I353=0,"",'Cylinder Detail'!I353)</f>
        <v/>
      </c>
      <c r="AC351" s="22" t="str">
        <f>IF('Cylinder Detail'!AB353=0,"",'Cylinder Detail'!AB353)</f>
        <v/>
      </c>
      <c r="AD351" s="25" t="str">
        <f>IF('Sensor Detail'!F353=0,"","=" &amp; 'Sensor Detail'!F353)</f>
        <v/>
      </c>
      <c r="AE351" s="25" t="str">
        <f>IF('Sensor Detail'!H353=0,"",'Sensor Detail'!H353)</f>
        <v/>
      </c>
      <c r="AF351" s="27" t="str">
        <f>IF('Sensor Detail'!G353=0,"","-" &amp; 'Sensor Detail'!G353)</f>
        <v/>
      </c>
      <c r="AG351" s="27" t="str">
        <f>IF('Sensor Detail'!I353=0,"",'Sensor Detail'!I353)</f>
        <v/>
      </c>
      <c r="AH351" s="27" t="str">
        <f>IF('Sensor Detail'!E353=0,"","+" &amp; 'Sensor Detail'!E353)</f>
        <v/>
      </c>
      <c r="AI351" s="27" t="str">
        <f t="shared" si="87"/>
        <v/>
      </c>
      <c r="AJ351" s="27" t="str">
        <f>IF('Sensor Detail'!J353=0,"",'Sensor Detail'!J353)</f>
        <v/>
      </c>
      <c r="AK351" s="27" t="str">
        <f>IF('Sensor Detail'!K353=0,"",'Sensor Detail'!K353)</f>
        <v/>
      </c>
      <c r="AL351" s="27" t="str">
        <f>IF('Sensor Detail'!L353=0,"",'Sensor Detail'!L353)</f>
        <v/>
      </c>
      <c r="AM351" s="27" t="str">
        <f>IF('Sensor Detail'!M353=0,"",'Sensor Detail'!M353)</f>
        <v/>
      </c>
      <c r="AN351" s="27" t="str">
        <f>IF('Sensor Detail'!N353=0,"",'Sensor Detail'!N353)</f>
        <v/>
      </c>
      <c r="AO351" s="27" t="str">
        <f>IF('Sensor Detail'!O353=0,"",'Sensor Detail'!O353)</f>
        <v/>
      </c>
      <c r="AP351" s="15" t="str">
        <f t="shared" si="88"/>
        <v/>
      </c>
      <c r="AQ351" s="15" t="str">
        <f t="shared" si="89"/>
        <v/>
      </c>
    </row>
    <row r="352" spans="1:43">
      <c r="A352" s="13" t="str">
        <f t="shared" si="75"/>
        <v/>
      </c>
      <c r="B352" s="13" t="str">
        <f t="shared" si="76"/>
        <v/>
      </c>
      <c r="C352" s="15" t="str">
        <f t="shared" si="77"/>
        <v/>
      </c>
      <c r="D352" s="15" t="str">
        <f t="shared" si="78"/>
        <v/>
      </c>
      <c r="E352" s="15" t="str">
        <f t="shared" si="79"/>
        <v/>
      </c>
      <c r="F352" s="15" t="str">
        <f t="shared" si="80"/>
        <v/>
      </c>
      <c r="G352" s="15" t="str">
        <f t="shared" si="81"/>
        <v/>
      </c>
      <c r="H352" s="15" t="str">
        <f t="shared" si="82"/>
        <v/>
      </c>
      <c r="I352" s="15" t="str">
        <f t="shared" si="83"/>
        <v/>
      </c>
      <c r="J352" s="15" t="str">
        <f t="shared" si="84"/>
        <v/>
      </c>
      <c r="K352" s="13" t="str">
        <f>IF('Cylinder Detail'!U354=0,"",'Cylinder Detail'!U354)</f>
        <v/>
      </c>
      <c r="L352" s="13" t="str">
        <f>IF('Cylinder Detail'!Z354=0,"",_xlfn.TEXTBEFORE('Cylinder Detail'!Z354, ","))</f>
        <v/>
      </c>
      <c r="M352" s="13" t="str">
        <f t="shared" si="85"/>
        <v/>
      </c>
      <c r="N352" s="17" t="str">
        <f>IF('Cylinder Detail'!V354=0,"",'Cylinder Detail'!V354)</f>
        <v/>
      </c>
      <c r="O352" s="17" t="str">
        <f>IF('Cylinder Detail'!Z354=0,"",_xlfn.TEXTAFTER('Cylinder Detail'!Z354, ", "))</f>
        <v/>
      </c>
      <c r="P352" s="17" t="str">
        <f>IF('Cylinder Detail'!AA354=0,"",'Cylinder Detail'!AA354)</f>
        <v/>
      </c>
      <c r="Q352" s="19" t="str">
        <f>IF('Cylinder Detail'!W354=0,"",'Cylinder Detail'!W354)</f>
        <v/>
      </c>
      <c r="R352" s="19" t="str">
        <f>IF('Cylinder Detail'!Y354=0,"",'Cylinder Detail'!Y354)</f>
        <v/>
      </c>
      <c r="S352" s="21" t="str">
        <f>IF('Cylinder Detail'!X354=0,"",'Cylinder Detail'!X354)</f>
        <v/>
      </c>
      <c r="T352" s="21" t="str">
        <f>IF('Cylinder Detail'!F354=0,"",'Cylinder Detail'!F354)</f>
        <v/>
      </c>
      <c r="U352" s="21" t="str">
        <f>IF('Cylinder Detail'!R354=0,"",'Cylinder Detail'!R354)</f>
        <v/>
      </c>
      <c r="V352" s="21" t="str">
        <f>IF('Cylinder Detail'!Q354=0,"",'Cylinder Detail'!Q354)</f>
        <v/>
      </c>
      <c r="W352" s="21" t="str">
        <f>IF('Cylinder Detail'!E354=0,"","+" &amp; 'Cylinder Detail'!E354)</f>
        <v/>
      </c>
      <c r="X352" s="21" t="str">
        <f t="shared" si="86"/>
        <v/>
      </c>
      <c r="Y352" s="21" t="str">
        <f>IF('Cylinder Detail'!S354=0,"",'Cylinder Detail'!S354)</f>
        <v/>
      </c>
      <c r="Z352" s="21" t="str">
        <f>IF('Cylinder Detail'!T354=0,"",'Cylinder Detail'!T354)</f>
        <v/>
      </c>
      <c r="AA352" s="21" t="str">
        <f>IF('Cylinder Detail'!H354=0,"",'Cylinder Detail'!H354)</f>
        <v/>
      </c>
      <c r="AB352" s="21" t="str">
        <f>IF('Cylinder Detail'!I354=0,"",'Cylinder Detail'!I354)</f>
        <v/>
      </c>
      <c r="AC352" s="22" t="str">
        <f>IF('Cylinder Detail'!AB354=0,"",'Cylinder Detail'!AB354)</f>
        <v/>
      </c>
      <c r="AD352" s="25" t="str">
        <f>IF('Sensor Detail'!F354=0,"","=" &amp; 'Sensor Detail'!F354)</f>
        <v/>
      </c>
      <c r="AE352" s="25" t="str">
        <f>IF('Sensor Detail'!H354=0,"",'Sensor Detail'!H354)</f>
        <v/>
      </c>
      <c r="AF352" s="27" t="str">
        <f>IF('Sensor Detail'!G354=0,"","-" &amp; 'Sensor Detail'!G354)</f>
        <v/>
      </c>
      <c r="AG352" s="27" t="str">
        <f>IF('Sensor Detail'!I354=0,"",'Sensor Detail'!I354)</f>
        <v/>
      </c>
      <c r="AH352" s="27" t="str">
        <f>IF('Sensor Detail'!E354=0,"","+" &amp; 'Sensor Detail'!E354)</f>
        <v/>
      </c>
      <c r="AI352" s="27" t="str">
        <f t="shared" si="87"/>
        <v/>
      </c>
      <c r="AJ352" s="27" t="str">
        <f>IF('Sensor Detail'!J354=0,"",'Sensor Detail'!J354)</f>
        <v/>
      </c>
      <c r="AK352" s="27" t="str">
        <f>IF('Sensor Detail'!K354=0,"",'Sensor Detail'!K354)</f>
        <v/>
      </c>
      <c r="AL352" s="27" t="str">
        <f>IF('Sensor Detail'!L354=0,"",'Sensor Detail'!L354)</f>
        <v/>
      </c>
      <c r="AM352" s="27" t="str">
        <f>IF('Sensor Detail'!M354=0,"",'Sensor Detail'!M354)</f>
        <v/>
      </c>
      <c r="AN352" s="27" t="str">
        <f>IF('Sensor Detail'!N354=0,"",'Sensor Detail'!N354)</f>
        <v/>
      </c>
      <c r="AO352" s="27" t="str">
        <f>IF('Sensor Detail'!O354=0,"",'Sensor Detail'!O354)</f>
        <v/>
      </c>
      <c r="AP352" s="15" t="str">
        <f t="shared" si="88"/>
        <v/>
      </c>
      <c r="AQ352" s="15" t="str">
        <f t="shared" si="89"/>
        <v/>
      </c>
    </row>
    <row r="353" spans="1:43">
      <c r="A353" s="13" t="str">
        <f t="shared" si="75"/>
        <v/>
      </c>
      <c r="B353" s="13" t="str">
        <f t="shared" si="76"/>
        <v/>
      </c>
      <c r="C353" s="15" t="str">
        <f t="shared" si="77"/>
        <v/>
      </c>
      <c r="D353" s="15" t="str">
        <f t="shared" si="78"/>
        <v/>
      </c>
      <c r="E353" s="15" t="str">
        <f t="shared" si="79"/>
        <v/>
      </c>
      <c r="F353" s="15" t="str">
        <f t="shared" si="80"/>
        <v/>
      </c>
      <c r="G353" s="15" t="str">
        <f t="shared" si="81"/>
        <v/>
      </c>
      <c r="H353" s="15" t="str">
        <f t="shared" si="82"/>
        <v/>
      </c>
      <c r="I353" s="15" t="str">
        <f t="shared" si="83"/>
        <v/>
      </c>
      <c r="J353" s="15" t="str">
        <f t="shared" si="84"/>
        <v/>
      </c>
      <c r="K353" s="13" t="str">
        <f>IF('Cylinder Detail'!U355=0,"",'Cylinder Detail'!U355)</f>
        <v/>
      </c>
      <c r="L353" s="13" t="str">
        <f>IF('Cylinder Detail'!Z355=0,"",_xlfn.TEXTBEFORE('Cylinder Detail'!Z355, ","))</f>
        <v/>
      </c>
      <c r="M353" s="13" t="str">
        <f t="shared" si="85"/>
        <v/>
      </c>
      <c r="N353" s="17" t="str">
        <f>IF('Cylinder Detail'!V355=0,"",'Cylinder Detail'!V355)</f>
        <v/>
      </c>
      <c r="O353" s="17" t="str">
        <f>IF('Cylinder Detail'!Z355=0,"",_xlfn.TEXTAFTER('Cylinder Detail'!Z355, ", "))</f>
        <v/>
      </c>
      <c r="P353" s="17" t="str">
        <f>IF('Cylinder Detail'!AA355=0,"",'Cylinder Detail'!AA355)</f>
        <v/>
      </c>
      <c r="Q353" s="19" t="str">
        <f>IF('Cylinder Detail'!W355=0,"",'Cylinder Detail'!W355)</f>
        <v/>
      </c>
      <c r="R353" s="19" t="str">
        <f>IF('Cylinder Detail'!Y355=0,"",'Cylinder Detail'!Y355)</f>
        <v/>
      </c>
      <c r="S353" s="21" t="str">
        <f>IF('Cylinder Detail'!X355=0,"",'Cylinder Detail'!X355)</f>
        <v/>
      </c>
      <c r="T353" s="21" t="str">
        <f>IF('Cylinder Detail'!F355=0,"",'Cylinder Detail'!F355)</f>
        <v/>
      </c>
      <c r="U353" s="21" t="str">
        <f>IF('Cylinder Detail'!R355=0,"",'Cylinder Detail'!R355)</f>
        <v/>
      </c>
      <c r="V353" s="21" t="str">
        <f>IF('Cylinder Detail'!Q355=0,"",'Cylinder Detail'!Q355)</f>
        <v/>
      </c>
      <c r="W353" s="21" t="str">
        <f>IF('Cylinder Detail'!E355=0,"","+" &amp; 'Cylinder Detail'!E355)</f>
        <v/>
      </c>
      <c r="X353" s="21" t="str">
        <f t="shared" si="86"/>
        <v/>
      </c>
      <c r="Y353" s="21" t="str">
        <f>IF('Cylinder Detail'!S355=0,"",'Cylinder Detail'!S355)</f>
        <v/>
      </c>
      <c r="Z353" s="21" t="str">
        <f>IF('Cylinder Detail'!T355=0,"",'Cylinder Detail'!T355)</f>
        <v/>
      </c>
      <c r="AA353" s="21" t="str">
        <f>IF('Cylinder Detail'!H355=0,"",'Cylinder Detail'!H355)</f>
        <v/>
      </c>
      <c r="AB353" s="21" t="str">
        <f>IF('Cylinder Detail'!I355=0,"",'Cylinder Detail'!I355)</f>
        <v/>
      </c>
      <c r="AC353" s="22" t="str">
        <f>IF('Cylinder Detail'!AB355=0,"",'Cylinder Detail'!AB355)</f>
        <v/>
      </c>
      <c r="AD353" s="25" t="str">
        <f>IF('Sensor Detail'!F355=0,"","=" &amp; 'Sensor Detail'!F355)</f>
        <v/>
      </c>
      <c r="AE353" s="25" t="str">
        <f>IF('Sensor Detail'!H355=0,"",'Sensor Detail'!H355)</f>
        <v/>
      </c>
      <c r="AF353" s="27" t="str">
        <f>IF('Sensor Detail'!G355=0,"","-" &amp; 'Sensor Detail'!G355)</f>
        <v/>
      </c>
      <c r="AG353" s="27" t="str">
        <f>IF('Sensor Detail'!I355=0,"",'Sensor Detail'!I355)</f>
        <v/>
      </c>
      <c r="AH353" s="27" t="str">
        <f>IF('Sensor Detail'!E355=0,"","+" &amp; 'Sensor Detail'!E355)</f>
        <v/>
      </c>
      <c r="AI353" s="27" t="str">
        <f t="shared" si="87"/>
        <v/>
      </c>
      <c r="AJ353" s="27" t="str">
        <f>IF('Sensor Detail'!J355=0,"",'Sensor Detail'!J355)</f>
        <v/>
      </c>
      <c r="AK353" s="27" t="str">
        <f>IF('Sensor Detail'!K355=0,"",'Sensor Detail'!K355)</f>
        <v/>
      </c>
      <c r="AL353" s="27" t="str">
        <f>IF('Sensor Detail'!L355=0,"",'Sensor Detail'!L355)</f>
        <v/>
      </c>
      <c r="AM353" s="27" t="str">
        <f>IF('Sensor Detail'!M355=0,"",'Sensor Detail'!M355)</f>
        <v/>
      </c>
      <c r="AN353" s="27" t="str">
        <f>IF('Sensor Detail'!N355=0,"",'Sensor Detail'!N355)</f>
        <v/>
      </c>
      <c r="AO353" s="27" t="str">
        <f>IF('Sensor Detail'!O355=0,"",'Sensor Detail'!O355)</f>
        <v/>
      </c>
      <c r="AP353" s="15" t="str">
        <f t="shared" si="88"/>
        <v/>
      </c>
      <c r="AQ353" s="15" t="str">
        <f t="shared" si="89"/>
        <v/>
      </c>
    </row>
    <row r="354" spans="1:43">
      <c r="A354" s="13" t="str">
        <f t="shared" si="75"/>
        <v/>
      </c>
      <c r="B354" s="13" t="str">
        <f t="shared" si="76"/>
        <v/>
      </c>
      <c r="C354" s="15" t="str">
        <f t="shared" si="77"/>
        <v/>
      </c>
      <c r="D354" s="15" t="str">
        <f t="shared" si="78"/>
        <v/>
      </c>
      <c r="E354" s="15" t="str">
        <f t="shared" si="79"/>
        <v/>
      </c>
      <c r="F354" s="15" t="str">
        <f t="shared" si="80"/>
        <v/>
      </c>
      <c r="G354" s="15" t="str">
        <f t="shared" si="81"/>
        <v/>
      </c>
      <c r="H354" s="15" t="str">
        <f t="shared" si="82"/>
        <v/>
      </c>
      <c r="I354" s="15" t="str">
        <f t="shared" si="83"/>
        <v/>
      </c>
      <c r="J354" s="15" t="str">
        <f t="shared" si="84"/>
        <v/>
      </c>
      <c r="K354" s="13" t="str">
        <f>IF('Cylinder Detail'!U356=0,"",'Cylinder Detail'!U356)</f>
        <v/>
      </c>
      <c r="L354" s="13" t="str">
        <f>IF('Cylinder Detail'!Z356=0,"",_xlfn.TEXTBEFORE('Cylinder Detail'!Z356, ","))</f>
        <v/>
      </c>
      <c r="M354" s="13" t="str">
        <f t="shared" si="85"/>
        <v/>
      </c>
      <c r="N354" s="17" t="str">
        <f>IF('Cylinder Detail'!V356=0,"",'Cylinder Detail'!V356)</f>
        <v/>
      </c>
      <c r="O354" s="17" t="str">
        <f>IF('Cylinder Detail'!Z356=0,"",_xlfn.TEXTAFTER('Cylinder Detail'!Z356, ", "))</f>
        <v/>
      </c>
      <c r="P354" s="17" t="str">
        <f>IF('Cylinder Detail'!AA356=0,"",'Cylinder Detail'!AA356)</f>
        <v/>
      </c>
      <c r="Q354" s="19" t="str">
        <f>IF('Cylinder Detail'!W356=0,"",'Cylinder Detail'!W356)</f>
        <v/>
      </c>
      <c r="R354" s="19" t="str">
        <f>IF('Cylinder Detail'!Y356=0,"",'Cylinder Detail'!Y356)</f>
        <v/>
      </c>
      <c r="S354" s="21" t="str">
        <f>IF('Cylinder Detail'!X356=0,"",'Cylinder Detail'!X356)</f>
        <v/>
      </c>
      <c r="T354" s="21" t="str">
        <f>IF('Cylinder Detail'!F356=0,"",'Cylinder Detail'!F356)</f>
        <v/>
      </c>
      <c r="U354" s="21" t="str">
        <f>IF('Cylinder Detail'!R356=0,"",'Cylinder Detail'!R356)</f>
        <v/>
      </c>
      <c r="V354" s="21" t="str">
        <f>IF('Cylinder Detail'!Q356=0,"",'Cylinder Detail'!Q356)</f>
        <v/>
      </c>
      <c r="W354" s="21" t="str">
        <f>IF('Cylinder Detail'!E356=0,"","+" &amp; 'Cylinder Detail'!E356)</f>
        <v/>
      </c>
      <c r="X354" s="21" t="str">
        <f t="shared" si="86"/>
        <v/>
      </c>
      <c r="Y354" s="21" t="str">
        <f>IF('Cylinder Detail'!S356=0,"",'Cylinder Detail'!S356)</f>
        <v/>
      </c>
      <c r="Z354" s="21" t="str">
        <f>IF('Cylinder Detail'!T356=0,"",'Cylinder Detail'!T356)</f>
        <v/>
      </c>
      <c r="AA354" s="21" t="str">
        <f>IF('Cylinder Detail'!H356=0,"",'Cylinder Detail'!H356)</f>
        <v/>
      </c>
      <c r="AB354" s="21" t="str">
        <f>IF('Cylinder Detail'!I356=0,"",'Cylinder Detail'!I356)</f>
        <v/>
      </c>
      <c r="AC354" s="22" t="str">
        <f>IF('Cylinder Detail'!AB356=0,"",'Cylinder Detail'!AB356)</f>
        <v/>
      </c>
      <c r="AD354" s="25" t="str">
        <f>IF('Sensor Detail'!F356=0,"","=" &amp; 'Sensor Detail'!F356)</f>
        <v/>
      </c>
      <c r="AE354" s="25" t="str">
        <f>IF('Sensor Detail'!H356=0,"",'Sensor Detail'!H356)</f>
        <v/>
      </c>
      <c r="AF354" s="27" t="str">
        <f>IF('Sensor Detail'!G356=0,"","-" &amp; 'Sensor Detail'!G356)</f>
        <v/>
      </c>
      <c r="AG354" s="27" t="str">
        <f>IF('Sensor Detail'!I356=0,"",'Sensor Detail'!I356)</f>
        <v/>
      </c>
      <c r="AH354" s="27" t="str">
        <f>IF('Sensor Detail'!E356=0,"","+" &amp; 'Sensor Detail'!E356)</f>
        <v/>
      </c>
      <c r="AI354" s="27" t="str">
        <f t="shared" si="87"/>
        <v/>
      </c>
      <c r="AJ354" s="27" t="str">
        <f>IF('Sensor Detail'!J356=0,"",'Sensor Detail'!J356)</f>
        <v/>
      </c>
      <c r="AK354" s="27" t="str">
        <f>IF('Sensor Detail'!K356=0,"",'Sensor Detail'!K356)</f>
        <v/>
      </c>
      <c r="AL354" s="27" t="str">
        <f>IF('Sensor Detail'!L356=0,"",'Sensor Detail'!L356)</f>
        <v/>
      </c>
      <c r="AM354" s="27" t="str">
        <f>IF('Sensor Detail'!M356=0,"",'Sensor Detail'!M356)</f>
        <v/>
      </c>
      <c r="AN354" s="27" t="str">
        <f>IF('Sensor Detail'!N356=0,"",'Sensor Detail'!N356)</f>
        <v/>
      </c>
      <c r="AO354" s="27" t="str">
        <f>IF('Sensor Detail'!O356=0,"",'Sensor Detail'!O356)</f>
        <v/>
      </c>
      <c r="AP354" s="15" t="str">
        <f t="shared" si="88"/>
        <v/>
      </c>
      <c r="AQ354" s="15" t="str">
        <f t="shared" si="89"/>
        <v/>
      </c>
    </row>
    <row r="355" spans="1:43">
      <c r="A355" s="13" t="str">
        <f t="shared" si="75"/>
        <v/>
      </c>
      <c r="B355" s="13" t="str">
        <f t="shared" si="76"/>
        <v/>
      </c>
      <c r="C355" s="15" t="str">
        <f t="shared" si="77"/>
        <v/>
      </c>
      <c r="D355" s="15" t="str">
        <f t="shared" si="78"/>
        <v/>
      </c>
      <c r="E355" s="15" t="str">
        <f t="shared" si="79"/>
        <v/>
      </c>
      <c r="F355" s="15" t="str">
        <f t="shared" si="80"/>
        <v/>
      </c>
      <c r="G355" s="15" t="str">
        <f t="shared" si="81"/>
        <v/>
      </c>
      <c r="H355" s="15" t="str">
        <f t="shared" si="82"/>
        <v/>
      </c>
      <c r="I355" s="15" t="str">
        <f t="shared" si="83"/>
        <v/>
      </c>
      <c r="J355" s="15" t="str">
        <f t="shared" si="84"/>
        <v/>
      </c>
      <c r="K355" s="13" t="str">
        <f>IF('Cylinder Detail'!U357=0,"",'Cylinder Detail'!U357)</f>
        <v/>
      </c>
      <c r="L355" s="13" t="str">
        <f>IF('Cylinder Detail'!Z357=0,"",_xlfn.TEXTBEFORE('Cylinder Detail'!Z357, ","))</f>
        <v/>
      </c>
      <c r="M355" s="13" t="str">
        <f t="shared" si="85"/>
        <v/>
      </c>
      <c r="N355" s="17" t="str">
        <f>IF('Cylinder Detail'!V357=0,"",'Cylinder Detail'!V357)</f>
        <v/>
      </c>
      <c r="O355" s="17" t="str">
        <f>IF('Cylinder Detail'!Z357=0,"",_xlfn.TEXTAFTER('Cylinder Detail'!Z357, ", "))</f>
        <v/>
      </c>
      <c r="P355" s="17" t="str">
        <f>IF('Cylinder Detail'!AA357=0,"",'Cylinder Detail'!AA357)</f>
        <v/>
      </c>
      <c r="Q355" s="19" t="str">
        <f>IF('Cylinder Detail'!W357=0,"",'Cylinder Detail'!W357)</f>
        <v/>
      </c>
      <c r="R355" s="19" t="str">
        <f>IF('Cylinder Detail'!Y357=0,"",'Cylinder Detail'!Y357)</f>
        <v/>
      </c>
      <c r="S355" s="21" t="str">
        <f>IF('Cylinder Detail'!X357=0,"",'Cylinder Detail'!X357)</f>
        <v/>
      </c>
      <c r="T355" s="21" t="str">
        <f>IF('Cylinder Detail'!F357=0,"",'Cylinder Detail'!F357)</f>
        <v/>
      </c>
      <c r="U355" s="21" t="str">
        <f>IF('Cylinder Detail'!R357=0,"",'Cylinder Detail'!R357)</f>
        <v/>
      </c>
      <c r="V355" s="21" t="str">
        <f>IF('Cylinder Detail'!Q357=0,"",'Cylinder Detail'!Q357)</f>
        <v/>
      </c>
      <c r="W355" s="21" t="str">
        <f>IF('Cylinder Detail'!E357=0,"","+" &amp; 'Cylinder Detail'!E357)</f>
        <v/>
      </c>
      <c r="X355" s="21" t="str">
        <f t="shared" si="86"/>
        <v/>
      </c>
      <c r="Y355" s="21" t="str">
        <f>IF('Cylinder Detail'!S357=0,"",'Cylinder Detail'!S357)</f>
        <v/>
      </c>
      <c r="Z355" s="21" t="str">
        <f>IF('Cylinder Detail'!T357=0,"",'Cylinder Detail'!T357)</f>
        <v/>
      </c>
      <c r="AA355" s="21" t="str">
        <f>IF('Cylinder Detail'!H357=0,"",'Cylinder Detail'!H357)</f>
        <v/>
      </c>
      <c r="AB355" s="21" t="str">
        <f>IF('Cylinder Detail'!I357=0,"",'Cylinder Detail'!I357)</f>
        <v/>
      </c>
      <c r="AC355" s="22" t="str">
        <f>IF('Cylinder Detail'!AB357=0,"",'Cylinder Detail'!AB357)</f>
        <v/>
      </c>
      <c r="AD355" s="25" t="str">
        <f>IF('Sensor Detail'!F357=0,"","=" &amp; 'Sensor Detail'!F357)</f>
        <v/>
      </c>
      <c r="AE355" s="25" t="str">
        <f>IF('Sensor Detail'!H357=0,"",'Sensor Detail'!H357)</f>
        <v/>
      </c>
      <c r="AF355" s="27" t="str">
        <f>IF('Sensor Detail'!G357=0,"","-" &amp; 'Sensor Detail'!G357)</f>
        <v/>
      </c>
      <c r="AG355" s="27" t="str">
        <f>IF('Sensor Detail'!I357=0,"",'Sensor Detail'!I357)</f>
        <v/>
      </c>
      <c r="AH355" s="27" t="str">
        <f>IF('Sensor Detail'!E357=0,"","+" &amp; 'Sensor Detail'!E357)</f>
        <v/>
      </c>
      <c r="AI355" s="27" t="str">
        <f t="shared" si="87"/>
        <v/>
      </c>
      <c r="AJ355" s="27" t="str">
        <f>IF('Sensor Detail'!J357=0,"",'Sensor Detail'!J357)</f>
        <v/>
      </c>
      <c r="AK355" s="27" t="str">
        <f>IF('Sensor Detail'!K357=0,"",'Sensor Detail'!K357)</f>
        <v/>
      </c>
      <c r="AL355" s="27" t="str">
        <f>IF('Sensor Detail'!L357=0,"",'Sensor Detail'!L357)</f>
        <v/>
      </c>
      <c r="AM355" s="27" t="str">
        <f>IF('Sensor Detail'!M357=0,"",'Sensor Detail'!M357)</f>
        <v/>
      </c>
      <c r="AN355" s="27" t="str">
        <f>IF('Sensor Detail'!N357=0,"",'Sensor Detail'!N357)</f>
        <v/>
      </c>
      <c r="AO355" s="27" t="str">
        <f>IF('Sensor Detail'!O357=0,"",'Sensor Detail'!O357)</f>
        <v/>
      </c>
      <c r="AP355" s="15" t="str">
        <f t="shared" si="88"/>
        <v/>
      </c>
      <c r="AQ355" s="15" t="str">
        <f t="shared" si="89"/>
        <v/>
      </c>
    </row>
    <row r="356" spans="1:43">
      <c r="A356" s="13" t="str">
        <f t="shared" si="75"/>
        <v/>
      </c>
      <c r="B356" s="13" t="str">
        <f t="shared" si="76"/>
        <v/>
      </c>
      <c r="C356" s="15" t="str">
        <f t="shared" si="77"/>
        <v/>
      </c>
      <c r="D356" s="15" t="str">
        <f t="shared" si="78"/>
        <v/>
      </c>
      <c r="E356" s="15" t="str">
        <f t="shared" si="79"/>
        <v/>
      </c>
      <c r="F356" s="15" t="str">
        <f t="shared" si="80"/>
        <v/>
      </c>
      <c r="G356" s="15" t="str">
        <f t="shared" si="81"/>
        <v/>
      </c>
      <c r="H356" s="15" t="str">
        <f t="shared" si="82"/>
        <v/>
      </c>
      <c r="I356" s="15" t="str">
        <f t="shared" si="83"/>
        <v/>
      </c>
      <c r="J356" s="15" t="str">
        <f t="shared" si="84"/>
        <v/>
      </c>
      <c r="K356" s="13" t="str">
        <f>IF('Cylinder Detail'!U358=0,"",'Cylinder Detail'!U358)</f>
        <v/>
      </c>
      <c r="L356" s="13" t="str">
        <f>IF('Cylinder Detail'!Z358=0,"",_xlfn.TEXTBEFORE('Cylinder Detail'!Z358, ","))</f>
        <v/>
      </c>
      <c r="M356" s="13" t="str">
        <f t="shared" si="85"/>
        <v/>
      </c>
      <c r="N356" s="17" t="str">
        <f>IF('Cylinder Detail'!V358=0,"",'Cylinder Detail'!V358)</f>
        <v/>
      </c>
      <c r="O356" s="17" t="str">
        <f>IF('Cylinder Detail'!Z358=0,"",_xlfn.TEXTAFTER('Cylinder Detail'!Z358, ", "))</f>
        <v/>
      </c>
      <c r="P356" s="17" t="str">
        <f>IF('Cylinder Detail'!AA358=0,"",'Cylinder Detail'!AA358)</f>
        <v/>
      </c>
      <c r="Q356" s="19" t="str">
        <f>IF('Cylinder Detail'!W358=0,"",'Cylinder Detail'!W358)</f>
        <v/>
      </c>
      <c r="R356" s="19" t="str">
        <f>IF('Cylinder Detail'!Y358=0,"",'Cylinder Detail'!Y358)</f>
        <v/>
      </c>
      <c r="S356" s="21" t="str">
        <f>IF('Cylinder Detail'!X358=0,"",'Cylinder Detail'!X358)</f>
        <v/>
      </c>
      <c r="T356" s="21" t="str">
        <f>IF('Cylinder Detail'!F358=0,"",'Cylinder Detail'!F358)</f>
        <v/>
      </c>
      <c r="U356" s="21" t="str">
        <f>IF('Cylinder Detail'!R358=0,"",'Cylinder Detail'!R358)</f>
        <v/>
      </c>
      <c r="V356" s="21" t="str">
        <f>IF('Cylinder Detail'!Q358=0,"",'Cylinder Detail'!Q358)</f>
        <v/>
      </c>
      <c r="W356" s="21" t="str">
        <f>IF('Cylinder Detail'!E358=0,"","+" &amp; 'Cylinder Detail'!E358)</f>
        <v/>
      </c>
      <c r="X356" s="21" t="str">
        <f t="shared" si="86"/>
        <v/>
      </c>
      <c r="Y356" s="21" t="str">
        <f>IF('Cylinder Detail'!S358=0,"",'Cylinder Detail'!S358)</f>
        <v/>
      </c>
      <c r="Z356" s="21" t="str">
        <f>IF('Cylinder Detail'!T358=0,"",'Cylinder Detail'!T358)</f>
        <v/>
      </c>
      <c r="AA356" s="21" t="str">
        <f>IF('Cylinder Detail'!H358=0,"",'Cylinder Detail'!H358)</f>
        <v/>
      </c>
      <c r="AB356" s="21" t="str">
        <f>IF('Cylinder Detail'!I358=0,"",'Cylinder Detail'!I358)</f>
        <v/>
      </c>
      <c r="AC356" s="22" t="str">
        <f>IF('Cylinder Detail'!AB358=0,"",'Cylinder Detail'!AB358)</f>
        <v/>
      </c>
      <c r="AD356" s="25" t="str">
        <f>IF('Sensor Detail'!F358=0,"","=" &amp; 'Sensor Detail'!F358)</f>
        <v/>
      </c>
      <c r="AE356" s="25" t="str">
        <f>IF('Sensor Detail'!H358=0,"",'Sensor Detail'!H358)</f>
        <v/>
      </c>
      <c r="AF356" s="27" t="str">
        <f>IF('Sensor Detail'!G358=0,"","-" &amp; 'Sensor Detail'!G358)</f>
        <v/>
      </c>
      <c r="AG356" s="27" t="str">
        <f>IF('Sensor Detail'!I358=0,"",'Sensor Detail'!I358)</f>
        <v/>
      </c>
      <c r="AH356" s="27" t="str">
        <f>IF('Sensor Detail'!E358=0,"","+" &amp; 'Sensor Detail'!E358)</f>
        <v/>
      </c>
      <c r="AI356" s="27" t="str">
        <f t="shared" si="87"/>
        <v/>
      </c>
      <c r="AJ356" s="27" t="str">
        <f>IF('Sensor Detail'!J358=0,"",'Sensor Detail'!J358)</f>
        <v/>
      </c>
      <c r="AK356" s="27" t="str">
        <f>IF('Sensor Detail'!K358=0,"",'Sensor Detail'!K358)</f>
        <v/>
      </c>
      <c r="AL356" s="27" t="str">
        <f>IF('Sensor Detail'!L358=0,"",'Sensor Detail'!L358)</f>
        <v/>
      </c>
      <c r="AM356" s="27" t="str">
        <f>IF('Sensor Detail'!M358=0,"",'Sensor Detail'!M358)</f>
        <v/>
      </c>
      <c r="AN356" s="27" t="str">
        <f>IF('Sensor Detail'!N358=0,"",'Sensor Detail'!N358)</f>
        <v/>
      </c>
      <c r="AO356" s="27" t="str">
        <f>IF('Sensor Detail'!O358=0,"",'Sensor Detail'!O358)</f>
        <v/>
      </c>
      <c r="AP356" s="15" t="str">
        <f t="shared" si="88"/>
        <v/>
      </c>
      <c r="AQ356" s="15" t="str">
        <f t="shared" si="89"/>
        <v/>
      </c>
    </row>
    <row r="357" spans="1:43">
      <c r="A357" s="13" t="str">
        <f t="shared" si="75"/>
        <v/>
      </c>
      <c r="B357" s="13" t="str">
        <f t="shared" si="76"/>
        <v/>
      </c>
      <c r="C357" s="15" t="str">
        <f t="shared" si="77"/>
        <v/>
      </c>
      <c r="D357" s="15" t="str">
        <f t="shared" si="78"/>
        <v/>
      </c>
      <c r="E357" s="15" t="str">
        <f t="shared" si="79"/>
        <v/>
      </c>
      <c r="F357" s="15" t="str">
        <f t="shared" si="80"/>
        <v/>
      </c>
      <c r="G357" s="15" t="str">
        <f t="shared" si="81"/>
        <v/>
      </c>
      <c r="H357" s="15" t="str">
        <f t="shared" si="82"/>
        <v/>
      </c>
      <c r="I357" s="15" t="str">
        <f t="shared" si="83"/>
        <v/>
      </c>
      <c r="J357" s="15" t="str">
        <f t="shared" si="84"/>
        <v/>
      </c>
      <c r="K357" s="13" t="str">
        <f>IF('Cylinder Detail'!U359=0,"",'Cylinder Detail'!U359)</f>
        <v/>
      </c>
      <c r="L357" s="13" t="str">
        <f>IF('Cylinder Detail'!Z359=0,"",_xlfn.TEXTBEFORE('Cylinder Detail'!Z359, ","))</f>
        <v/>
      </c>
      <c r="M357" s="13" t="str">
        <f t="shared" si="85"/>
        <v/>
      </c>
      <c r="N357" s="17" t="str">
        <f>IF('Cylinder Detail'!V359=0,"",'Cylinder Detail'!V359)</f>
        <v/>
      </c>
      <c r="O357" s="17" t="str">
        <f>IF('Cylinder Detail'!Z359=0,"",_xlfn.TEXTAFTER('Cylinder Detail'!Z359, ", "))</f>
        <v/>
      </c>
      <c r="P357" s="17" t="str">
        <f>IF('Cylinder Detail'!AA359=0,"",'Cylinder Detail'!AA359)</f>
        <v/>
      </c>
      <c r="Q357" s="19" t="str">
        <f>IF('Cylinder Detail'!W359=0,"",'Cylinder Detail'!W359)</f>
        <v/>
      </c>
      <c r="R357" s="19" t="str">
        <f>IF('Cylinder Detail'!Y359=0,"",'Cylinder Detail'!Y359)</f>
        <v/>
      </c>
      <c r="S357" s="21" t="str">
        <f>IF('Cylinder Detail'!X359=0,"",'Cylinder Detail'!X359)</f>
        <v/>
      </c>
      <c r="T357" s="21" t="str">
        <f>IF('Cylinder Detail'!F359=0,"",'Cylinder Detail'!F359)</f>
        <v/>
      </c>
      <c r="U357" s="21" t="str">
        <f>IF('Cylinder Detail'!R359=0,"",'Cylinder Detail'!R359)</f>
        <v/>
      </c>
      <c r="V357" s="21" t="str">
        <f>IF('Cylinder Detail'!Q359=0,"",'Cylinder Detail'!Q359)</f>
        <v/>
      </c>
      <c r="W357" s="21" t="str">
        <f>IF('Cylinder Detail'!E359=0,"","+" &amp; 'Cylinder Detail'!E359)</f>
        <v/>
      </c>
      <c r="X357" s="21" t="str">
        <f t="shared" si="86"/>
        <v/>
      </c>
      <c r="Y357" s="21" t="str">
        <f>IF('Cylinder Detail'!S359=0,"",'Cylinder Detail'!S359)</f>
        <v/>
      </c>
      <c r="Z357" s="21" t="str">
        <f>IF('Cylinder Detail'!T359=0,"",'Cylinder Detail'!T359)</f>
        <v/>
      </c>
      <c r="AA357" s="21" t="str">
        <f>IF('Cylinder Detail'!H359=0,"",'Cylinder Detail'!H359)</f>
        <v/>
      </c>
      <c r="AB357" s="21" t="str">
        <f>IF('Cylinder Detail'!I359=0,"",'Cylinder Detail'!I359)</f>
        <v/>
      </c>
      <c r="AC357" s="22" t="str">
        <f>IF('Cylinder Detail'!AB359=0,"",'Cylinder Detail'!AB359)</f>
        <v/>
      </c>
      <c r="AD357" s="25" t="str">
        <f>IF('Sensor Detail'!F359=0,"","=" &amp; 'Sensor Detail'!F359)</f>
        <v/>
      </c>
      <c r="AE357" s="25" t="str">
        <f>IF('Sensor Detail'!H359=0,"",'Sensor Detail'!H359)</f>
        <v/>
      </c>
      <c r="AF357" s="27" t="str">
        <f>IF('Sensor Detail'!G359=0,"","-" &amp; 'Sensor Detail'!G359)</f>
        <v/>
      </c>
      <c r="AG357" s="27" t="str">
        <f>IF('Sensor Detail'!I359=0,"",'Sensor Detail'!I359)</f>
        <v/>
      </c>
      <c r="AH357" s="27" t="str">
        <f>IF('Sensor Detail'!E359=0,"","+" &amp; 'Sensor Detail'!E359)</f>
        <v/>
      </c>
      <c r="AI357" s="27" t="str">
        <f t="shared" si="87"/>
        <v/>
      </c>
      <c r="AJ357" s="27" t="str">
        <f>IF('Sensor Detail'!J359=0,"",'Sensor Detail'!J359)</f>
        <v/>
      </c>
      <c r="AK357" s="27" t="str">
        <f>IF('Sensor Detail'!K359=0,"",'Sensor Detail'!K359)</f>
        <v/>
      </c>
      <c r="AL357" s="27" t="str">
        <f>IF('Sensor Detail'!L359=0,"",'Sensor Detail'!L359)</f>
        <v/>
      </c>
      <c r="AM357" s="27" t="str">
        <f>IF('Sensor Detail'!M359=0,"",'Sensor Detail'!M359)</f>
        <v/>
      </c>
      <c r="AN357" s="27" t="str">
        <f>IF('Sensor Detail'!N359=0,"",'Sensor Detail'!N359)</f>
        <v/>
      </c>
      <c r="AO357" s="27" t="str">
        <f>IF('Sensor Detail'!O359=0,"",'Sensor Detail'!O359)</f>
        <v/>
      </c>
      <c r="AP357" s="15" t="str">
        <f t="shared" si="88"/>
        <v/>
      </c>
      <c r="AQ357" s="15" t="str">
        <f t="shared" si="89"/>
        <v/>
      </c>
    </row>
    <row r="358" spans="1:43">
      <c r="A358" s="13" t="str">
        <f t="shared" si="75"/>
        <v/>
      </c>
      <c r="B358" s="13" t="str">
        <f t="shared" si="76"/>
        <v/>
      </c>
      <c r="C358" s="15" t="str">
        <f t="shared" si="77"/>
        <v/>
      </c>
      <c r="D358" s="15" t="str">
        <f t="shared" si="78"/>
        <v/>
      </c>
      <c r="E358" s="15" t="str">
        <f t="shared" si="79"/>
        <v/>
      </c>
      <c r="F358" s="15" t="str">
        <f t="shared" si="80"/>
        <v/>
      </c>
      <c r="G358" s="15" t="str">
        <f t="shared" si="81"/>
        <v/>
      </c>
      <c r="H358" s="15" t="str">
        <f t="shared" si="82"/>
        <v/>
      </c>
      <c r="I358" s="15" t="str">
        <f t="shared" si="83"/>
        <v/>
      </c>
      <c r="J358" s="15" t="str">
        <f t="shared" si="84"/>
        <v/>
      </c>
      <c r="K358" s="13" t="str">
        <f>IF('Cylinder Detail'!U360=0,"",'Cylinder Detail'!U360)</f>
        <v/>
      </c>
      <c r="L358" s="13" t="str">
        <f>IF('Cylinder Detail'!Z360=0,"",_xlfn.TEXTBEFORE('Cylinder Detail'!Z360, ","))</f>
        <v/>
      </c>
      <c r="M358" s="13" t="str">
        <f t="shared" si="85"/>
        <v/>
      </c>
      <c r="N358" s="17" t="str">
        <f>IF('Cylinder Detail'!V360=0,"",'Cylinder Detail'!V360)</f>
        <v/>
      </c>
      <c r="O358" s="17" t="str">
        <f>IF('Cylinder Detail'!Z360=0,"",_xlfn.TEXTAFTER('Cylinder Detail'!Z360, ", "))</f>
        <v/>
      </c>
      <c r="P358" s="17" t="str">
        <f>IF('Cylinder Detail'!AA360=0,"",'Cylinder Detail'!AA360)</f>
        <v/>
      </c>
      <c r="Q358" s="19" t="str">
        <f>IF('Cylinder Detail'!W360=0,"",'Cylinder Detail'!W360)</f>
        <v/>
      </c>
      <c r="R358" s="19" t="str">
        <f>IF('Cylinder Detail'!Y360=0,"",'Cylinder Detail'!Y360)</f>
        <v/>
      </c>
      <c r="S358" s="21" t="str">
        <f>IF('Cylinder Detail'!X360=0,"",'Cylinder Detail'!X360)</f>
        <v/>
      </c>
      <c r="T358" s="21" t="str">
        <f>IF('Cylinder Detail'!F360=0,"",'Cylinder Detail'!F360)</f>
        <v/>
      </c>
      <c r="U358" s="21" t="str">
        <f>IF('Cylinder Detail'!R360=0,"",'Cylinder Detail'!R360)</f>
        <v/>
      </c>
      <c r="V358" s="21" t="str">
        <f>IF('Cylinder Detail'!Q360=0,"",'Cylinder Detail'!Q360)</f>
        <v/>
      </c>
      <c r="W358" s="21" t="str">
        <f>IF('Cylinder Detail'!E360=0,"","+" &amp; 'Cylinder Detail'!E360)</f>
        <v/>
      </c>
      <c r="X358" s="21" t="str">
        <f t="shared" si="86"/>
        <v/>
      </c>
      <c r="Y358" s="21" t="str">
        <f>IF('Cylinder Detail'!S360=0,"",'Cylinder Detail'!S360)</f>
        <v/>
      </c>
      <c r="Z358" s="21" t="str">
        <f>IF('Cylinder Detail'!T360=0,"",'Cylinder Detail'!T360)</f>
        <v/>
      </c>
      <c r="AA358" s="21" t="str">
        <f>IF('Cylinder Detail'!H360=0,"",'Cylinder Detail'!H360)</f>
        <v/>
      </c>
      <c r="AB358" s="21" t="str">
        <f>IF('Cylinder Detail'!I360=0,"",'Cylinder Detail'!I360)</f>
        <v/>
      </c>
      <c r="AC358" s="22" t="str">
        <f>IF('Cylinder Detail'!AB360=0,"",'Cylinder Detail'!AB360)</f>
        <v/>
      </c>
      <c r="AD358" s="25" t="str">
        <f>IF('Sensor Detail'!F360=0,"","=" &amp; 'Sensor Detail'!F360)</f>
        <v/>
      </c>
      <c r="AE358" s="25" t="str">
        <f>IF('Sensor Detail'!H360=0,"",'Sensor Detail'!H360)</f>
        <v/>
      </c>
      <c r="AF358" s="27" t="str">
        <f>IF('Sensor Detail'!G360=0,"","-" &amp; 'Sensor Detail'!G360)</f>
        <v/>
      </c>
      <c r="AG358" s="27" t="str">
        <f>IF('Sensor Detail'!I360=0,"",'Sensor Detail'!I360)</f>
        <v/>
      </c>
      <c r="AH358" s="27" t="str">
        <f>IF('Sensor Detail'!E360=0,"","+" &amp; 'Sensor Detail'!E360)</f>
        <v/>
      </c>
      <c r="AI358" s="27" t="str">
        <f t="shared" si="87"/>
        <v/>
      </c>
      <c r="AJ358" s="27" t="str">
        <f>IF('Sensor Detail'!J360=0,"",'Sensor Detail'!J360)</f>
        <v/>
      </c>
      <c r="AK358" s="27" t="str">
        <f>IF('Sensor Detail'!K360=0,"",'Sensor Detail'!K360)</f>
        <v/>
      </c>
      <c r="AL358" s="27" t="str">
        <f>IF('Sensor Detail'!L360=0,"",'Sensor Detail'!L360)</f>
        <v/>
      </c>
      <c r="AM358" s="27" t="str">
        <f>IF('Sensor Detail'!M360=0,"",'Sensor Detail'!M360)</f>
        <v/>
      </c>
      <c r="AN358" s="27" t="str">
        <f>IF('Sensor Detail'!N360=0,"",'Sensor Detail'!N360)</f>
        <v/>
      </c>
      <c r="AO358" s="27" t="str">
        <f>IF('Sensor Detail'!O360=0,"",'Sensor Detail'!O360)</f>
        <v/>
      </c>
      <c r="AP358" s="15" t="str">
        <f t="shared" si="88"/>
        <v/>
      </c>
      <c r="AQ358" s="15" t="str">
        <f t="shared" si="89"/>
        <v/>
      </c>
    </row>
    <row r="359" spans="1:43">
      <c r="A359" s="13" t="str">
        <f t="shared" si="75"/>
        <v/>
      </c>
      <c r="B359" s="13" t="str">
        <f t="shared" si="76"/>
        <v/>
      </c>
      <c r="C359" s="15" t="str">
        <f t="shared" si="77"/>
        <v/>
      </c>
      <c r="D359" s="15" t="str">
        <f t="shared" si="78"/>
        <v/>
      </c>
      <c r="E359" s="15" t="str">
        <f t="shared" si="79"/>
        <v/>
      </c>
      <c r="F359" s="15" t="str">
        <f t="shared" si="80"/>
        <v/>
      </c>
      <c r="G359" s="15" t="str">
        <f t="shared" si="81"/>
        <v/>
      </c>
      <c r="H359" s="15" t="str">
        <f t="shared" si="82"/>
        <v/>
      </c>
      <c r="I359" s="15" t="str">
        <f t="shared" si="83"/>
        <v/>
      </c>
      <c r="J359" s="15" t="str">
        <f t="shared" si="84"/>
        <v/>
      </c>
      <c r="K359" s="13" t="str">
        <f>IF('Cylinder Detail'!U361=0,"",'Cylinder Detail'!U361)</f>
        <v/>
      </c>
      <c r="L359" s="13" t="str">
        <f>IF('Cylinder Detail'!Z361=0,"",_xlfn.TEXTBEFORE('Cylinder Detail'!Z361, ","))</f>
        <v/>
      </c>
      <c r="M359" s="13" t="str">
        <f t="shared" si="85"/>
        <v/>
      </c>
      <c r="N359" s="17" t="str">
        <f>IF('Cylinder Detail'!V361=0,"",'Cylinder Detail'!V361)</f>
        <v/>
      </c>
      <c r="O359" s="17" t="str">
        <f>IF('Cylinder Detail'!Z361=0,"",_xlfn.TEXTAFTER('Cylinder Detail'!Z361, ", "))</f>
        <v/>
      </c>
      <c r="P359" s="17" t="str">
        <f>IF('Cylinder Detail'!AA361=0,"",'Cylinder Detail'!AA361)</f>
        <v/>
      </c>
      <c r="Q359" s="19" t="str">
        <f>IF('Cylinder Detail'!W361=0,"",'Cylinder Detail'!W361)</f>
        <v/>
      </c>
      <c r="R359" s="19" t="str">
        <f>IF('Cylinder Detail'!Y361=0,"",'Cylinder Detail'!Y361)</f>
        <v/>
      </c>
      <c r="S359" s="21" t="str">
        <f>IF('Cylinder Detail'!X361=0,"",'Cylinder Detail'!X361)</f>
        <v/>
      </c>
      <c r="T359" s="21" t="str">
        <f>IF('Cylinder Detail'!F361=0,"",'Cylinder Detail'!F361)</f>
        <v/>
      </c>
      <c r="U359" s="21" t="str">
        <f>IF('Cylinder Detail'!R361=0,"",'Cylinder Detail'!R361)</f>
        <v/>
      </c>
      <c r="V359" s="21" t="str">
        <f>IF('Cylinder Detail'!Q361=0,"",'Cylinder Detail'!Q361)</f>
        <v/>
      </c>
      <c r="W359" s="21" t="str">
        <f>IF('Cylinder Detail'!E361=0,"","+" &amp; 'Cylinder Detail'!E361)</f>
        <v/>
      </c>
      <c r="X359" s="21" t="str">
        <f t="shared" si="86"/>
        <v/>
      </c>
      <c r="Y359" s="21" t="str">
        <f>IF('Cylinder Detail'!S361=0,"",'Cylinder Detail'!S361)</f>
        <v/>
      </c>
      <c r="Z359" s="21" t="str">
        <f>IF('Cylinder Detail'!T361=0,"",'Cylinder Detail'!T361)</f>
        <v/>
      </c>
      <c r="AA359" s="21" t="str">
        <f>IF('Cylinder Detail'!H361=0,"",'Cylinder Detail'!H361)</f>
        <v/>
      </c>
      <c r="AB359" s="21" t="str">
        <f>IF('Cylinder Detail'!I361=0,"",'Cylinder Detail'!I361)</f>
        <v/>
      </c>
      <c r="AC359" s="22" t="str">
        <f>IF('Cylinder Detail'!AB361=0,"",'Cylinder Detail'!AB361)</f>
        <v/>
      </c>
      <c r="AD359" s="25" t="str">
        <f>IF('Sensor Detail'!F361=0,"","=" &amp; 'Sensor Detail'!F361)</f>
        <v/>
      </c>
      <c r="AE359" s="25" t="str">
        <f>IF('Sensor Detail'!H361=0,"",'Sensor Detail'!H361)</f>
        <v/>
      </c>
      <c r="AF359" s="27" t="str">
        <f>IF('Sensor Detail'!G361=0,"","-" &amp; 'Sensor Detail'!G361)</f>
        <v/>
      </c>
      <c r="AG359" s="27" t="str">
        <f>IF('Sensor Detail'!I361=0,"",'Sensor Detail'!I361)</f>
        <v/>
      </c>
      <c r="AH359" s="27" t="str">
        <f>IF('Sensor Detail'!E361=0,"","+" &amp; 'Sensor Detail'!E361)</f>
        <v/>
      </c>
      <c r="AI359" s="27" t="str">
        <f t="shared" si="87"/>
        <v/>
      </c>
      <c r="AJ359" s="27" t="str">
        <f>IF('Sensor Detail'!J361=0,"",'Sensor Detail'!J361)</f>
        <v/>
      </c>
      <c r="AK359" s="27" t="str">
        <f>IF('Sensor Detail'!K361=0,"",'Sensor Detail'!K361)</f>
        <v/>
      </c>
      <c r="AL359" s="27" t="str">
        <f>IF('Sensor Detail'!L361=0,"",'Sensor Detail'!L361)</f>
        <v/>
      </c>
      <c r="AM359" s="27" t="str">
        <f>IF('Sensor Detail'!M361=0,"",'Sensor Detail'!M361)</f>
        <v/>
      </c>
      <c r="AN359" s="27" t="str">
        <f>IF('Sensor Detail'!N361=0,"",'Sensor Detail'!N361)</f>
        <v/>
      </c>
      <c r="AO359" s="27" t="str">
        <f>IF('Sensor Detail'!O361=0,"",'Sensor Detail'!O361)</f>
        <v/>
      </c>
      <c r="AP359" s="15" t="str">
        <f t="shared" si="88"/>
        <v/>
      </c>
      <c r="AQ359" s="15" t="str">
        <f t="shared" si="89"/>
        <v/>
      </c>
    </row>
    <row r="360" spans="1:43">
      <c r="A360" s="13" t="str">
        <f t="shared" si="75"/>
        <v/>
      </c>
      <c r="B360" s="13" t="str">
        <f t="shared" si="76"/>
        <v/>
      </c>
      <c r="C360" s="15" t="str">
        <f t="shared" si="77"/>
        <v/>
      </c>
      <c r="D360" s="15" t="str">
        <f t="shared" si="78"/>
        <v/>
      </c>
      <c r="E360" s="15" t="str">
        <f t="shared" si="79"/>
        <v/>
      </c>
      <c r="F360" s="15" t="str">
        <f t="shared" si="80"/>
        <v/>
      </c>
      <c r="G360" s="15" t="str">
        <f t="shared" si="81"/>
        <v/>
      </c>
      <c r="H360" s="15" t="str">
        <f t="shared" si="82"/>
        <v/>
      </c>
      <c r="I360" s="15" t="str">
        <f t="shared" si="83"/>
        <v/>
      </c>
      <c r="J360" s="15" t="str">
        <f t="shared" si="84"/>
        <v/>
      </c>
      <c r="K360" s="13" t="str">
        <f>IF('Cylinder Detail'!U362=0,"",'Cylinder Detail'!U362)</f>
        <v/>
      </c>
      <c r="L360" s="13" t="str">
        <f>IF('Cylinder Detail'!Z362=0,"",_xlfn.TEXTBEFORE('Cylinder Detail'!Z362, ","))</f>
        <v/>
      </c>
      <c r="M360" s="13" t="str">
        <f t="shared" si="85"/>
        <v/>
      </c>
      <c r="N360" s="17" t="str">
        <f>IF('Cylinder Detail'!V362=0,"",'Cylinder Detail'!V362)</f>
        <v/>
      </c>
      <c r="O360" s="17" t="str">
        <f>IF('Cylinder Detail'!Z362=0,"",_xlfn.TEXTAFTER('Cylinder Detail'!Z362, ", "))</f>
        <v/>
      </c>
      <c r="P360" s="17" t="str">
        <f>IF('Cylinder Detail'!AA362=0,"",'Cylinder Detail'!AA362)</f>
        <v/>
      </c>
      <c r="Q360" s="19" t="str">
        <f>IF('Cylinder Detail'!W362=0,"",'Cylinder Detail'!W362)</f>
        <v/>
      </c>
      <c r="R360" s="19" t="str">
        <f>IF('Cylinder Detail'!Y362=0,"",'Cylinder Detail'!Y362)</f>
        <v/>
      </c>
      <c r="S360" s="21" t="str">
        <f>IF('Cylinder Detail'!X362=0,"",'Cylinder Detail'!X362)</f>
        <v/>
      </c>
      <c r="T360" s="21" t="str">
        <f>IF('Cylinder Detail'!F362=0,"",'Cylinder Detail'!F362)</f>
        <v/>
      </c>
      <c r="U360" s="21" t="str">
        <f>IF('Cylinder Detail'!R362=0,"",'Cylinder Detail'!R362)</f>
        <v/>
      </c>
      <c r="V360" s="21" t="str">
        <f>IF('Cylinder Detail'!Q362=0,"",'Cylinder Detail'!Q362)</f>
        <v/>
      </c>
      <c r="W360" s="21" t="str">
        <f>IF('Cylinder Detail'!E362=0,"","+" &amp; 'Cylinder Detail'!E362)</f>
        <v/>
      </c>
      <c r="X360" s="21" t="str">
        <f t="shared" si="86"/>
        <v/>
      </c>
      <c r="Y360" s="21" t="str">
        <f>IF('Cylinder Detail'!S362=0,"",'Cylinder Detail'!S362)</f>
        <v/>
      </c>
      <c r="Z360" s="21" t="str">
        <f>IF('Cylinder Detail'!T362=0,"",'Cylinder Detail'!T362)</f>
        <v/>
      </c>
      <c r="AA360" s="21" t="str">
        <f>IF('Cylinder Detail'!H362=0,"",'Cylinder Detail'!H362)</f>
        <v/>
      </c>
      <c r="AB360" s="21" t="str">
        <f>IF('Cylinder Detail'!I362=0,"",'Cylinder Detail'!I362)</f>
        <v/>
      </c>
      <c r="AC360" s="22" t="str">
        <f>IF('Cylinder Detail'!AB362=0,"",'Cylinder Detail'!AB362)</f>
        <v/>
      </c>
      <c r="AD360" s="25" t="str">
        <f>IF('Sensor Detail'!F362=0,"","=" &amp; 'Sensor Detail'!F362)</f>
        <v/>
      </c>
      <c r="AE360" s="25" t="str">
        <f>IF('Sensor Detail'!H362=0,"",'Sensor Detail'!H362)</f>
        <v/>
      </c>
      <c r="AF360" s="27" t="str">
        <f>IF('Sensor Detail'!G362=0,"","-" &amp; 'Sensor Detail'!G362)</f>
        <v/>
      </c>
      <c r="AG360" s="27" t="str">
        <f>IF('Sensor Detail'!I362=0,"",'Sensor Detail'!I362)</f>
        <v/>
      </c>
      <c r="AH360" s="27" t="str">
        <f>IF('Sensor Detail'!E362=0,"","+" &amp; 'Sensor Detail'!E362)</f>
        <v/>
      </c>
      <c r="AI360" s="27" t="str">
        <f t="shared" si="87"/>
        <v/>
      </c>
      <c r="AJ360" s="27" t="str">
        <f>IF('Sensor Detail'!J362=0,"",'Sensor Detail'!J362)</f>
        <v/>
      </c>
      <c r="AK360" s="27" t="str">
        <f>IF('Sensor Detail'!K362=0,"",'Sensor Detail'!K362)</f>
        <v/>
      </c>
      <c r="AL360" s="27" t="str">
        <f>IF('Sensor Detail'!L362=0,"",'Sensor Detail'!L362)</f>
        <v/>
      </c>
      <c r="AM360" s="27" t="str">
        <f>IF('Sensor Detail'!M362=0,"",'Sensor Detail'!M362)</f>
        <v/>
      </c>
      <c r="AN360" s="27" t="str">
        <f>IF('Sensor Detail'!N362=0,"",'Sensor Detail'!N362)</f>
        <v/>
      </c>
      <c r="AO360" s="27" t="str">
        <f>IF('Sensor Detail'!O362=0,"",'Sensor Detail'!O362)</f>
        <v/>
      </c>
      <c r="AP360" s="15" t="str">
        <f t="shared" si="88"/>
        <v/>
      </c>
      <c r="AQ360" s="15" t="str">
        <f t="shared" si="89"/>
        <v/>
      </c>
    </row>
    <row r="361" spans="1:43">
      <c r="A361" s="13" t="str">
        <f t="shared" si="75"/>
        <v/>
      </c>
      <c r="B361" s="13" t="str">
        <f t="shared" si="76"/>
        <v/>
      </c>
      <c r="C361" s="15" t="str">
        <f t="shared" si="77"/>
        <v/>
      </c>
      <c r="D361" s="15" t="str">
        <f t="shared" si="78"/>
        <v/>
      </c>
      <c r="E361" s="15" t="str">
        <f t="shared" si="79"/>
        <v/>
      </c>
      <c r="F361" s="15" t="str">
        <f t="shared" si="80"/>
        <v/>
      </c>
      <c r="G361" s="15" t="str">
        <f t="shared" si="81"/>
        <v/>
      </c>
      <c r="H361" s="15" t="str">
        <f t="shared" si="82"/>
        <v/>
      </c>
      <c r="I361" s="15" t="str">
        <f t="shared" si="83"/>
        <v/>
      </c>
      <c r="J361" s="15" t="str">
        <f t="shared" si="84"/>
        <v/>
      </c>
      <c r="K361" s="13" t="str">
        <f>IF('Cylinder Detail'!U363=0,"",'Cylinder Detail'!U363)</f>
        <v/>
      </c>
      <c r="L361" s="13" t="str">
        <f>IF('Cylinder Detail'!Z363=0,"",_xlfn.TEXTBEFORE('Cylinder Detail'!Z363, ","))</f>
        <v/>
      </c>
      <c r="M361" s="13" t="str">
        <f t="shared" si="85"/>
        <v/>
      </c>
      <c r="N361" s="17" t="str">
        <f>IF('Cylinder Detail'!V363=0,"",'Cylinder Detail'!V363)</f>
        <v/>
      </c>
      <c r="O361" s="17" t="str">
        <f>IF('Cylinder Detail'!Z363=0,"",_xlfn.TEXTAFTER('Cylinder Detail'!Z363, ", "))</f>
        <v/>
      </c>
      <c r="P361" s="17" t="str">
        <f>IF('Cylinder Detail'!AA363=0,"",'Cylinder Detail'!AA363)</f>
        <v/>
      </c>
      <c r="Q361" s="19" t="str">
        <f>IF('Cylinder Detail'!W363=0,"",'Cylinder Detail'!W363)</f>
        <v/>
      </c>
      <c r="R361" s="19" t="str">
        <f>IF('Cylinder Detail'!Y363=0,"",'Cylinder Detail'!Y363)</f>
        <v/>
      </c>
      <c r="S361" s="21" t="str">
        <f>IF('Cylinder Detail'!X363=0,"",'Cylinder Detail'!X363)</f>
        <v/>
      </c>
      <c r="T361" s="21" t="str">
        <f>IF('Cylinder Detail'!F363=0,"",'Cylinder Detail'!F363)</f>
        <v/>
      </c>
      <c r="U361" s="21" t="str">
        <f>IF('Cylinder Detail'!R363=0,"",'Cylinder Detail'!R363)</f>
        <v/>
      </c>
      <c r="V361" s="21" t="str">
        <f>IF('Cylinder Detail'!Q363=0,"",'Cylinder Detail'!Q363)</f>
        <v/>
      </c>
      <c r="W361" s="21" t="str">
        <f>IF('Cylinder Detail'!E363=0,"","+" &amp; 'Cylinder Detail'!E363)</f>
        <v/>
      </c>
      <c r="X361" s="21" t="str">
        <f t="shared" si="86"/>
        <v/>
      </c>
      <c r="Y361" s="21" t="str">
        <f>IF('Cylinder Detail'!S363=0,"",'Cylinder Detail'!S363)</f>
        <v/>
      </c>
      <c r="Z361" s="21" t="str">
        <f>IF('Cylinder Detail'!T363=0,"",'Cylinder Detail'!T363)</f>
        <v/>
      </c>
      <c r="AA361" s="21" t="str">
        <f>IF('Cylinder Detail'!H363=0,"",'Cylinder Detail'!H363)</f>
        <v/>
      </c>
      <c r="AB361" s="21" t="str">
        <f>IF('Cylinder Detail'!I363=0,"",'Cylinder Detail'!I363)</f>
        <v/>
      </c>
      <c r="AC361" s="22" t="str">
        <f>IF('Cylinder Detail'!AB363=0,"",'Cylinder Detail'!AB363)</f>
        <v/>
      </c>
      <c r="AD361" s="25" t="str">
        <f>IF('Sensor Detail'!F363=0,"","=" &amp; 'Sensor Detail'!F363)</f>
        <v/>
      </c>
      <c r="AE361" s="25" t="str">
        <f>IF('Sensor Detail'!H363=0,"",'Sensor Detail'!H363)</f>
        <v/>
      </c>
      <c r="AF361" s="27" t="str">
        <f>IF('Sensor Detail'!G363=0,"","-" &amp; 'Sensor Detail'!G363)</f>
        <v/>
      </c>
      <c r="AG361" s="27" t="str">
        <f>IF('Sensor Detail'!I363=0,"",'Sensor Detail'!I363)</f>
        <v/>
      </c>
      <c r="AH361" s="27" t="str">
        <f>IF('Sensor Detail'!E363=0,"","+" &amp; 'Sensor Detail'!E363)</f>
        <v/>
      </c>
      <c r="AI361" s="27" t="str">
        <f t="shared" si="87"/>
        <v/>
      </c>
      <c r="AJ361" s="27" t="str">
        <f>IF('Sensor Detail'!J363=0,"",'Sensor Detail'!J363)</f>
        <v/>
      </c>
      <c r="AK361" s="27" t="str">
        <f>IF('Sensor Detail'!K363=0,"",'Sensor Detail'!K363)</f>
        <v/>
      </c>
      <c r="AL361" s="27" t="str">
        <f>IF('Sensor Detail'!L363=0,"",'Sensor Detail'!L363)</f>
        <v/>
      </c>
      <c r="AM361" s="27" t="str">
        <f>IF('Sensor Detail'!M363=0,"",'Sensor Detail'!M363)</f>
        <v/>
      </c>
      <c r="AN361" s="27" t="str">
        <f>IF('Sensor Detail'!N363=0,"",'Sensor Detail'!N363)</f>
        <v/>
      </c>
      <c r="AO361" s="27" t="str">
        <f>IF('Sensor Detail'!O363=0,"",'Sensor Detail'!O363)</f>
        <v/>
      </c>
      <c r="AP361" s="15" t="str">
        <f t="shared" si="88"/>
        <v/>
      </c>
      <c r="AQ361" s="15" t="str">
        <f t="shared" si="89"/>
        <v/>
      </c>
    </row>
    <row r="362" spans="1:43">
      <c r="A362" s="13" t="str">
        <f t="shared" si="75"/>
        <v/>
      </c>
      <c r="B362" s="13" t="str">
        <f t="shared" si="76"/>
        <v/>
      </c>
      <c r="C362" s="15" t="str">
        <f t="shared" si="77"/>
        <v/>
      </c>
      <c r="D362" s="15" t="str">
        <f t="shared" si="78"/>
        <v/>
      </c>
      <c r="E362" s="15" t="str">
        <f t="shared" si="79"/>
        <v/>
      </c>
      <c r="F362" s="15" t="str">
        <f t="shared" si="80"/>
        <v/>
      </c>
      <c r="G362" s="15" t="str">
        <f t="shared" si="81"/>
        <v/>
      </c>
      <c r="H362" s="15" t="str">
        <f t="shared" si="82"/>
        <v/>
      </c>
      <c r="I362" s="15" t="str">
        <f t="shared" si="83"/>
        <v/>
      </c>
      <c r="J362" s="15" t="str">
        <f t="shared" si="84"/>
        <v/>
      </c>
      <c r="K362" s="13" t="str">
        <f>IF('Cylinder Detail'!U364=0,"",'Cylinder Detail'!U364)</f>
        <v/>
      </c>
      <c r="L362" s="13" t="str">
        <f>IF('Cylinder Detail'!Z364=0,"",_xlfn.TEXTBEFORE('Cylinder Detail'!Z364, ","))</f>
        <v/>
      </c>
      <c r="M362" s="13" t="str">
        <f t="shared" si="85"/>
        <v/>
      </c>
      <c r="N362" s="17" t="str">
        <f>IF('Cylinder Detail'!V364=0,"",'Cylinder Detail'!V364)</f>
        <v/>
      </c>
      <c r="O362" s="17" t="str">
        <f>IF('Cylinder Detail'!Z364=0,"",_xlfn.TEXTAFTER('Cylinder Detail'!Z364, ", "))</f>
        <v/>
      </c>
      <c r="P362" s="17" t="str">
        <f>IF('Cylinder Detail'!AA364=0,"",'Cylinder Detail'!AA364)</f>
        <v/>
      </c>
      <c r="Q362" s="19" t="str">
        <f>IF('Cylinder Detail'!W364=0,"",'Cylinder Detail'!W364)</f>
        <v/>
      </c>
      <c r="R362" s="19" t="str">
        <f>IF('Cylinder Detail'!Y364=0,"",'Cylinder Detail'!Y364)</f>
        <v/>
      </c>
      <c r="S362" s="21" t="str">
        <f>IF('Cylinder Detail'!X364=0,"",'Cylinder Detail'!X364)</f>
        <v/>
      </c>
      <c r="T362" s="21" t="str">
        <f>IF('Cylinder Detail'!F364=0,"",'Cylinder Detail'!F364)</f>
        <v/>
      </c>
      <c r="U362" s="21" t="str">
        <f>IF('Cylinder Detail'!R364=0,"",'Cylinder Detail'!R364)</f>
        <v/>
      </c>
      <c r="V362" s="21" t="str">
        <f>IF('Cylinder Detail'!Q364=0,"",'Cylinder Detail'!Q364)</f>
        <v/>
      </c>
      <c r="W362" s="21" t="str">
        <f>IF('Cylinder Detail'!E364=0,"","+" &amp; 'Cylinder Detail'!E364)</f>
        <v/>
      </c>
      <c r="X362" s="21" t="str">
        <f t="shared" si="86"/>
        <v/>
      </c>
      <c r="Y362" s="21" t="str">
        <f>IF('Cylinder Detail'!S364=0,"",'Cylinder Detail'!S364)</f>
        <v/>
      </c>
      <c r="Z362" s="21" t="str">
        <f>IF('Cylinder Detail'!T364=0,"",'Cylinder Detail'!T364)</f>
        <v/>
      </c>
      <c r="AA362" s="21" t="str">
        <f>IF('Cylinder Detail'!H364=0,"",'Cylinder Detail'!H364)</f>
        <v/>
      </c>
      <c r="AB362" s="21" t="str">
        <f>IF('Cylinder Detail'!I364=0,"",'Cylinder Detail'!I364)</f>
        <v/>
      </c>
      <c r="AC362" s="22" t="str">
        <f>IF('Cylinder Detail'!AB364=0,"",'Cylinder Detail'!AB364)</f>
        <v/>
      </c>
      <c r="AD362" s="25" t="str">
        <f>IF('Sensor Detail'!F364=0,"","=" &amp; 'Sensor Detail'!F364)</f>
        <v/>
      </c>
      <c r="AE362" s="25" t="str">
        <f>IF('Sensor Detail'!H364=0,"",'Sensor Detail'!H364)</f>
        <v/>
      </c>
      <c r="AF362" s="27" t="str">
        <f>IF('Sensor Detail'!G364=0,"","-" &amp; 'Sensor Detail'!G364)</f>
        <v/>
      </c>
      <c r="AG362" s="27" t="str">
        <f>IF('Sensor Detail'!I364=0,"",'Sensor Detail'!I364)</f>
        <v/>
      </c>
      <c r="AH362" s="27" t="str">
        <f>IF('Sensor Detail'!E364=0,"","+" &amp; 'Sensor Detail'!E364)</f>
        <v/>
      </c>
      <c r="AI362" s="27" t="str">
        <f t="shared" si="87"/>
        <v/>
      </c>
      <c r="AJ362" s="27" t="str">
        <f>IF('Sensor Detail'!J364=0,"",'Sensor Detail'!J364)</f>
        <v/>
      </c>
      <c r="AK362" s="27" t="str">
        <f>IF('Sensor Detail'!K364=0,"",'Sensor Detail'!K364)</f>
        <v/>
      </c>
      <c r="AL362" s="27" t="str">
        <f>IF('Sensor Detail'!L364=0,"",'Sensor Detail'!L364)</f>
        <v/>
      </c>
      <c r="AM362" s="27" t="str">
        <f>IF('Sensor Detail'!M364=0,"",'Sensor Detail'!M364)</f>
        <v/>
      </c>
      <c r="AN362" s="27" t="str">
        <f>IF('Sensor Detail'!N364=0,"",'Sensor Detail'!N364)</f>
        <v/>
      </c>
      <c r="AO362" s="27" t="str">
        <f>IF('Sensor Detail'!O364=0,"",'Sensor Detail'!O364)</f>
        <v/>
      </c>
      <c r="AP362" s="15" t="str">
        <f t="shared" si="88"/>
        <v/>
      </c>
      <c r="AQ362" s="15" t="str">
        <f t="shared" si="89"/>
        <v/>
      </c>
    </row>
    <row r="363" spans="1:43">
      <c r="A363" s="13" t="str">
        <f t="shared" si="75"/>
        <v/>
      </c>
      <c r="B363" s="13" t="str">
        <f t="shared" si="76"/>
        <v/>
      </c>
      <c r="C363" s="15" t="str">
        <f t="shared" si="77"/>
        <v/>
      </c>
      <c r="D363" s="15" t="str">
        <f t="shared" si="78"/>
        <v/>
      </c>
      <c r="E363" s="15" t="str">
        <f t="shared" si="79"/>
        <v/>
      </c>
      <c r="F363" s="15" t="str">
        <f t="shared" si="80"/>
        <v/>
      </c>
      <c r="G363" s="15" t="str">
        <f t="shared" si="81"/>
        <v/>
      </c>
      <c r="H363" s="15" t="str">
        <f t="shared" si="82"/>
        <v/>
      </c>
      <c r="I363" s="15" t="str">
        <f t="shared" si="83"/>
        <v/>
      </c>
      <c r="J363" s="15" t="str">
        <f t="shared" si="84"/>
        <v/>
      </c>
      <c r="K363" s="13" t="str">
        <f>IF('Cylinder Detail'!U365=0,"",'Cylinder Detail'!U365)</f>
        <v/>
      </c>
      <c r="L363" s="13" t="str">
        <f>IF('Cylinder Detail'!Z365=0,"",_xlfn.TEXTBEFORE('Cylinder Detail'!Z365, ","))</f>
        <v/>
      </c>
      <c r="M363" s="13" t="str">
        <f t="shared" si="85"/>
        <v/>
      </c>
      <c r="N363" s="17" t="str">
        <f>IF('Cylinder Detail'!V365=0,"",'Cylinder Detail'!V365)</f>
        <v/>
      </c>
      <c r="O363" s="17" t="str">
        <f>IF('Cylinder Detail'!Z365=0,"",_xlfn.TEXTAFTER('Cylinder Detail'!Z365, ", "))</f>
        <v/>
      </c>
      <c r="P363" s="17" t="str">
        <f>IF('Cylinder Detail'!AA365=0,"",'Cylinder Detail'!AA365)</f>
        <v/>
      </c>
      <c r="Q363" s="19" t="str">
        <f>IF('Cylinder Detail'!W365=0,"",'Cylinder Detail'!W365)</f>
        <v/>
      </c>
      <c r="R363" s="19" t="str">
        <f>IF('Cylinder Detail'!Y365=0,"",'Cylinder Detail'!Y365)</f>
        <v/>
      </c>
      <c r="S363" s="21" t="str">
        <f>IF('Cylinder Detail'!X365=0,"",'Cylinder Detail'!X365)</f>
        <v/>
      </c>
      <c r="T363" s="21" t="str">
        <f>IF('Cylinder Detail'!F365=0,"",'Cylinder Detail'!F365)</f>
        <v/>
      </c>
      <c r="U363" s="21" t="str">
        <f>IF('Cylinder Detail'!R365=0,"",'Cylinder Detail'!R365)</f>
        <v/>
      </c>
      <c r="V363" s="21" t="str">
        <f>IF('Cylinder Detail'!Q365=0,"",'Cylinder Detail'!Q365)</f>
        <v/>
      </c>
      <c r="W363" s="21" t="str">
        <f>IF('Cylinder Detail'!E365=0,"","+" &amp; 'Cylinder Detail'!E365)</f>
        <v/>
      </c>
      <c r="X363" s="21" t="str">
        <f t="shared" si="86"/>
        <v/>
      </c>
      <c r="Y363" s="21" t="str">
        <f>IF('Cylinder Detail'!S365=0,"",'Cylinder Detail'!S365)</f>
        <v/>
      </c>
      <c r="Z363" s="21" t="str">
        <f>IF('Cylinder Detail'!T365=0,"",'Cylinder Detail'!T365)</f>
        <v/>
      </c>
      <c r="AA363" s="21" t="str">
        <f>IF('Cylinder Detail'!H365=0,"",'Cylinder Detail'!H365)</f>
        <v/>
      </c>
      <c r="AB363" s="21" t="str">
        <f>IF('Cylinder Detail'!I365=0,"",'Cylinder Detail'!I365)</f>
        <v/>
      </c>
      <c r="AC363" s="22" t="str">
        <f>IF('Cylinder Detail'!AB365=0,"",'Cylinder Detail'!AB365)</f>
        <v/>
      </c>
      <c r="AD363" s="25" t="str">
        <f>IF('Sensor Detail'!F365=0,"","=" &amp; 'Sensor Detail'!F365)</f>
        <v/>
      </c>
      <c r="AE363" s="25" t="str">
        <f>IF('Sensor Detail'!H365=0,"",'Sensor Detail'!H365)</f>
        <v/>
      </c>
      <c r="AF363" s="27" t="str">
        <f>IF('Sensor Detail'!G365=0,"","-" &amp; 'Sensor Detail'!G365)</f>
        <v/>
      </c>
      <c r="AG363" s="27" t="str">
        <f>IF('Sensor Detail'!I365=0,"",'Sensor Detail'!I365)</f>
        <v/>
      </c>
      <c r="AH363" s="27" t="str">
        <f>IF('Sensor Detail'!E365=0,"","+" &amp; 'Sensor Detail'!E365)</f>
        <v/>
      </c>
      <c r="AI363" s="27" t="str">
        <f t="shared" si="87"/>
        <v/>
      </c>
      <c r="AJ363" s="27" t="str">
        <f>IF('Sensor Detail'!J365=0,"",'Sensor Detail'!J365)</f>
        <v/>
      </c>
      <c r="AK363" s="27" t="str">
        <f>IF('Sensor Detail'!K365=0,"",'Sensor Detail'!K365)</f>
        <v/>
      </c>
      <c r="AL363" s="27" t="str">
        <f>IF('Sensor Detail'!L365=0,"",'Sensor Detail'!L365)</f>
        <v/>
      </c>
      <c r="AM363" s="27" t="str">
        <f>IF('Sensor Detail'!M365=0,"",'Sensor Detail'!M365)</f>
        <v/>
      </c>
      <c r="AN363" s="27" t="str">
        <f>IF('Sensor Detail'!N365=0,"",'Sensor Detail'!N365)</f>
        <v/>
      </c>
      <c r="AO363" s="27" t="str">
        <f>IF('Sensor Detail'!O365=0,"",'Sensor Detail'!O365)</f>
        <v/>
      </c>
      <c r="AP363" s="15" t="str">
        <f t="shared" si="88"/>
        <v/>
      </c>
      <c r="AQ363" s="15" t="str">
        <f t="shared" si="89"/>
        <v/>
      </c>
    </row>
    <row r="364" spans="1:43">
      <c r="A364" s="13" t="str">
        <f t="shared" si="75"/>
        <v/>
      </c>
      <c r="B364" s="13" t="str">
        <f t="shared" si="76"/>
        <v/>
      </c>
      <c r="C364" s="15" t="str">
        <f t="shared" si="77"/>
        <v/>
      </c>
      <c r="D364" s="15" t="str">
        <f t="shared" si="78"/>
        <v/>
      </c>
      <c r="E364" s="15" t="str">
        <f t="shared" si="79"/>
        <v/>
      </c>
      <c r="F364" s="15" t="str">
        <f t="shared" si="80"/>
        <v/>
      </c>
      <c r="G364" s="15" t="str">
        <f t="shared" si="81"/>
        <v/>
      </c>
      <c r="H364" s="15" t="str">
        <f t="shared" si="82"/>
        <v/>
      </c>
      <c r="I364" s="15" t="str">
        <f t="shared" si="83"/>
        <v/>
      </c>
      <c r="J364" s="15" t="str">
        <f t="shared" si="84"/>
        <v/>
      </c>
      <c r="K364" s="13" t="str">
        <f>IF('Cylinder Detail'!U366=0,"",'Cylinder Detail'!U366)</f>
        <v/>
      </c>
      <c r="L364" s="13" t="str">
        <f>IF('Cylinder Detail'!Z366=0,"",_xlfn.TEXTBEFORE('Cylinder Detail'!Z366, ","))</f>
        <v/>
      </c>
      <c r="M364" s="13" t="str">
        <f t="shared" si="85"/>
        <v/>
      </c>
      <c r="N364" s="17" t="str">
        <f>IF('Cylinder Detail'!V366=0,"",'Cylinder Detail'!V366)</f>
        <v/>
      </c>
      <c r="O364" s="17" t="str">
        <f>IF('Cylinder Detail'!Z366=0,"",_xlfn.TEXTAFTER('Cylinder Detail'!Z366, ", "))</f>
        <v/>
      </c>
      <c r="P364" s="17" t="str">
        <f>IF('Cylinder Detail'!AA366=0,"",'Cylinder Detail'!AA366)</f>
        <v/>
      </c>
      <c r="Q364" s="19" t="str">
        <f>IF('Cylinder Detail'!W366=0,"",'Cylinder Detail'!W366)</f>
        <v/>
      </c>
      <c r="R364" s="19" t="str">
        <f>IF('Cylinder Detail'!Y366=0,"",'Cylinder Detail'!Y366)</f>
        <v/>
      </c>
      <c r="S364" s="21" t="str">
        <f>IF('Cylinder Detail'!X366=0,"",'Cylinder Detail'!X366)</f>
        <v/>
      </c>
      <c r="T364" s="21" t="str">
        <f>IF('Cylinder Detail'!F366=0,"",'Cylinder Detail'!F366)</f>
        <v/>
      </c>
      <c r="U364" s="21" t="str">
        <f>IF('Cylinder Detail'!R366=0,"",'Cylinder Detail'!R366)</f>
        <v/>
      </c>
      <c r="V364" s="21" t="str">
        <f>IF('Cylinder Detail'!Q366=0,"",'Cylinder Detail'!Q366)</f>
        <v/>
      </c>
      <c r="W364" s="21" t="str">
        <f>IF('Cylinder Detail'!E366=0,"","+" &amp; 'Cylinder Detail'!E366)</f>
        <v/>
      </c>
      <c r="X364" s="21" t="str">
        <f t="shared" si="86"/>
        <v/>
      </c>
      <c r="Y364" s="21" t="str">
        <f>IF('Cylinder Detail'!S366=0,"",'Cylinder Detail'!S366)</f>
        <v/>
      </c>
      <c r="Z364" s="21" t="str">
        <f>IF('Cylinder Detail'!T366=0,"",'Cylinder Detail'!T366)</f>
        <v/>
      </c>
      <c r="AA364" s="21" t="str">
        <f>IF('Cylinder Detail'!H366=0,"",'Cylinder Detail'!H366)</f>
        <v/>
      </c>
      <c r="AB364" s="21" t="str">
        <f>IF('Cylinder Detail'!I366=0,"",'Cylinder Detail'!I366)</f>
        <v/>
      </c>
      <c r="AC364" s="22" t="str">
        <f>IF('Cylinder Detail'!AB366=0,"",'Cylinder Detail'!AB366)</f>
        <v/>
      </c>
      <c r="AD364" s="25" t="str">
        <f>IF('Sensor Detail'!F366=0,"","=" &amp; 'Sensor Detail'!F366)</f>
        <v/>
      </c>
      <c r="AE364" s="25" t="str">
        <f>IF('Sensor Detail'!H366=0,"",'Sensor Detail'!H366)</f>
        <v/>
      </c>
      <c r="AF364" s="27" t="str">
        <f>IF('Sensor Detail'!G366=0,"","-" &amp; 'Sensor Detail'!G366)</f>
        <v/>
      </c>
      <c r="AG364" s="27" t="str">
        <f>IF('Sensor Detail'!I366=0,"",'Sensor Detail'!I366)</f>
        <v/>
      </c>
      <c r="AH364" s="27" t="str">
        <f>IF('Sensor Detail'!E366=0,"","+" &amp; 'Sensor Detail'!E366)</f>
        <v/>
      </c>
      <c r="AI364" s="27" t="str">
        <f t="shared" si="87"/>
        <v/>
      </c>
      <c r="AJ364" s="27" t="str">
        <f>IF('Sensor Detail'!J366=0,"",'Sensor Detail'!J366)</f>
        <v/>
      </c>
      <c r="AK364" s="27" t="str">
        <f>IF('Sensor Detail'!K366=0,"",'Sensor Detail'!K366)</f>
        <v/>
      </c>
      <c r="AL364" s="27" t="str">
        <f>IF('Sensor Detail'!L366=0,"",'Sensor Detail'!L366)</f>
        <v/>
      </c>
      <c r="AM364" s="27" t="str">
        <f>IF('Sensor Detail'!M366=0,"",'Sensor Detail'!M366)</f>
        <v/>
      </c>
      <c r="AN364" s="27" t="str">
        <f>IF('Sensor Detail'!N366=0,"",'Sensor Detail'!N366)</f>
        <v/>
      </c>
      <c r="AO364" s="27" t="str">
        <f>IF('Sensor Detail'!O366=0,"",'Sensor Detail'!O366)</f>
        <v/>
      </c>
      <c r="AP364" s="15" t="str">
        <f t="shared" si="88"/>
        <v/>
      </c>
      <c r="AQ364" s="15" t="str">
        <f t="shared" si="89"/>
        <v/>
      </c>
    </row>
    <row r="365" spans="1:43">
      <c r="A365" s="13" t="str">
        <f t="shared" si="75"/>
        <v/>
      </c>
      <c r="B365" s="13" t="str">
        <f t="shared" si="76"/>
        <v/>
      </c>
      <c r="C365" s="15" t="str">
        <f t="shared" si="77"/>
        <v/>
      </c>
      <c r="D365" s="15" t="str">
        <f t="shared" si="78"/>
        <v/>
      </c>
      <c r="E365" s="15" t="str">
        <f t="shared" si="79"/>
        <v/>
      </c>
      <c r="F365" s="15" t="str">
        <f t="shared" si="80"/>
        <v/>
      </c>
      <c r="G365" s="15" t="str">
        <f t="shared" si="81"/>
        <v/>
      </c>
      <c r="H365" s="15" t="str">
        <f t="shared" si="82"/>
        <v/>
      </c>
      <c r="I365" s="15" t="str">
        <f t="shared" si="83"/>
        <v/>
      </c>
      <c r="J365" s="15" t="str">
        <f t="shared" si="84"/>
        <v/>
      </c>
      <c r="K365" s="13" t="str">
        <f>IF('Cylinder Detail'!U367=0,"",'Cylinder Detail'!U367)</f>
        <v/>
      </c>
      <c r="L365" s="13" t="str">
        <f>IF('Cylinder Detail'!Z367=0,"",_xlfn.TEXTBEFORE('Cylinder Detail'!Z367, ","))</f>
        <v/>
      </c>
      <c r="M365" s="13" t="str">
        <f t="shared" si="85"/>
        <v/>
      </c>
      <c r="N365" s="17" t="str">
        <f>IF('Cylinder Detail'!V367=0,"",'Cylinder Detail'!V367)</f>
        <v/>
      </c>
      <c r="O365" s="17" t="str">
        <f>IF('Cylinder Detail'!Z367=0,"",_xlfn.TEXTAFTER('Cylinder Detail'!Z367, ", "))</f>
        <v/>
      </c>
      <c r="P365" s="17" t="str">
        <f>IF('Cylinder Detail'!AA367=0,"",'Cylinder Detail'!AA367)</f>
        <v/>
      </c>
      <c r="Q365" s="19" t="str">
        <f>IF('Cylinder Detail'!W367=0,"",'Cylinder Detail'!W367)</f>
        <v/>
      </c>
      <c r="R365" s="19" t="str">
        <f>IF('Cylinder Detail'!Y367=0,"",'Cylinder Detail'!Y367)</f>
        <v/>
      </c>
      <c r="S365" s="21" t="str">
        <f>IF('Cylinder Detail'!X367=0,"",'Cylinder Detail'!X367)</f>
        <v/>
      </c>
      <c r="T365" s="21" t="str">
        <f>IF('Cylinder Detail'!F367=0,"",'Cylinder Detail'!F367)</f>
        <v/>
      </c>
      <c r="U365" s="21" t="str">
        <f>IF('Cylinder Detail'!R367=0,"",'Cylinder Detail'!R367)</f>
        <v/>
      </c>
      <c r="V365" s="21" t="str">
        <f>IF('Cylinder Detail'!Q367=0,"",'Cylinder Detail'!Q367)</f>
        <v/>
      </c>
      <c r="W365" s="21" t="str">
        <f>IF('Cylinder Detail'!E367=0,"","+" &amp; 'Cylinder Detail'!E367)</f>
        <v/>
      </c>
      <c r="X365" s="21" t="str">
        <f t="shared" si="86"/>
        <v/>
      </c>
      <c r="Y365" s="21" t="str">
        <f>IF('Cylinder Detail'!S367=0,"",'Cylinder Detail'!S367)</f>
        <v/>
      </c>
      <c r="Z365" s="21" t="str">
        <f>IF('Cylinder Detail'!T367=0,"",'Cylinder Detail'!T367)</f>
        <v/>
      </c>
      <c r="AA365" s="21" t="str">
        <f>IF('Cylinder Detail'!H367=0,"",'Cylinder Detail'!H367)</f>
        <v/>
      </c>
      <c r="AB365" s="21" t="str">
        <f>IF('Cylinder Detail'!I367=0,"",'Cylinder Detail'!I367)</f>
        <v/>
      </c>
      <c r="AC365" s="22" t="str">
        <f>IF('Cylinder Detail'!AB367=0,"",'Cylinder Detail'!AB367)</f>
        <v/>
      </c>
      <c r="AD365" s="25" t="str">
        <f>IF('Sensor Detail'!F367=0,"","=" &amp; 'Sensor Detail'!F367)</f>
        <v/>
      </c>
      <c r="AE365" s="25" t="str">
        <f>IF('Sensor Detail'!H367=0,"",'Sensor Detail'!H367)</f>
        <v/>
      </c>
      <c r="AF365" s="27" t="str">
        <f>IF('Sensor Detail'!G367=0,"","-" &amp; 'Sensor Detail'!G367)</f>
        <v/>
      </c>
      <c r="AG365" s="27" t="str">
        <f>IF('Sensor Detail'!I367=0,"",'Sensor Detail'!I367)</f>
        <v/>
      </c>
      <c r="AH365" s="27" t="str">
        <f>IF('Sensor Detail'!E367=0,"","+" &amp; 'Sensor Detail'!E367)</f>
        <v/>
      </c>
      <c r="AI365" s="27" t="str">
        <f t="shared" si="87"/>
        <v/>
      </c>
      <c r="AJ365" s="27" t="str">
        <f>IF('Sensor Detail'!J367=0,"",'Sensor Detail'!J367)</f>
        <v/>
      </c>
      <c r="AK365" s="27" t="str">
        <f>IF('Sensor Detail'!K367=0,"",'Sensor Detail'!K367)</f>
        <v/>
      </c>
      <c r="AL365" s="27" t="str">
        <f>IF('Sensor Detail'!L367=0,"",'Sensor Detail'!L367)</f>
        <v/>
      </c>
      <c r="AM365" s="27" t="str">
        <f>IF('Sensor Detail'!M367=0,"",'Sensor Detail'!M367)</f>
        <v/>
      </c>
      <c r="AN365" s="27" t="str">
        <f>IF('Sensor Detail'!N367=0,"",'Sensor Detail'!N367)</f>
        <v/>
      </c>
      <c r="AO365" s="27" t="str">
        <f>IF('Sensor Detail'!O367=0,"",'Sensor Detail'!O367)</f>
        <v/>
      </c>
      <c r="AP365" s="15" t="str">
        <f t="shared" si="88"/>
        <v/>
      </c>
      <c r="AQ365" s="15" t="str">
        <f t="shared" si="89"/>
        <v/>
      </c>
    </row>
    <row r="366" spans="1:43">
      <c r="A366" s="13" t="str">
        <f t="shared" si="75"/>
        <v/>
      </c>
      <c r="B366" s="13" t="str">
        <f t="shared" si="76"/>
        <v/>
      </c>
      <c r="C366" s="15" t="str">
        <f t="shared" si="77"/>
        <v/>
      </c>
      <c r="D366" s="15" t="str">
        <f t="shared" si="78"/>
        <v/>
      </c>
      <c r="E366" s="15" t="str">
        <f t="shared" si="79"/>
        <v/>
      </c>
      <c r="F366" s="15" t="str">
        <f t="shared" si="80"/>
        <v/>
      </c>
      <c r="G366" s="15" t="str">
        <f t="shared" si="81"/>
        <v/>
      </c>
      <c r="H366" s="15" t="str">
        <f t="shared" si="82"/>
        <v/>
      </c>
      <c r="I366" s="15" t="str">
        <f t="shared" si="83"/>
        <v/>
      </c>
      <c r="J366" s="15" t="str">
        <f t="shared" si="84"/>
        <v/>
      </c>
      <c r="K366" s="13" t="str">
        <f>IF('Cylinder Detail'!U368=0,"",'Cylinder Detail'!U368)</f>
        <v/>
      </c>
      <c r="L366" s="13" t="str">
        <f>IF('Cylinder Detail'!Z368=0,"",_xlfn.TEXTBEFORE('Cylinder Detail'!Z368, ","))</f>
        <v/>
      </c>
      <c r="M366" s="13" t="str">
        <f t="shared" si="85"/>
        <v/>
      </c>
      <c r="N366" s="17" t="str">
        <f>IF('Cylinder Detail'!V368=0,"",'Cylinder Detail'!V368)</f>
        <v/>
      </c>
      <c r="O366" s="17" t="str">
        <f>IF('Cylinder Detail'!Z368=0,"",_xlfn.TEXTAFTER('Cylinder Detail'!Z368, ", "))</f>
        <v/>
      </c>
      <c r="P366" s="17" t="str">
        <f>IF('Cylinder Detail'!AA368=0,"",'Cylinder Detail'!AA368)</f>
        <v/>
      </c>
      <c r="Q366" s="19" t="str">
        <f>IF('Cylinder Detail'!W368=0,"",'Cylinder Detail'!W368)</f>
        <v/>
      </c>
      <c r="R366" s="19" t="str">
        <f>IF('Cylinder Detail'!Y368=0,"",'Cylinder Detail'!Y368)</f>
        <v/>
      </c>
      <c r="S366" s="21" t="str">
        <f>IF('Cylinder Detail'!X368=0,"",'Cylinder Detail'!X368)</f>
        <v/>
      </c>
      <c r="T366" s="21" t="str">
        <f>IF('Cylinder Detail'!F368=0,"",'Cylinder Detail'!F368)</f>
        <v/>
      </c>
      <c r="U366" s="21" t="str">
        <f>IF('Cylinder Detail'!R368=0,"",'Cylinder Detail'!R368)</f>
        <v/>
      </c>
      <c r="V366" s="21" t="str">
        <f>IF('Cylinder Detail'!Q368=0,"",'Cylinder Detail'!Q368)</f>
        <v/>
      </c>
      <c r="W366" s="21" t="str">
        <f>IF('Cylinder Detail'!E368=0,"","+" &amp; 'Cylinder Detail'!E368)</f>
        <v/>
      </c>
      <c r="X366" s="21" t="str">
        <f t="shared" si="86"/>
        <v/>
      </c>
      <c r="Y366" s="21" t="str">
        <f>IF('Cylinder Detail'!S368=0,"",'Cylinder Detail'!S368)</f>
        <v/>
      </c>
      <c r="Z366" s="21" t="str">
        <f>IF('Cylinder Detail'!T368=0,"",'Cylinder Detail'!T368)</f>
        <v/>
      </c>
      <c r="AA366" s="21" t="str">
        <f>IF('Cylinder Detail'!H368=0,"",'Cylinder Detail'!H368)</f>
        <v/>
      </c>
      <c r="AB366" s="21" t="str">
        <f>IF('Cylinder Detail'!I368=0,"",'Cylinder Detail'!I368)</f>
        <v/>
      </c>
      <c r="AC366" s="22" t="str">
        <f>IF('Cylinder Detail'!AB368=0,"",'Cylinder Detail'!AB368)</f>
        <v/>
      </c>
      <c r="AD366" s="25" t="str">
        <f>IF('Sensor Detail'!F368=0,"","=" &amp; 'Sensor Detail'!F368)</f>
        <v/>
      </c>
      <c r="AE366" s="25" t="str">
        <f>IF('Sensor Detail'!H368=0,"",'Sensor Detail'!H368)</f>
        <v/>
      </c>
      <c r="AF366" s="27" t="str">
        <f>IF('Sensor Detail'!G368=0,"","-" &amp; 'Sensor Detail'!G368)</f>
        <v/>
      </c>
      <c r="AG366" s="27" t="str">
        <f>IF('Sensor Detail'!I368=0,"",'Sensor Detail'!I368)</f>
        <v/>
      </c>
      <c r="AH366" s="27" t="str">
        <f>IF('Sensor Detail'!E368=0,"","+" &amp; 'Sensor Detail'!E368)</f>
        <v/>
      </c>
      <c r="AI366" s="27" t="str">
        <f t="shared" si="87"/>
        <v/>
      </c>
      <c r="AJ366" s="27" t="str">
        <f>IF('Sensor Detail'!J368=0,"",'Sensor Detail'!J368)</f>
        <v/>
      </c>
      <c r="AK366" s="27" t="str">
        <f>IF('Sensor Detail'!K368=0,"",'Sensor Detail'!K368)</f>
        <v/>
      </c>
      <c r="AL366" s="27" t="str">
        <f>IF('Sensor Detail'!L368=0,"",'Sensor Detail'!L368)</f>
        <v/>
      </c>
      <c r="AM366" s="27" t="str">
        <f>IF('Sensor Detail'!M368=0,"",'Sensor Detail'!M368)</f>
        <v/>
      </c>
      <c r="AN366" s="27" t="str">
        <f>IF('Sensor Detail'!N368=0,"",'Sensor Detail'!N368)</f>
        <v/>
      </c>
      <c r="AO366" s="27" t="str">
        <f>IF('Sensor Detail'!O368=0,"",'Sensor Detail'!O368)</f>
        <v/>
      </c>
      <c r="AP366" s="15" t="str">
        <f t="shared" si="88"/>
        <v/>
      </c>
      <c r="AQ366" s="15" t="str">
        <f t="shared" si="89"/>
        <v/>
      </c>
    </row>
    <row r="367" spans="1:43">
      <c r="A367" s="13" t="str">
        <f t="shared" si="75"/>
        <v/>
      </c>
      <c r="B367" s="13" t="str">
        <f t="shared" si="76"/>
        <v/>
      </c>
      <c r="C367" s="15" t="str">
        <f t="shared" si="77"/>
        <v/>
      </c>
      <c r="D367" s="15" t="str">
        <f t="shared" si="78"/>
        <v/>
      </c>
      <c r="E367" s="15" t="str">
        <f t="shared" si="79"/>
        <v/>
      </c>
      <c r="F367" s="15" t="str">
        <f t="shared" si="80"/>
        <v/>
      </c>
      <c r="G367" s="15" t="str">
        <f t="shared" si="81"/>
        <v/>
      </c>
      <c r="H367" s="15" t="str">
        <f t="shared" si="82"/>
        <v/>
      </c>
      <c r="I367" s="15" t="str">
        <f t="shared" si="83"/>
        <v/>
      </c>
      <c r="J367" s="15" t="str">
        <f t="shared" si="84"/>
        <v/>
      </c>
      <c r="K367" s="13" t="str">
        <f>IF('Cylinder Detail'!U369=0,"",'Cylinder Detail'!U369)</f>
        <v/>
      </c>
      <c r="L367" s="13" t="str">
        <f>IF('Cylinder Detail'!Z369=0,"",_xlfn.TEXTBEFORE('Cylinder Detail'!Z369, ","))</f>
        <v/>
      </c>
      <c r="M367" s="13" t="str">
        <f t="shared" si="85"/>
        <v/>
      </c>
      <c r="N367" s="17" t="str">
        <f>IF('Cylinder Detail'!V369=0,"",'Cylinder Detail'!V369)</f>
        <v/>
      </c>
      <c r="O367" s="17" t="str">
        <f>IF('Cylinder Detail'!Z369=0,"",_xlfn.TEXTAFTER('Cylinder Detail'!Z369, ", "))</f>
        <v/>
      </c>
      <c r="P367" s="17" t="str">
        <f>IF('Cylinder Detail'!AA369=0,"",'Cylinder Detail'!AA369)</f>
        <v/>
      </c>
      <c r="Q367" s="19" t="str">
        <f>IF('Cylinder Detail'!W369=0,"",'Cylinder Detail'!W369)</f>
        <v/>
      </c>
      <c r="R367" s="19" t="str">
        <f>IF('Cylinder Detail'!Y369=0,"",'Cylinder Detail'!Y369)</f>
        <v/>
      </c>
      <c r="S367" s="21" t="str">
        <f>IF('Cylinder Detail'!X369=0,"",'Cylinder Detail'!X369)</f>
        <v/>
      </c>
      <c r="T367" s="21" t="str">
        <f>IF('Cylinder Detail'!F369=0,"",'Cylinder Detail'!F369)</f>
        <v/>
      </c>
      <c r="U367" s="21" t="str">
        <f>IF('Cylinder Detail'!R369=0,"",'Cylinder Detail'!R369)</f>
        <v/>
      </c>
      <c r="V367" s="21" t="str">
        <f>IF('Cylinder Detail'!Q369=0,"",'Cylinder Detail'!Q369)</f>
        <v/>
      </c>
      <c r="W367" s="21" t="str">
        <f>IF('Cylinder Detail'!E369=0,"","+" &amp; 'Cylinder Detail'!E369)</f>
        <v/>
      </c>
      <c r="X367" s="21" t="str">
        <f t="shared" si="86"/>
        <v/>
      </c>
      <c r="Y367" s="21" t="str">
        <f>IF('Cylinder Detail'!S369=0,"",'Cylinder Detail'!S369)</f>
        <v/>
      </c>
      <c r="Z367" s="21" t="str">
        <f>IF('Cylinder Detail'!T369=0,"",'Cylinder Detail'!T369)</f>
        <v/>
      </c>
      <c r="AA367" s="21" t="str">
        <f>IF('Cylinder Detail'!H369=0,"",'Cylinder Detail'!H369)</f>
        <v/>
      </c>
      <c r="AB367" s="21" t="str">
        <f>IF('Cylinder Detail'!I369=0,"",'Cylinder Detail'!I369)</f>
        <v/>
      </c>
      <c r="AC367" s="22" t="str">
        <f>IF('Cylinder Detail'!AB369=0,"",'Cylinder Detail'!AB369)</f>
        <v/>
      </c>
      <c r="AD367" s="25" t="str">
        <f>IF('Sensor Detail'!F369=0,"","=" &amp; 'Sensor Detail'!F369)</f>
        <v/>
      </c>
      <c r="AE367" s="25" t="str">
        <f>IF('Sensor Detail'!H369=0,"",'Sensor Detail'!H369)</f>
        <v/>
      </c>
      <c r="AF367" s="27" t="str">
        <f>IF('Sensor Detail'!G369=0,"","-" &amp; 'Sensor Detail'!G369)</f>
        <v/>
      </c>
      <c r="AG367" s="27" t="str">
        <f>IF('Sensor Detail'!I369=0,"",'Sensor Detail'!I369)</f>
        <v/>
      </c>
      <c r="AH367" s="27" t="str">
        <f>IF('Sensor Detail'!E369=0,"","+" &amp; 'Sensor Detail'!E369)</f>
        <v/>
      </c>
      <c r="AI367" s="27" t="str">
        <f t="shared" si="87"/>
        <v/>
      </c>
      <c r="AJ367" s="27" t="str">
        <f>IF('Sensor Detail'!J369=0,"",'Sensor Detail'!J369)</f>
        <v/>
      </c>
      <c r="AK367" s="27" t="str">
        <f>IF('Sensor Detail'!K369=0,"",'Sensor Detail'!K369)</f>
        <v/>
      </c>
      <c r="AL367" s="27" t="str">
        <f>IF('Sensor Detail'!L369=0,"",'Sensor Detail'!L369)</f>
        <v/>
      </c>
      <c r="AM367" s="27" t="str">
        <f>IF('Sensor Detail'!M369=0,"",'Sensor Detail'!M369)</f>
        <v/>
      </c>
      <c r="AN367" s="27" t="str">
        <f>IF('Sensor Detail'!N369=0,"",'Sensor Detail'!N369)</f>
        <v/>
      </c>
      <c r="AO367" s="27" t="str">
        <f>IF('Sensor Detail'!O369=0,"",'Sensor Detail'!O369)</f>
        <v/>
      </c>
      <c r="AP367" s="15" t="str">
        <f t="shared" si="88"/>
        <v/>
      </c>
      <c r="AQ367" s="15" t="str">
        <f t="shared" si="89"/>
        <v/>
      </c>
    </row>
    <row r="368" spans="1:43">
      <c r="A368" s="13" t="str">
        <f t="shared" si="75"/>
        <v/>
      </c>
      <c r="B368" s="13" t="str">
        <f t="shared" si="76"/>
        <v/>
      </c>
      <c r="C368" s="15" t="str">
        <f t="shared" si="77"/>
        <v/>
      </c>
      <c r="D368" s="15" t="str">
        <f t="shared" si="78"/>
        <v/>
      </c>
      <c r="E368" s="15" t="str">
        <f t="shared" si="79"/>
        <v/>
      </c>
      <c r="F368" s="15" t="str">
        <f t="shared" si="80"/>
        <v/>
      </c>
      <c r="G368" s="15" t="str">
        <f t="shared" si="81"/>
        <v/>
      </c>
      <c r="H368" s="15" t="str">
        <f t="shared" si="82"/>
        <v/>
      </c>
      <c r="I368" s="15" t="str">
        <f t="shared" si="83"/>
        <v/>
      </c>
      <c r="J368" s="15" t="str">
        <f t="shared" si="84"/>
        <v/>
      </c>
      <c r="K368" s="13" t="str">
        <f>IF('Cylinder Detail'!U370=0,"",'Cylinder Detail'!U370)</f>
        <v/>
      </c>
      <c r="L368" s="13" t="str">
        <f>IF('Cylinder Detail'!Z370=0,"",_xlfn.TEXTBEFORE('Cylinder Detail'!Z370, ","))</f>
        <v/>
      </c>
      <c r="M368" s="13" t="str">
        <f t="shared" si="85"/>
        <v/>
      </c>
      <c r="N368" s="17" t="str">
        <f>IF('Cylinder Detail'!V370=0,"",'Cylinder Detail'!V370)</f>
        <v/>
      </c>
      <c r="O368" s="17" t="str">
        <f>IF('Cylinder Detail'!Z370=0,"",_xlfn.TEXTAFTER('Cylinder Detail'!Z370, ", "))</f>
        <v/>
      </c>
      <c r="P368" s="17" t="str">
        <f>IF('Cylinder Detail'!AA370=0,"",'Cylinder Detail'!AA370)</f>
        <v/>
      </c>
      <c r="Q368" s="19" t="str">
        <f>IF('Cylinder Detail'!W370=0,"",'Cylinder Detail'!W370)</f>
        <v/>
      </c>
      <c r="R368" s="19" t="str">
        <f>IF('Cylinder Detail'!Y370=0,"",'Cylinder Detail'!Y370)</f>
        <v/>
      </c>
      <c r="S368" s="21" t="str">
        <f>IF('Cylinder Detail'!X370=0,"",'Cylinder Detail'!X370)</f>
        <v/>
      </c>
      <c r="T368" s="21" t="str">
        <f>IF('Cylinder Detail'!F370=0,"",'Cylinder Detail'!F370)</f>
        <v/>
      </c>
      <c r="U368" s="21" t="str">
        <f>IF('Cylinder Detail'!R370=0,"",'Cylinder Detail'!R370)</f>
        <v/>
      </c>
      <c r="V368" s="21" t="str">
        <f>IF('Cylinder Detail'!Q370=0,"",'Cylinder Detail'!Q370)</f>
        <v/>
      </c>
      <c r="W368" s="21" t="str">
        <f>IF('Cylinder Detail'!E370=0,"","+" &amp; 'Cylinder Detail'!E370)</f>
        <v/>
      </c>
      <c r="X368" s="21" t="str">
        <f t="shared" si="86"/>
        <v/>
      </c>
      <c r="Y368" s="21" t="str">
        <f>IF('Cylinder Detail'!S370=0,"",'Cylinder Detail'!S370)</f>
        <v/>
      </c>
      <c r="Z368" s="21" t="str">
        <f>IF('Cylinder Detail'!T370=0,"",'Cylinder Detail'!T370)</f>
        <v/>
      </c>
      <c r="AA368" s="21" t="str">
        <f>IF('Cylinder Detail'!H370=0,"",'Cylinder Detail'!H370)</f>
        <v/>
      </c>
      <c r="AB368" s="21" t="str">
        <f>IF('Cylinder Detail'!I370=0,"",'Cylinder Detail'!I370)</f>
        <v/>
      </c>
      <c r="AC368" s="22" t="str">
        <f>IF('Cylinder Detail'!AB370=0,"",'Cylinder Detail'!AB370)</f>
        <v/>
      </c>
      <c r="AD368" s="25" t="str">
        <f>IF('Sensor Detail'!F370=0,"","=" &amp; 'Sensor Detail'!F370)</f>
        <v/>
      </c>
      <c r="AE368" s="25" t="str">
        <f>IF('Sensor Detail'!H370=0,"",'Sensor Detail'!H370)</f>
        <v/>
      </c>
      <c r="AF368" s="27" t="str">
        <f>IF('Sensor Detail'!G370=0,"","-" &amp; 'Sensor Detail'!G370)</f>
        <v/>
      </c>
      <c r="AG368" s="27" t="str">
        <f>IF('Sensor Detail'!I370=0,"",'Sensor Detail'!I370)</f>
        <v/>
      </c>
      <c r="AH368" s="27" t="str">
        <f>IF('Sensor Detail'!E370=0,"","+" &amp; 'Sensor Detail'!E370)</f>
        <v/>
      </c>
      <c r="AI368" s="27" t="str">
        <f t="shared" si="87"/>
        <v/>
      </c>
      <c r="AJ368" s="27" t="str">
        <f>IF('Sensor Detail'!J370=0,"",'Sensor Detail'!J370)</f>
        <v/>
      </c>
      <c r="AK368" s="27" t="str">
        <f>IF('Sensor Detail'!K370=0,"",'Sensor Detail'!K370)</f>
        <v/>
      </c>
      <c r="AL368" s="27" t="str">
        <f>IF('Sensor Detail'!L370=0,"",'Sensor Detail'!L370)</f>
        <v/>
      </c>
      <c r="AM368" s="27" t="str">
        <f>IF('Sensor Detail'!M370=0,"",'Sensor Detail'!M370)</f>
        <v/>
      </c>
      <c r="AN368" s="27" t="str">
        <f>IF('Sensor Detail'!N370=0,"",'Sensor Detail'!N370)</f>
        <v/>
      </c>
      <c r="AO368" s="27" t="str">
        <f>IF('Sensor Detail'!O370=0,"",'Sensor Detail'!O370)</f>
        <v/>
      </c>
      <c r="AP368" s="15" t="str">
        <f t="shared" si="88"/>
        <v/>
      </c>
      <c r="AQ368" s="15" t="str">
        <f t="shared" si="89"/>
        <v/>
      </c>
    </row>
    <row r="369" spans="1:43">
      <c r="A369" s="13" t="str">
        <f t="shared" si="75"/>
        <v/>
      </c>
      <c r="B369" s="13" t="str">
        <f t="shared" si="76"/>
        <v/>
      </c>
      <c r="C369" s="15" t="str">
        <f t="shared" si="77"/>
        <v/>
      </c>
      <c r="D369" s="15" t="str">
        <f t="shared" si="78"/>
        <v/>
      </c>
      <c r="E369" s="15" t="str">
        <f t="shared" si="79"/>
        <v/>
      </c>
      <c r="F369" s="15" t="str">
        <f t="shared" si="80"/>
        <v/>
      </c>
      <c r="G369" s="15" t="str">
        <f t="shared" si="81"/>
        <v/>
      </c>
      <c r="H369" s="15" t="str">
        <f t="shared" si="82"/>
        <v/>
      </c>
      <c r="I369" s="15" t="str">
        <f t="shared" si="83"/>
        <v/>
      </c>
      <c r="J369" s="15" t="str">
        <f t="shared" si="84"/>
        <v/>
      </c>
      <c r="K369" s="13" t="str">
        <f>IF('Cylinder Detail'!U371=0,"",'Cylinder Detail'!U371)</f>
        <v/>
      </c>
      <c r="L369" s="13" t="str">
        <f>IF('Cylinder Detail'!Z371=0,"",_xlfn.TEXTBEFORE('Cylinder Detail'!Z371, ","))</f>
        <v/>
      </c>
      <c r="M369" s="13" t="str">
        <f t="shared" si="85"/>
        <v/>
      </c>
      <c r="N369" s="17" t="str">
        <f>IF('Cylinder Detail'!V371=0,"",'Cylinder Detail'!V371)</f>
        <v/>
      </c>
      <c r="O369" s="17" t="str">
        <f>IF('Cylinder Detail'!Z371=0,"",_xlfn.TEXTAFTER('Cylinder Detail'!Z371, ", "))</f>
        <v/>
      </c>
      <c r="P369" s="17" t="str">
        <f>IF('Cylinder Detail'!AA371=0,"",'Cylinder Detail'!AA371)</f>
        <v/>
      </c>
      <c r="Q369" s="19" t="str">
        <f>IF('Cylinder Detail'!W371=0,"",'Cylinder Detail'!W371)</f>
        <v/>
      </c>
      <c r="R369" s="19" t="str">
        <f>IF('Cylinder Detail'!Y371=0,"",'Cylinder Detail'!Y371)</f>
        <v/>
      </c>
      <c r="S369" s="21" t="str">
        <f>IF('Cylinder Detail'!X371=0,"",'Cylinder Detail'!X371)</f>
        <v/>
      </c>
      <c r="T369" s="21" t="str">
        <f>IF('Cylinder Detail'!F371=0,"",'Cylinder Detail'!F371)</f>
        <v/>
      </c>
      <c r="U369" s="21" t="str">
        <f>IF('Cylinder Detail'!R371=0,"",'Cylinder Detail'!R371)</f>
        <v/>
      </c>
      <c r="V369" s="21" t="str">
        <f>IF('Cylinder Detail'!Q371=0,"",'Cylinder Detail'!Q371)</f>
        <v/>
      </c>
      <c r="W369" s="21" t="str">
        <f>IF('Cylinder Detail'!E371=0,"","+" &amp; 'Cylinder Detail'!E371)</f>
        <v/>
      </c>
      <c r="X369" s="21" t="str">
        <f t="shared" si="86"/>
        <v/>
      </c>
      <c r="Y369" s="21" t="str">
        <f>IF('Cylinder Detail'!S371=0,"",'Cylinder Detail'!S371)</f>
        <v/>
      </c>
      <c r="Z369" s="21" t="str">
        <f>IF('Cylinder Detail'!T371=0,"",'Cylinder Detail'!T371)</f>
        <v/>
      </c>
      <c r="AA369" s="21" t="str">
        <f>IF('Cylinder Detail'!H371=0,"",'Cylinder Detail'!H371)</f>
        <v/>
      </c>
      <c r="AB369" s="21" t="str">
        <f>IF('Cylinder Detail'!I371=0,"",'Cylinder Detail'!I371)</f>
        <v/>
      </c>
      <c r="AC369" s="22" t="str">
        <f>IF('Cylinder Detail'!AB371=0,"",'Cylinder Detail'!AB371)</f>
        <v/>
      </c>
      <c r="AD369" s="25" t="str">
        <f>IF('Sensor Detail'!F371=0,"","=" &amp; 'Sensor Detail'!F371)</f>
        <v/>
      </c>
      <c r="AE369" s="25" t="str">
        <f>IF('Sensor Detail'!H371=0,"",'Sensor Detail'!H371)</f>
        <v/>
      </c>
      <c r="AF369" s="27" t="str">
        <f>IF('Sensor Detail'!G371=0,"","-" &amp; 'Sensor Detail'!G371)</f>
        <v/>
      </c>
      <c r="AG369" s="27" t="str">
        <f>IF('Sensor Detail'!I371=0,"",'Sensor Detail'!I371)</f>
        <v/>
      </c>
      <c r="AH369" s="27" t="str">
        <f>IF('Sensor Detail'!E371=0,"","+" &amp; 'Sensor Detail'!E371)</f>
        <v/>
      </c>
      <c r="AI369" s="27" t="str">
        <f t="shared" si="87"/>
        <v/>
      </c>
      <c r="AJ369" s="27" t="str">
        <f>IF('Sensor Detail'!J371=0,"",'Sensor Detail'!J371)</f>
        <v/>
      </c>
      <c r="AK369" s="27" t="str">
        <f>IF('Sensor Detail'!K371=0,"",'Sensor Detail'!K371)</f>
        <v/>
      </c>
      <c r="AL369" s="27" t="str">
        <f>IF('Sensor Detail'!L371=0,"",'Sensor Detail'!L371)</f>
        <v/>
      </c>
      <c r="AM369" s="27" t="str">
        <f>IF('Sensor Detail'!M371=0,"",'Sensor Detail'!M371)</f>
        <v/>
      </c>
      <c r="AN369" s="27" t="str">
        <f>IF('Sensor Detail'!N371=0,"",'Sensor Detail'!N371)</f>
        <v/>
      </c>
      <c r="AO369" s="27" t="str">
        <f>IF('Sensor Detail'!O371=0,"",'Sensor Detail'!O371)</f>
        <v/>
      </c>
      <c r="AP369" s="15" t="str">
        <f t="shared" si="88"/>
        <v/>
      </c>
      <c r="AQ369" s="15" t="str">
        <f t="shared" si="89"/>
        <v/>
      </c>
    </row>
    <row r="370" spans="1:43">
      <c r="A370" s="13" t="str">
        <f t="shared" si="75"/>
        <v/>
      </c>
      <c r="B370" s="13" t="str">
        <f t="shared" si="76"/>
        <v/>
      </c>
      <c r="C370" s="15" t="str">
        <f t="shared" si="77"/>
        <v/>
      </c>
      <c r="D370" s="15" t="str">
        <f t="shared" si="78"/>
        <v/>
      </c>
      <c r="E370" s="15" t="str">
        <f t="shared" si="79"/>
        <v/>
      </c>
      <c r="F370" s="15" t="str">
        <f t="shared" si="80"/>
        <v/>
      </c>
      <c r="G370" s="15" t="str">
        <f t="shared" si="81"/>
        <v/>
      </c>
      <c r="H370" s="15" t="str">
        <f t="shared" si="82"/>
        <v/>
      </c>
      <c r="I370" s="15" t="str">
        <f t="shared" si="83"/>
        <v/>
      </c>
      <c r="J370" s="15" t="str">
        <f t="shared" si="84"/>
        <v/>
      </c>
      <c r="K370" s="13" t="str">
        <f>IF('Cylinder Detail'!U372=0,"",'Cylinder Detail'!U372)</f>
        <v/>
      </c>
      <c r="L370" s="13" t="str">
        <f>IF('Cylinder Detail'!Z372=0,"",_xlfn.TEXTBEFORE('Cylinder Detail'!Z372, ","))</f>
        <v/>
      </c>
      <c r="M370" s="13" t="str">
        <f t="shared" si="85"/>
        <v/>
      </c>
      <c r="N370" s="17" t="str">
        <f>IF('Cylinder Detail'!V372=0,"",'Cylinder Detail'!V372)</f>
        <v/>
      </c>
      <c r="O370" s="17" t="str">
        <f>IF('Cylinder Detail'!Z372=0,"",_xlfn.TEXTAFTER('Cylinder Detail'!Z372, ", "))</f>
        <v/>
      </c>
      <c r="P370" s="17" t="str">
        <f>IF('Cylinder Detail'!AA372=0,"",'Cylinder Detail'!AA372)</f>
        <v/>
      </c>
      <c r="Q370" s="19" t="str">
        <f>IF('Cylinder Detail'!W372=0,"",'Cylinder Detail'!W372)</f>
        <v/>
      </c>
      <c r="R370" s="19" t="str">
        <f>IF('Cylinder Detail'!Y372=0,"",'Cylinder Detail'!Y372)</f>
        <v/>
      </c>
      <c r="S370" s="21" t="str">
        <f>IF('Cylinder Detail'!X372=0,"",'Cylinder Detail'!X372)</f>
        <v/>
      </c>
      <c r="T370" s="21" t="str">
        <f>IF('Cylinder Detail'!F372=0,"",'Cylinder Detail'!F372)</f>
        <v/>
      </c>
      <c r="U370" s="21" t="str">
        <f>IF('Cylinder Detail'!R372=0,"",'Cylinder Detail'!R372)</f>
        <v/>
      </c>
      <c r="V370" s="21" t="str">
        <f>IF('Cylinder Detail'!Q372=0,"",'Cylinder Detail'!Q372)</f>
        <v/>
      </c>
      <c r="W370" s="21" t="str">
        <f>IF('Cylinder Detail'!E372=0,"","+" &amp; 'Cylinder Detail'!E372)</f>
        <v/>
      </c>
      <c r="X370" s="21" t="str">
        <f t="shared" si="86"/>
        <v/>
      </c>
      <c r="Y370" s="21" t="str">
        <f>IF('Cylinder Detail'!S372=0,"",'Cylinder Detail'!S372)</f>
        <v/>
      </c>
      <c r="Z370" s="21" t="str">
        <f>IF('Cylinder Detail'!T372=0,"",'Cylinder Detail'!T372)</f>
        <v/>
      </c>
      <c r="AA370" s="21" t="str">
        <f>IF('Cylinder Detail'!H372=0,"",'Cylinder Detail'!H372)</f>
        <v/>
      </c>
      <c r="AB370" s="21" t="str">
        <f>IF('Cylinder Detail'!I372=0,"",'Cylinder Detail'!I372)</f>
        <v/>
      </c>
      <c r="AC370" s="22" t="str">
        <f>IF('Cylinder Detail'!AB372=0,"",'Cylinder Detail'!AB372)</f>
        <v/>
      </c>
      <c r="AD370" s="25" t="str">
        <f>IF('Sensor Detail'!F372=0,"","=" &amp; 'Sensor Detail'!F372)</f>
        <v/>
      </c>
      <c r="AE370" s="25" t="str">
        <f>IF('Sensor Detail'!H372=0,"",'Sensor Detail'!H372)</f>
        <v/>
      </c>
      <c r="AF370" s="27" t="str">
        <f>IF('Sensor Detail'!G372=0,"","-" &amp; 'Sensor Detail'!G372)</f>
        <v/>
      </c>
      <c r="AG370" s="27" t="str">
        <f>IF('Sensor Detail'!I372=0,"",'Sensor Detail'!I372)</f>
        <v/>
      </c>
      <c r="AH370" s="27" t="str">
        <f>IF('Sensor Detail'!E372=0,"","+" &amp; 'Sensor Detail'!E372)</f>
        <v/>
      </c>
      <c r="AI370" s="27" t="str">
        <f t="shared" si="87"/>
        <v/>
      </c>
      <c r="AJ370" s="27" t="str">
        <f>IF('Sensor Detail'!J372=0,"",'Sensor Detail'!J372)</f>
        <v/>
      </c>
      <c r="AK370" s="27" t="str">
        <f>IF('Sensor Detail'!K372=0,"",'Sensor Detail'!K372)</f>
        <v/>
      </c>
      <c r="AL370" s="27" t="str">
        <f>IF('Sensor Detail'!L372=0,"",'Sensor Detail'!L372)</f>
        <v/>
      </c>
      <c r="AM370" s="27" t="str">
        <f>IF('Sensor Detail'!M372=0,"",'Sensor Detail'!M372)</f>
        <v/>
      </c>
      <c r="AN370" s="27" t="str">
        <f>IF('Sensor Detail'!N372=0,"",'Sensor Detail'!N372)</f>
        <v/>
      </c>
      <c r="AO370" s="27" t="str">
        <f>IF('Sensor Detail'!O372=0,"",'Sensor Detail'!O372)</f>
        <v/>
      </c>
      <c r="AP370" s="15" t="str">
        <f t="shared" si="88"/>
        <v/>
      </c>
      <c r="AQ370" s="15" t="str">
        <f t="shared" si="89"/>
        <v/>
      </c>
    </row>
    <row r="371" spans="1:43">
      <c r="A371" s="13" t="str">
        <f t="shared" si="75"/>
        <v/>
      </c>
      <c r="B371" s="13" t="str">
        <f t="shared" si="76"/>
        <v/>
      </c>
      <c r="C371" s="15" t="str">
        <f t="shared" si="77"/>
        <v/>
      </c>
      <c r="D371" s="15" t="str">
        <f t="shared" si="78"/>
        <v/>
      </c>
      <c r="E371" s="15" t="str">
        <f t="shared" si="79"/>
        <v/>
      </c>
      <c r="F371" s="15" t="str">
        <f t="shared" si="80"/>
        <v/>
      </c>
      <c r="G371" s="15" t="str">
        <f t="shared" si="81"/>
        <v/>
      </c>
      <c r="H371" s="15" t="str">
        <f t="shared" si="82"/>
        <v/>
      </c>
      <c r="I371" s="15" t="str">
        <f t="shared" si="83"/>
        <v/>
      </c>
      <c r="J371" s="15" t="str">
        <f t="shared" si="84"/>
        <v/>
      </c>
      <c r="K371" s="13" t="str">
        <f>IF('Cylinder Detail'!U373=0,"",'Cylinder Detail'!U373)</f>
        <v/>
      </c>
      <c r="L371" s="13" t="str">
        <f>IF('Cylinder Detail'!Z373=0,"",_xlfn.TEXTBEFORE('Cylinder Detail'!Z373, ","))</f>
        <v/>
      </c>
      <c r="M371" s="13" t="str">
        <f t="shared" si="85"/>
        <v/>
      </c>
      <c r="N371" s="17" t="str">
        <f>IF('Cylinder Detail'!V373=0,"",'Cylinder Detail'!V373)</f>
        <v/>
      </c>
      <c r="O371" s="17" t="str">
        <f>IF('Cylinder Detail'!Z373=0,"",_xlfn.TEXTAFTER('Cylinder Detail'!Z373, ", "))</f>
        <v/>
      </c>
      <c r="P371" s="17" t="str">
        <f>IF('Cylinder Detail'!AA373=0,"",'Cylinder Detail'!AA373)</f>
        <v/>
      </c>
      <c r="Q371" s="19" t="str">
        <f>IF('Cylinder Detail'!W373=0,"",'Cylinder Detail'!W373)</f>
        <v/>
      </c>
      <c r="R371" s="19" t="str">
        <f>IF('Cylinder Detail'!Y373=0,"",'Cylinder Detail'!Y373)</f>
        <v/>
      </c>
      <c r="S371" s="21" t="str">
        <f>IF('Cylinder Detail'!X373=0,"",'Cylinder Detail'!X373)</f>
        <v/>
      </c>
      <c r="T371" s="21" t="str">
        <f>IF('Cylinder Detail'!F373=0,"",'Cylinder Detail'!F373)</f>
        <v/>
      </c>
      <c r="U371" s="21" t="str">
        <f>IF('Cylinder Detail'!R373=0,"",'Cylinder Detail'!R373)</f>
        <v/>
      </c>
      <c r="V371" s="21" t="str">
        <f>IF('Cylinder Detail'!Q373=0,"",'Cylinder Detail'!Q373)</f>
        <v/>
      </c>
      <c r="W371" s="21" t="str">
        <f>IF('Cylinder Detail'!E373=0,"","+" &amp; 'Cylinder Detail'!E373)</f>
        <v/>
      </c>
      <c r="X371" s="21" t="str">
        <f t="shared" si="86"/>
        <v/>
      </c>
      <c r="Y371" s="21" t="str">
        <f>IF('Cylinder Detail'!S373=0,"",'Cylinder Detail'!S373)</f>
        <v/>
      </c>
      <c r="Z371" s="21" t="str">
        <f>IF('Cylinder Detail'!T373=0,"",'Cylinder Detail'!T373)</f>
        <v/>
      </c>
      <c r="AA371" s="21" t="str">
        <f>IF('Cylinder Detail'!H373=0,"",'Cylinder Detail'!H373)</f>
        <v/>
      </c>
      <c r="AB371" s="21" t="str">
        <f>IF('Cylinder Detail'!I373=0,"",'Cylinder Detail'!I373)</f>
        <v/>
      </c>
      <c r="AC371" s="22" t="str">
        <f>IF('Cylinder Detail'!AB373=0,"",'Cylinder Detail'!AB373)</f>
        <v/>
      </c>
      <c r="AD371" s="25" t="str">
        <f>IF('Sensor Detail'!F373=0,"","=" &amp; 'Sensor Detail'!F373)</f>
        <v/>
      </c>
      <c r="AE371" s="25" t="str">
        <f>IF('Sensor Detail'!H373=0,"",'Sensor Detail'!H373)</f>
        <v/>
      </c>
      <c r="AF371" s="27" t="str">
        <f>IF('Sensor Detail'!G373=0,"","-" &amp; 'Sensor Detail'!G373)</f>
        <v/>
      </c>
      <c r="AG371" s="27" t="str">
        <f>IF('Sensor Detail'!I373=0,"",'Sensor Detail'!I373)</f>
        <v/>
      </c>
      <c r="AH371" s="27" t="str">
        <f>IF('Sensor Detail'!E373=0,"","+" &amp; 'Sensor Detail'!E373)</f>
        <v/>
      </c>
      <c r="AI371" s="27" t="str">
        <f t="shared" si="87"/>
        <v/>
      </c>
      <c r="AJ371" s="27" t="str">
        <f>IF('Sensor Detail'!J373=0,"",'Sensor Detail'!J373)</f>
        <v/>
      </c>
      <c r="AK371" s="27" t="str">
        <f>IF('Sensor Detail'!K373=0,"",'Sensor Detail'!K373)</f>
        <v/>
      </c>
      <c r="AL371" s="27" t="str">
        <f>IF('Sensor Detail'!L373=0,"",'Sensor Detail'!L373)</f>
        <v/>
      </c>
      <c r="AM371" s="27" t="str">
        <f>IF('Sensor Detail'!M373=0,"",'Sensor Detail'!M373)</f>
        <v/>
      </c>
      <c r="AN371" s="27" t="str">
        <f>IF('Sensor Detail'!N373=0,"",'Sensor Detail'!N373)</f>
        <v/>
      </c>
      <c r="AO371" s="27" t="str">
        <f>IF('Sensor Detail'!O373=0,"",'Sensor Detail'!O373)</f>
        <v/>
      </c>
      <c r="AP371" s="15" t="str">
        <f t="shared" si="88"/>
        <v/>
      </c>
      <c r="AQ371" s="15" t="str">
        <f t="shared" si="89"/>
        <v/>
      </c>
    </row>
    <row r="372" spans="1:43">
      <c r="A372" s="13" t="str">
        <f t="shared" si="75"/>
        <v/>
      </c>
      <c r="B372" s="13" t="str">
        <f t="shared" si="76"/>
        <v/>
      </c>
      <c r="C372" s="15" t="str">
        <f t="shared" si="77"/>
        <v/>
      </c>
      <c r="D372" s="15" t="str">
        <f t="shared" si="78"/>
        <v/>
      </c>
      <c r="E372" s="15" t="str">
        <f t="shared" si="79"/>
        <v/>
      </c>
      <c r="F372" s="15" t="str">
        <f t="shared" si="80"/>
        <v/>
      </c>
      <c r="G372" s="15" t="str">
        <f t="shared" si="81"/>
        <v/>
      </c>
      <c r="H372" s="15" t="str">
        <f t="shared" si="82"/>
        <v/>
      </c>
      <c r="I372" s="15" t="str">
        <f t="shared" si="83"/>
        <v/>
      </c>
      <c r="J372" s="15" t="str">
        <f t="shared" si="84"/>
        <v/>
      </c>
      <c r="K372" s="13" t="str">
        <f>IF('Cylinder Detail'!U374=0,"",'Cylinder Detail'!U374)</f>
        <v/>
      </c>
      <c r="L372" s="13" t="str">
        <f>IF('Cylinder Detail'!Z374=0,"",_xlfn.TEXTBEFORE('Cylinder Detail'!Z374, ","))</f>
        <v/>
      </c>
      <c r="M372" s="13" t="str">
        <f t="shared" si="85"/>
        <v/>
      </c>
      <c r="N372" s="17" t="str">
        <f>IF('Cylinder Detail'!V374=0,"",'Cylinder Detail'!V374)</f>
        <v/>
      </c>
      <c r="O372" s="17" t="str">
        <f>IF('Cylinder Detail'!Z374=0,"",_xlfn.TEXTAFTER('Cylinder Detail'!Z374, ", "))</f>
        <v/>
      </c>
      <c r="P372" s="17" t="str">
        <f>IF('Cylinder Detail'!AA374=0,"",'Cylinder Detail'!AA374)</f>
        <v/>
      </c>
      <c r="Q372" s="19" t="str">
        <f>IF('Cylinder Detail'!W374=0,"",'Cylinder Detail'!W374)</f>
        <v/>
      </c>
      <c r="R372" s="19" t="str">
        <f>IF('Cylinder Detail'!Y374=0,"",'Cylinder Detail'!Y374)</f>
        <v/>
      </c>
      <c r="S372" s="21" t="str">
        <f>IF('Cylinder Detail'!X374=0,"",'Cylinder Detail'!X374)</f>
        <v/>
      </c>
      <c r="T372" s="21" t="str">
        <f>IF('Cylinder Detail'!F374=0,"",'Cylinder Detail'!F374)</f>
        <v/>
      </c>
      <c r="U372" s="21" t="str">
        <f>IF('Cylinder Detail'!R374=0,"",'Cylinder Detail'!R374)</f>
        <v/>
      </c>
      <c r="V372" s="21" t="str">
        <f>IF('Cylinder Detail'!Q374=0,"",'Cylinder Detail'!Q374)</f>
        <v/>
      </c>
      <c r="W372" s="21" t="str">
        <f>IF('Cylinder Detail'!E374=0,"","+" &amp; 'Cylinder Detail'!E374)</f>
        <v/>
      </c>
      <c r="X372" s="21" t="str">
        <f t="shared" si="86"/>
        <v/>
      </c>
      <c r="Y372" s="21" t="str">
        <f>IF('Cylinder Detail'!S374=0,"",'Cylinder Detail'!S374)</f>
        <v/>
      </c>
      <c r="Z372" s="21" t="str">
        <f>IF('Cylinder Detail'!T374=0,"",'Cylinder Detail'!T374)</f>
        <v/>
      </c>
      <c r="AA372" s="21" t="str">
        <f>IF('Cylinder Detail'!H374=0,"",'Cylinder Detail'!H374)</f>
        <v/>
      </c>
      <c r="AB372" s="21" t="str">
        <f>IF('Cylinder Detail'!I374=0,"",'Cylinder Detail'!I374)</f>
        <v/>
      </c>
      <c r="AC372" s="22" t="str">
        <f>IF('Cylinder Detail'!AB374=0,"",'Cylinder Detail'!AB374)</f>
        <v/>
      </c>
      <c r="AD372" s="25" t="str">
        <f>IF('Sensor Detail'!F374=0,"","=" &amp; 'Sensor Detail'!F374)</f>
        <v/>
      </c>
      <c r="AE372" s="25" t="str">
        <f>IF('Sensor Detail'!H374=0,"",'Sensor Detail'!H374)</f>
        <v/>
      </c>
      <c r="AF372" s="27" t="str">
        <f>IF('Sensor Detail'!G374=0,"","-" &amp; 'Sensor Detail'!G374)</f>
        <v/>
      </c>
      <c r="AG372" s="27" t="str">
        <f>IF('Sensor Detail'!I374=0,"",'Sensor Detail'!I374)</f>
        <v/>
      </c>
      <c r="AH372" s="27" t="str">
        <f>IF('Sensor Detail'!E374=0,"","+" &amp; 'Sensor Detail'!E374)</f>
        <v/>
      </c>
      <c r="AI372" s="27" t="str">
        <f t="shared" si="87"/>
        <v/>
      </c>
      <c r="AJ372" s="27" t="str">
        <f>IF('Sensor Detail'!J374=0,"",'Sensor Detail'!J374)</f>
        <v/>
      </c>
      <c r="AK372" s="27" t="str">
        <f>IF('Sensor Detail'!K374=0,"",'Sensor Detail'!K374)</f>
        <v/>
      </c>
      <c r="AL372" s="27" t="str">
        <f>IF('Sensor Detail'!L374=0,"",'Sensor Detail'!L374)</f>
        <v/>
      </c>
      <c r="AM372" s="27" t="str">
        <f>IF('Sensor Detail'!M374=0,"",'Sensor Detail'!M374)</f>
        <v/>
      </c>
      <c r="AN372" s="27" t="str">
        <f>IF('Sensor Detail'!N374=0,"",'Sensor Detail'!N374)</f>
        <v/>
      </c>
      <c r="AO372" s="27" t="str">
        <f>IF('Sensor Detail'!O374=0,"",'Sensor Detail'!O374)</f>
        <v/>
      </c>
      <c r="AP372" s="15" t="str">
        <f t="shared" si="88"/>
        <v/>
      </c>
      <c r="AQ372" s="15" t="str">
        <f t="shared" si="89"/>
        <v/>
      </c>
    </row>
    <row r="373" spans="1:43">
      <c r="A373" s="13" t="str">
        <f t="shared" si="75"/>
        <v/>
      </c>
      <c r="B373" s="13" t="str">
        <f t="shared" si="76"/>
        <v/>
      </c>
      <c r="C373" s="15" t="str">
        <f t="shared" si="77"/>
        <v/>
      </c>
      <c r="D373" s="15" t="str">
        <f t="shared" si="78"/>
        <v/>
      </c>
      <c r="E373" s="15" t="str">
        <f t="shared" si="79"/>
        <v/>
      </c>
      <c r="F373" s="15" t="str">
        <f t="shared" si="80"/>
        <v/>
      </c>
      <c r="G373" s="15" t="str">
        <f t="shared" si="81"/>
        <v/>
      </c>
      <c r="H373" s="15" t="str">
        <f t="shared" si="82"/>
        <v/>
      </c>
      <c r="I373" s="15" t="str">
        <f t="shared" si="83"/>
        <v/>
      </c>
      <c r="J373" s="15" t="str">
        <f t="shared" si="84"/>
        <v/>
      </c>
      <c r="K373" s="13" t="str">
        <f>IF('Cylinder Detail'!U375=0,"",'Cylinder Detail'!U375)</f>
        <v/>
      </c>
      <c r="L373" s="13" t="str">
        <f>IF('Cylinder Detail'!Z375=0,"",_xlfn.TEXTBEFORE('Cylinder Detail'!Z375, ","))</f>
        <v/>
      </c>
      <c r="M373" s="13" t="str">
        <f t="shared" si="85"/>
        <v/>
      </c>
      <c r="N373" s="17" t="str">
        <f>IF('Cylinder Detail'!V375=0,"",'Cylinder Detail'!V375)</f>
        <v/>
      </c>
      <c r="O373" s="17" t="str">
        <f>IF('Cylinder Detail'!Z375=0,"",_xlfn.TEXTAFTER('Cylinder Detail'!Z375, ", "))</f>
        <v/>
      </c>
      <c r="P373" s="17" t="str">
        <f>IF('Cylinder Detail'!AA375=0,"",'Cylinder Detail'!AA375)</f>
        <v/>
      </c>
      <c r="Q373" s="19" t="str">
        <f>IF('Cylinder Detail'!W375=0,"",'Cylinder Detail'!W375)</f>
        <v/>
      </c>
      <c r="R373" s="19" t="str">
        <f>IF('Cylinder Detail'!Y375=0,"",'Cylinder Detail'!Y375)</f>
        <v/>
      </c>
      <c r="S373" s="21" t="str">
        <f>IF('Cylinder Detail'!X375=0,"",'Cylinder Detail'!X375)</f>
        <v/>
      </c>
      <c r="T373" s="21" t="str">
        <f>IF('Cylinder Detail'!F375=0,"",'Cylinder Detail'!F375)</f>
        <v/>
      </c>
      <c r="U373" s="21" t="str">
        <f>IF('Cylinder Detail'!R375=0,"",'Cylinder Detail'!R375)</f>
        <v/>
      </c>
      <c r="V373" s="21" t="str">
        <f>IF('Cylinder Detail'!Q375=0,"",'Cylinder Detail'!Q375)</f>
        <v/>
      </c>
      <c r="W373" s="21" t="str">
        <f>IF('Cylinder Detail'!E375=0,"","+" &amp; 'Cylinder Detail'!E375)</f>
        <v/>
      </c>
      <c r="X373" s="21" t="str">
        <f t="shared" si="86"/>
        <v/>
      </c>
      <c r="Y373" s="21" t="str">
        <f>IF('Cylinder Detail'!S375=0,"",'Cylinder Detail'!S375)</f>
        <v/>
      </c>
      <c r="Z373" s="21" t="str">
        <f>IF('Cylinder Detail'!T375=0,"",'Cylinder Detail'!T375)</f>
        <v/>
      </c>
      <c r="AA373" s="21" t="str">
        <f>IF('Cylinder Detail'!H375=0,"",'Cylinder Detail'!H375)</f>
        <v/>
      </c>
      <c r="AB373" s="21" t="str">
        <f>IF('Cylinder Detail'!I375=0,"",'Cylinder Detail'!I375)</f>
        <v/>
      </c>
      <c r="AC373" s="22" t="str">
        <f>IF('Cylinder Detail'!AB375=0,"",'Cylinder Detail'!AB375)</f>
        <v/>
      </c>
      <c r="AD373" s="25" t="str">
        <f>IF('Sensor Detail'!F375=0,"","=" &amp; 'Sensor Detail'!F375)</f>
        <v/>
      </c>
      <c r="AE373" s="25" t="str">
        <f>IF('Sensor Detail'!H375=0,"",'Sensor Detail'!H375)</f>
        <v/>
      </c>
      <c r="AF373" s="27" t="str">
        <f>IF('Sensor Detail'!G375=0,"","-" &amp; 'Sensor Detail'!G375)</f>
        <v/>
      </c>
      <c r="AG373" s="27" t="str">
        <f>IF('Sensor Detail'!I375=0,"",'Sensor Detail'!I375)</f>
        <v/>
      </c>
      <c r="AH373" s="27" t="str">
        <f>IF('Sensor Detail'!E375=0,"","+" &amp; 'Sensor Detail'!E375)</f>
        <v/>
      </c>
      <c r="AI373" s="27" t="str">
        <f t="shared" si="87"/>
        <v/>
      </c>
      <c r="AJ373" s="27" t="str">
        <f>IF('Sensor Detail'!J375=0,"",'Sensor Detail'!J375)</f>
        <v/>
      </c>
      <c r="AK373" s="27" t="str">
        <f>IF('Sensor Detail'!K375=0,"",'Sensor Detail'!K375)</f>
        <v/>
      </c>
      <c r="AL373" s="27" t="str">
        <f>IF('Sensor Detail'!L375=0,"",'Sensor Detail'!L375)</f>
        <v/>
      </c>
      <c r="AM373" s="27" t="str">
        <f>IF('Sensor Detail'!M375=0,"",'Sensor Detail'!M375)</f>
        <v/>
      </c>
      <c r="AN373" s="27" t="str">
        <f>IF('Sensor Detail'!N375=0,"",'Sensor Detail'!N375)</f>
        <v/>
      </c>
      <c r="AO373" s="27" t="str">
        <f>IF('Sensor Detail'!O375=0,"",'Sensor Detail'!O375)</f>
        <v/>
      </c>
      <c r="AP373" s="15" t="str">
        <f t="shared" si="88"/>
        <v/>
      </c>
      <c r="AQ373" s="15" t="str">
        <f t="shared" si="89"/>
        <v/>
      </c>
    </row>
  </sheetData>
  <sheetProtection selectLockedCells="1" selectUnlockedCells="1"/>
  <phoneticPr fontId="24"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86411-7858-4500-B1AC-0B507C2E4B63}">
  <sheetPr codeName="Sheet9"/>
  <dimension ref="A1:AA100"/>
  <sheetViews>
    <sheetView view="pageBreakPreview" zoomScale="67" zoomScaleNormal="70" zoomScaleSheetLayoutView="67" workbookViewId="0">
      <pane ySplit="1" topLeftCell="A2" activePane="bottomLeft" state="frozen"/>
      <selection pane="bottomLeft" activeCell="H1" sqref="H1"/>
    </sheetView>
  </sheetViews>
  <sheetFormatPr defaultRowHeight="15.75"/>
  <cols>
    <col min="1" max="1" width="11.125" customWidth="1"/>
    <col min="2" max="2" width="9.5" customWidth="1"/>
    <col min="3" max="3" width="50.125" bestFit="1" customWidth="1"/>
    <col min="4" max="4" width="33.625" bestFit="1" customWidth="1"/>
    <col min="5" max="5" width="19.25" customWidth="1"/>
    <col min="6" max="6" width="21.125" customWidth="1"/>
    <col min="7" max="7" width="23.875" bestFit="1" customWidth="1"/>
    <col min="8" max="8" width="2.5" customWidth="1"/>
    <col min="9" max="9" width="11.75" customWidth="1"/>
    <col min="10" max="10" width="7.375" customWidth="1"/>
    <col min="11" max="11" width="2.25" customWidth="1"/>
    <col min="12" max="12" width="9.875" bestFit="1" customWidth="1"/>
    <col min="13" max="13" width="17.25" customWidth="1"/>
    <col min="14" max="14" width="9.5" customWidth="1"/>
    <col min="15" max="15" width="10.75" customWidth="1"/>
    <col min="16" max="16" width="16.125" bestFit="1" customWidth="1"/>
    <col min="17" max="17" width="12" bestFit="1" customWidth="1"/>
    <col min="18" max="18" width="12.75" customWidth="1"/>
    <col min="19" max="19" width="9.75" bestFit="1" customWidth="1"/>
    <col min="20" max="20" width="1.5" customWidth="1"/>
    <col min="21" max="21" width="7.75" bestFit="1" customWidth="1"/>
    <col min="22" max="22" width="7.625" bestFit="1" customWidth="1"/>
    <col min="23" max="23" width="1.75" customWidth="1"/>
    <col min="24" max="25" width="11.875" customWidth="1"/>
    <col min="26" max="26" width="3.25" customWidth="1"/>
    <col min="27" max="27" width="10.125" bestFit="1" customWidth="1"/>
    <col min="28" max="28" width="3.25" customWidth="1"/>
  </cols>
  <sheetData>
    <row r="1" spans="1:27" s="122" customFormat="1" ht="60" customHeight="1" thickBot="1">
      <c r="A1" s="169" t="s">
        <v>87</v>
      </c>
      <c r="B1" s="170" t="s">
        <v>88</v>
      </c>
      <c r="C1" s="170" t="s">
        <v>89</v>
      </c>
      <c r="D1" s="170" t="s">
        <v>90</v>
      </c>
      <c r="E1" s="170" t="s">
        <v>192</v>
      </c>
      <c r="F1" s="170" t="s">
        <v>33</v>
      </c>
      <c r="G1" s="194" t="s">
        <v>474</v>
      </c>
      <c r="H1" s="180"/>
      <c r="I1" s="170" t="s">
        <v>91</v>
      </c>
      <c r="J1" s="170" t="s">
        <v>89</v>
      </c>
      <c r="K1" s="170"/>
      <c r="L1" s="170" t="s">
        <v>420</v>
      </c>
      <c r="M1" s="170" t="s">
        <v>479</v>
      </c>
      <c r="N1" s="170" t="s">
        <v>180</v>
      </c>
      <c r="O1" s="170" t="s">
        <v>211</v>
      </c>
      <c r="P1" s="170" t="s">
        <v>208</v>
      </c>
      <c r="Q1" s="170" t="s">
        <v>181</v>
      </c>
      <c r="R1" s="170" t="s">
        <v>162</v>
      </c>
      <c r="S1" s="170" t="s">
        <v>172</v>
      </c>
      <c r="T1" s="170"/>
      <c r="U1" s="170" t="s">
        <v>190</v>
      </c>
      <c r="V1" s="170" t="s">
        <v>191</v>
      </c>
      <c r="W1" s="170"/>
      <c r="X1" s="171" t="s">
        <v>210</v>
      </c>
      <c r="Y1" s="171" t="s">
        <v>209</v>
      </c>
      <c r="Z1" s="181"/>
      <c r="AA1" s="175" t="s">
        <v>448</v>
      </c>
    </row>
    <row r="2" spans="1:27">
      <c r="A2" t="s">
        <v>92</v>
      </c>
      <c r="B2" t="s">
        <v>93</v>
      </c>
      <c r="C2" s="6" t="s">
        <v>132</v>
      </c>
      <c r="D2" s="116" t="s">
        <v>94</v>
      </c>
      <c r="E2" t="s">
        <v>194</v>
      </c>
      <c r="F2" t="s">
        <v>198</v>
      </c>
      <c r="G2" t="s">
        <v>423</v>
      </c>
      <c r="I2" t="s">
        <v>31</v>
      </c>
      <c r="J2" t="s">
        <v>30</v>
      </c>
      <c r="L2" t="str" cm="1">
        <f t="array" ref="L2:L4">_xlfn.UNIQUE(_xlfn._xlws.FILTER(Styles[Style List], Styles[Style List]&lt;&gt;""))</f>
        <v>Common</v>
      </c>
      <c r="M2" t="str" cm="1">
        <f t="array" ref="M2:M5">_xlfn.UNIQUE(_xlfn._xlws.FILTER(Cylinders[MotionGroup Description], Cylinders[MotionGroup Description]&lt;&gt;""))</f>
        <v>Group 1 Clamps</v>
      </c>
      <c r="N2" t="s">
        <v>153</v>
      </c>
      <c r="O2" t="s">
        <v>207</v>
      </c>
      <c r="P2" t="str" cm="1">
        <f t="array" ref="P2:P4">_xlfn.UNIQUE(_xlfn._xlws.FILTER(Sensors[Sensor Group 
Description], Sensors[Sensor Group 
Description]&lt;&gt;""))</f>
        <v>PANEL - ROCKER LOWER INNER ASSY; LH</v>
      </c>
      <c r="Q2" t="s">
        <v>156</v>
      </c>
      <c r="R2" t="s">
        <v>155</v>
      </c>
      <c r="S2" t="s">
        <v>157</v>
      </c>
      <c r="U2" t="str" cm="1">
        <f t="array" ref="U2:U25">_xlfn.UNIQUE(_xlfn._xlws.FILTER(Cylinders[Unit Name], Cylinders[Unit Name]&lt;&gt;""))</f>
        <v>U2.1L</v>
      </c>
      <c r="V2" t="str" cm="1">
        <f t="array" ref="V2:V7">_xlfn.UNIQUE(_xlfn._xlws.FILTER(Sensors[Mechanical Unit Name], Sensors[Mechanical Unit Name]&lt;&gt;""))</f>
        <v>U12.2L</v>
      </c>
      <c r="X2" s="28" t="s">
        <v>220</v>
      </c>
      <c r="Y2" s="28" t="s">
        <v>319</v>
      </c>
      <c r="AA2" t="s">
        <v>471</v>
      </c>
    </row>
    <row r="3" spans="1:27">
      <c r="A3" t="s">
        <v>15</v>
      </c>
      <c r="B3" t="s">
        <v>18</v>
      </c>
      <c r="C3" s="5" t="s">
        <v>133</v>
      </c>
      <c r="D3" s="124" t="s">
        <v>29</v>
      </c>
      <c r="E3" t="s">
        <v>195</v>
      </c>
      <c r="F3" t="s">
        <v>199</v>
      </c>
      <c r="G3" t="s">
        <v>425</v>
      </c>
      <c r="I3" t="s">
        <v>95</v>
      </c>
      <c r="J3" t="s">
        <v>96</v>
      </c>
      <c r="L3" t="str">
        <v>R2S</v>
      </c>
      <c r="M3" t="str">
        <v>Group 4 Pins</v>
      </c>
      <c r="N3" t="s">
        <v>161</v>
      </c>
      <c r="O3" t="s">
        <v>206</v>
      </c>
      <c r="P3" t="str">
        <v>PANEL - FFLR</v>
      </c>
      <c r="Q3" t="s">
        <v>160</v>
      </c>
      <c r="R3" t="s">
        <v>163</v>
      </c>
      <c r="S3" t="s">
        <v>158</v>
      </c>
      <c r="U3" t="str">
        <v>U3.1L</v>
      </c>
      <c r="V3" t="str">
        <v>U6.3L</v>
      </c>
      <c r="X3" s="28" t="s">
        <v>221</v>
      </c>
      <c r="Y3" s="28" t="s">
        <v>320</v>
      </c>
      <c r="AA3" t="s">
        <v>472</v>
      </c>
    </row>
    <row r="4" spans="1:27">
      <c r="B4" t="s">
        <v>189</v>
      </c>
      <c r="C4" s="5" t="s">
        <v>134</v>
      </c>
      <c r="D4" s="124" t="s">
        <v>104</v>
      </c>
      <c r="E4" t="s">
        <v>193</v>
      </c>
      <c r="F4" t="s">
        <v>203</v>
      </c>
      <c r="G4" t="s">
        <v>421</v>
      </c>
      <c r="L4" t="str">
        <v>R2X</v>
      </c>
      <c r="M4" t="str">
        <v>Group 2 Clamps</v>
      </c>
      <c r="N4" t="s">
        <v>160</v>
      </c>
      <c r="O4" t="s">
        <v>160</v>
      </c>
      <c r="P4" t="str">
        <v>PANEL - ROCKER LOWER INNER ASSY; RH</v>
      </c>
      <c r="R4" t="s">
        <v>164</v>
      </c>
      <c r="S4" t="s">
        <v>159</v>
      </c>
      <c r="U4" t="str">
        <v>U4.1L</v>
      </c>
      <c r="V4" t="str">
        <v>U10.3</v>
      </c>
      <c r="X4" s="28" t="s">
        <v>222</v>
      </c>
      <c r="Y4" s="28" t="s">
        <v>321</v>
      </c>
      <c r="AA4" t="s">
        <v>473</v>
      </c>
    </row>
    <row r="5" spans="1:27">
      <c r="C5" s="5" t="s">
        <v>135</v>
      </c>
      <c r="D5" s="124" t="s">
        <v>105</v>
      </c>
      <c r="E5" t="s">
        <v>196</v>
      </c>
      <c r="G5" t="s">
        <v>464</v>
      </c>
      <c r="M5" t="str">
        <v>Group 3 Clamps</v>
      </c>
      <c r="R5" t="s">
        <v>165</v>
      </c>
      <c r="S5" t="s">
        <v>173</v>
      </c>
      <c r="U5" t="str">
        <v>U5.1L</v>
      </c>
      <c r="V5" t="str">
        <v>U11.3</v>
      </c>
      <c r="X5" s="28" t="s">
        <v>223</v>
      </c>
      <c r="Y5" s="28" t="s">
        <v>322</v>
      </c>
      <c r="AA5" t="s">
        <v>476</v>
      </c>
    </row>
    <row r="6" spans="1:27">
      <c r="C6" s="5" t="s">
        <v>136</v>
      </c>
      <c r="D6" s="124" t="s">
        <v>97</v>
      </c>
      <c r="E6" t="s">
        <v>197</v>
      </c>
      <c r="G6" t="s">
        <v>467</v>
      </c>
      <c r="R6" t="s">
        <v>166</v>
      </c>
      <c r="S6" t="s">
        <v>174</v>
      </c>
      <c r="U6" t="str">
        <v>U6.1L</v>
      </c>
      <c r="V6" t="str">
        <v>U12.2R</v>
      </c>
      <c r="X6" s="28" t="s">
        <v>224</v>
      </c>
      <c r="Y6" s="28" t="s">
        <v>323</v>
      </c>
      <c r="AA6" t="s">
        <v>477</v>
      </c>
    </row>
    <row r="7" spans="1:27">
      <c r="C7" s="5" t="s">
        <v>137</v>
      </c>
      <c r="D7" s="124" t="s">
        <v>98</v>
      </c>
      <c r="E7" t="s">
        <v>202</v>
      </c>
      <c r="G7" t="s">
        <v>465</v>
      </c>
      <c r="R7" t="s">
        <v>167</v>
      </c>
      <c r="S7" t="s">
        <v>175</v>
      </c>
      <c r="U7" t="str">
        <v>U6.2L</v>
      </c>
      <c r="V7" t="str">
        <v>U6.3R</v>
      </c>
      <c r="X7" s="28" t="s">
        <v>225</v>
      </c>
      <c r="Y7" s="28" t="s">
        <v>324</v>
      </c>
      <c r="AA7" t="s">
        <v>468</v>
      </c>
    </row>
    <row r="8" spans="1:27">
      <c r="C8" s="5" t="s">
        <v>138</v>
      </c>
      <c r="D8" s="124" t="s">
        <v>99</v>
      </c>
      <c r="G8" t="s">
        <v>459</v>
      </c>
      <c r="R8" t="s">
        <v>168</v>
      </c>
      <c r="S8" t="s">
        <v>176</v>
      </c>
      <c r="U8" t="str">
        <v>U7.1L</v>
      </c>
      <c r="X8" s="28" t="s">
        <v>226</v>
      </c>
      <c r="Y8" s="28" t="s">
        <v>325</v>
      </c>
      <c r="AA8" t="s">
        <v>469</v>
      </c>
    </row>
    <row r="9" spans="1:27">
      <c r="C9" s="5" t="s">
        <v>139</v>
      </c>
      <c r="D9" s="124" t="s">
        <v>100</v>
      </c>
      <c r="G9" t="s">
        <v>460</v>
      </c>
      <c r="R9" t="s">
        <v>169</v>
      </c>
      <c r="S9" t="s">
        <v>177</v>
      </c>
      <c r="U9" t="str">
        <v>U8.1L</v>
      </c>
      <c r="X9" s="28" t="s">
        <v>227</v>
      </c>
      <c r="Y9" s="28" t="s">
        <v>326</v>
      </c>
      <c r="AA9" t="s">
        <v>470</v>
      </c>
    </row>
    <row r="10" spans="1:27">
      <c r="C10" s="5" t="s">
        <v>140</v>
      </c>
      <c r="D10" s="124" t="s">
        <v>106</v>
      </c>
      <c r="G10" t="s">
        <v>461</v>
      </c>
      <c r="R10" t="s">
        <v>170</v>
      </c>
      <c r="S10" t="s">
        <v>178</v>
      </c>
      <c r="U10" t="str">
        <v>U9.1L</v>
      </c>
      <c r="X10" s="28" t="s">
        <v>228</v>
      </c>
      <c r="Y10" s="28" t="s">
        <v>327</v>
      </c>
      <c r="AA10" t="s">
        <v>473</v>
      </c>
    </row>
    <row r="11" spans="1:27">
      <c r="C11" s="5" t="s">
        <v>141</v>
      </c>
      <c r="D11" s="124" t="s">
        <v>107</v>
      </c>
      <c r="G11" t="s">
        <v>462</v>
      </c>
      <c r="R11" t="s">
        <v>171</v>
      </c>
      <c r="S11" t="s">
        <v>179</v>
      </c>
      <c r="U11" t="str">
        <v>U10.1</v>
      </c>
      <c r="X11" s="28" t="s">
        <v>229</v>
      </c>
      <c r="Y11" s="28" t="s">
        <v>328</v>
      </c>
      <c r="AA11" t="s">
        <v>475</v>
      </c>
    </row>
    <row r="12" spans="1:27">
      <c r="C12" s="5" t="s">
        <v>142</v>
      </c>
      <c r="D12" s="124" t="s">
        <v>101</v>
      </c>
      <c r="G12" t="s">
        <v>463</v>
      </c>
      <c r="U12" t="str">
        <v>U10.2</v>
      </c>
      <c r="X12" s="28" t="s">
        <v>230</v>
      </c>
      <c r="Y12" s="28" t="s">
        <v>329</v>
      </c>
    </row>
    <row r="13" spans="1:27">
      <c r="C13" s="5" t="s">
        <v>143</v>
      </c>
      <c r="D13" s="124" t="s">
        <v>102</v>
      </c>
      <c r="U13" t="str">
        <v>U11.1</v>
      </c>
      <c r="X13" s="28" t="s">
        <v>231</v>
      </c>
      <c r="Y13" s="28" t="s">
        <v>330</v>
      </c>
    </row>
    <row r="14" spans="1:27">
      <c r="C14" s="5" t="s">
        <v>144</v>
      </c>
      <c r="D14" s="124" t="s">
        <v>108</v>
      </c>
      <c r="U14" t="str">
        <v>U11.2</v>
      </c>
      <c r="X14" s="28" t="s">
        <v>232</v>
      </c>
      <c r="Y14" s="28" t="s">
        <v>331</v>
      </c>
    </row>
    <row r="15" spans="1:27">
      <c r="C15" s="5" t="s">
        <v>145</v>
      </c>
      <c r="D15" s="124" t="s">
        <v>109</v>
      </c>
      <c r="U15" t="str">
        <v>U12.1L</v>
      </c>
      <c r="X15" s="28" t="s">
        <v>233</v>
      </c>
      <c r="Y15" s="28" t="s">
        <v>332</v>
      </c>
    </row>
    <row r="16" spans="1:27">
      <c r="C16" s="5" t="s">
        <v>146</v>
      </c>
      <c r="D16" s="124" t="s">
        <v>110</v>
      </c>
      <c r="U16" t="str">
        <v>U2.1R</v>
      </c>
      <c r="X16" s="28" t="s">
        <v>234</v>
      </c>
      <c r="Y16" s="28" t="s">
        <v>333</v>
      </c>
    </row>
    <row r="17" spans="3:25">
      <c r="C17" s="5" t="s">
        <v>147</v>
      </c>
      <c r="D17" s="124" t="s">
        <v>111</v>
      </c>
      <c r="U17" t="str">
        <v>U3.1R</v>
      </c>
      <c r="X17" s="28" t="s">
        <v>235</v>
      </c>
      <c r="Y17" s="28" t="s">
        <v>334</v>
      </c>
    </row>
    <row r="18" spans="3:25">
      <c r="C18" s="5" t="s">
        <v>148</v>
      </c>
      <c r="D18" s="124" t="s">
        <v>112</v>
      </c>
      <c r="U18" t="str">
        <v>U4.1R</v>
      </c>
      <c r="X18" s="28" t="s">
        <v>236</v>
      </c>
      <c r="Y18" s="28" t="s">
        <v>335</v>
      </c>
    </row>
    <row r="19" spans="3:25">
      <c r="C19" s="5" t="s">
        <v>149</v>
      </c>
      <c r="D19" s="124" t="s">
        <v>113</v>
      </c>
      <c r="U19" t="str">
        <v>U5.1R</v>
      </c>
      <c r="X19" s="28" t="s">
        <v>237</v>
      </c>
      <c r="Y19" s="28" t="s">
        <v>336</v>
      </c>
    </row>
    <row r="20" spans="3:25">
      <c r="C20" s="123" t="s">
        <v>103</v>
      </c>
      <c r="D20" s="124" t="s">
        <v>114</v>
      </c>
      <c r="U20" t="str">
        <v>U6.1R</v>
      </c>
      <c r="X20" s="28" t="s">
        <v>238</v>
      </c>
      <c r="Y20" s="28" t="s">
        <v>337</v>
      </c>
    </row>
    <row r="21" spans="3:25">
      <c r="D21" s="124" t="s">
        <v>115</v>
      </c>
      <c r="U21" t="str">
        <v>U6.2R</v>
      </c>
      <c r="X21" s="28" t="s">
        <v>239</v>
      </c>
      <c r="Y21" s="28" t="s">
        <v>338</v>
      </c>
    </row>
    <row r="22" spans="3:25">
      <c r="D22" s="124" t="s">
        <v>116</v>
      </c>
      <c r="U22" t="str">
        <v>U7.1R</v>
      </c>
      <c r="X22" s="28" t="s">
        <v>240</v>
      </c>
      <c r="Y22" s="28" t="s">
        <v>339</v>
      </c>
    </row>
    <row r="23" spans="3:25">
      <c r="D23" s="124" t="s">
        <v>117</v>
      </c>
      <c r="U23" t="str">
        <v>U8.1R</v>
      </c>
      <c r="X23" s="28" t="s">
        <v>241</v>
      </c>
      <c r="Y23" s="28" t="s">
        <v>340</v>
      </c>
    </row>
    <row r="24" spans="3:25">
      <c r="D24" s="124" t="s">
        <v>118</v>
      </c>
      <c r="U24" t="str">
        <v>U9.1R</v>
      </c>
      <c r="X24" s="28" t="s">
        <v>242</v>
      </c>
      <c r="Y24" s="28" t="s">
        <v>341</v>
      </c>
    </row>
    <row r="25" spans="3:25">
      <c r="D25" s="124" t="s">
        <v>119</v>
      </c>
      <c r="U25" t="str">
        <v>U12.1R</v>
      </c>
      <c r="X25" s="28" t="s">
        <v>243</v>
      </c>
      <c r="Y25" s="28" t="s">
        <v>342</v>
      </c>
    </row>
    <row r="26" spans="3:25">
      <c r="D26" s="124" t="s">
        <v>120</v>
      </c>
      <c r="X26" s="28" t="s">
        <v>244</v>
      </c>
      <c r="Y26" s="28" t="s">
        <v>343</v>
      </c>
    </row>
    <row r="27" spans="3:25">
      <c r="D27" s="124" t="s">
        <v>121</v>
      </c>
      <c r="X27" s="28" t="s">
        <v>245</v>
      </c>
      <c r="Y27" s="28" t="s">
        <v>344</v>
      </c>
    </row>
    <row r="28" spans="3:25">
      <c r="D28" s="124" t="s">
        <v>122</v>
      </c>
      <c r="X28" s="28" t="s">
        <v>246</v>
      </c>
      <c r="Y28" s="28" t="s">
        <v>345</v>
      </c>
    </row>
    <row r="29" spans="3:25">
      <c r="D29" s="124" t="s">
        <v>123</v>
      </c>
      <c r="X29" s="28" t="s">
        <v>247</v>
      </c>
      <c r="Y29" s="28" t="s">
        <v>346</v>
      </c>
    </row>
    <row r="30" spans="3:25">
      <c r="D30" s="124" t="s">
        <v>124</v>
      </c>
      <c r="X30" s="28" t="s">
        <v>248</v>
      </c>
      <c r="Y30" s="28" t="s">
        <v>347</v>
      </c>
    </row>
    <row r="31" spans="3:25">
      <c r="D31" s="124" t="s">
        <v>125</v>
      </c>
      <c r="X31" s="28" t="s">
        <v>249</v>
      </c>
      <c r="Y31" s="28" t="s">
        <v>348</v>
      </c>
    </row>
    <row r="32" spans="3:25">
      <c r="D32" s="124" t="s">
        <v>126</v>
      </c>
      <c r="X32" s="28" t="s">
        <v>250</v>
      </c>
      <c r="Y32" s="28" t="s">
        <v>349</v>
      </c>
    </row>
    <row r="33" spans="4:25">
      <c r="D33" s="124" t="s">
        <v>127</v>
      </c>
      <c r="X33" s="28" t="s">
        <v>251</v>
      </c>
      <c r="Y33" s="28" t="s">
        <v>350</v>
      </c>
    </row>
    <row r="34" spans="4:25">
      <c r="D34" s="124" t="s">
        <v>128</v>
      </c>
      <c r="X34" s="28" t="s">
        <v>252</v>
      </c>
      <c r="Y34" s="28" t="s">
        <v>351</v>
      </c>
    </row>
    <row r="35" spans="4:25">
      <c r="D35" s="124" t="s">
        <v>129</v>
      </c>
      <c r="X35" s="28" t="s">
        <v>253</v>
      </c>
      <c r="Y35" s="28" t="s">
        <v>352</v>
      </c>
    </row>
    <row r="36" spans="4:25">
      <c r="D36" s="124" t="s">
        <v>130</v>
      </c>
      <c r="X36" s="28" t="s">
        <v>254</v>
      </c>
      <c r="Y36" s="28" t="s">
        <v>353</v>
      </c>
    </row>
    <row r="37" spans="4:25">
      <c r="D37" s="125" t="s">
        <v>131</v>
      </c>
      <c r="X37" s="28" t="s">
        <v>255</v>
      </c>
      <c r="Y37" s="28" t="s">
        <v>354</v>
      </c>
    </row>
    <row r="38" spans="4:25">
      <c r="X38" s="28" t="s">
        <v>256</v>
      </c>
      <c r="Y38" s="28" t="s">
        <v>355</v>
      </c>
    </row>
    <row r="39" spans="4:25">
      <c r="X39" s="28" t="s">
        <v>257</v>
      </c>
      <c r="Y39" s="28" t="s">
        <v>356</v>
      </c>
    </row>
    <row r="40" spans="4:25">
      <c r="X40" s="28" t="s">
        <v>258</v>
      </c>
      <c r="Y40" s="28" t="s">
        <v>357</v>
      </c>
    </row>
    <row r="41" spans="4:25">
      <c r="X41" s="28" t="s">
        <v>259</v>
      </c>
      <c r="Y41" s="28" t="s">
        <v>358</v>
      </c>
    </row>
    <row r="42" spans="4:25">
      <c r="X42" s="28" t="s">
        <v>260</v>
      </c>
      <c r="Y42" s="28" t="s">
        <v>359</v>
      </c>
    </row>
    <row r="43" spans="4:25">
      <c r="X43" s="28" t="s">
        <v>261</v>
      </c>
      <c r="Y43" s="28" t="s">
        <v>360</v>
      </c>
    </row>
    <row r="44" spans="4:25">
      <c r="X44" s="28" t="s">
        <v>262</v>
      </c>
      <c r="Y44" s="28" t="s">
        <v>361</v>
      </c>
    </row>
    <row r="45" spans="4:25">
      <c r="X45" s="28" t="s">
        <v>263</v>
      </c>
      <c r="Y45" s="28" t="s">
        <v>362</v>
      </c>
    </row>
    <row r="46" spans="4:25">
      <c r="X46" s="28" t="s">
        <v>264</v>
      </c>
      <c r="Y46" s="28" t="s">
        <v>363</v>
      </c>
    </row>
    <row r="47" spans="4:25">
      <c r="X47" s="28" t="s">
        <v>265</v>
      </c>
      <c r="Y47" s="28" t="s">
        <v>364</v>
      </c>
    </row>
    <row r="48" spans="4:25">
      <c r="X48" s="28" t="s">
        <v>266</v>
      </c>
      <c r="Y48" s="28" t="s">
        <v>365</v>
      </c>
    </row>
    <row r="49" spans="24:25">
      <c r="X49" s="28" t="s">
        <v>267</v>
      </c>
      <c r="Y49" s="28" t="s">
        <v>366</v>
      </c>
    </row>
    <row r="50" spans="24:25">
      <c r="X50" s="28" t="s">
        <v>268</v>
      </c>
      <c r="Y50" s="28" t="s">
        <v>367</v>
      </c>
    </row>
    <row r="51" spans="24:25">
      <c r="X51" s="28" t="s">
        <v>269</v>
      </c>
      <c r="Y51" s="28" t="s">
        <v>368</v>
      </c>
    </row>
    <row r="52" spans="24:25">
      <c r="X52" s="28" t="s">
        <v>270</v>
      </c>
      <c r="Y52" s="28" t="s">
        <v>369</v>
      </c>
    </row>
    <row r="53" spans="24:25">
      <c r="X53" s="28" t="s">
        <v>271</v>
      </c>
      <c r="Y53" s="28" t="s">
        <v>370</v>
      </c>
    </row>
    <row r="54" spans="24:25">
      <c r="X54" s="28" t="s">
        <v>272</v>
      </c>
      <c r="Y54" s="28" t="s">
        <v>371</v>
      </c>
    </row>
    <row r="55" spans="24:25">
      <c r="X55" s="28" t="s">
        <v>273</v>
      </c>
      <c r="Y55" s="28" t="s">
        <v>372</v>
      </c>
    </row>
    <row r="56" spans="24:25">
      <c r="X56" s="28" t="s">
        <v>274</v>
      </c>
      <c r="Y56" s="28" t="s">
        <v>373</v>
      </c>
    </row>
    <row r="57" spans="24:25">
      <c r="X57" s="28" t="s">
        <v>275</v>
      </c>
      <c r="Y57" s="28" t="s">
        <v>374</v>
      </c>
    </row>
    <row r="58" spans="24:25">
      <c r="X58" s="28" t="s">
        <v>276</v>
      </c>
      <c r="Y58" s="28" t="s">
        <v>375</v>
      </c>
    </row>
    <row r="59" spans="24:25">
      <c r="X59" s="28" t="s">
        <v>277</v>
      </c>
      <c r="Y59" s="28" t="s">
        <v>376</v>
      </c>
    </row>
    <row r="60" spans="24:25">
      <c r="X60" s="28" t="s">
        <v>278</v>
      </c>
      <c r="Y60" s="28" t="s">
        <v>377</v>
      </c>
    </row>
    <row r="61" spans="24:25">
      <c r="X61" s="28" t="s">
        <v>279</v>
      </c>
      <c r="Y61" s="28" t="s">
        <v>378</v>
      </c>
    </row>
    <row r="62" spans="24:25">
      <c r="X62" s="28" t="s">
        <v>280</v>
      </c>
      <c r="Y62" s="28" t="s">
        <v>379</v>
      </c>
    </row>
    <row r="63" spans="24:25">
      <c r="X63" s="28" t="s">
        <v>281</v>
      </c>
      <c r="Y63" s="28" t="s">
        <v>380</v>
      </c>
    </row>
    <row r="64" spans="24:25">
      <c r="X64" s="28" t="s">
        <v>282</v>
      </c>
      <c r="Y64" s="28" t="s">
        <v>381</v>
      </c>
    </row>
    <row r="65" spans="24:25">
      <c r="X65" s="28" t="s">
        <v>283</v>
      </c>
      <c r="Y65" s="28" t="s">
        <v>382</v>
      </c>
    </row>
    <row r="66" spans="24:25">
      <c r="X66" s="28" t="s">
        <v>284</v>
      </c>
      <c r="Y66" s="28" t="s">
        <v>383</v>
      </c>
    </row>
    <row r="67" spans="24:25">
      <c r="X67" s="28" t="s">
        <v>285</v>
      </c>
      <c r="Y67" s="28" t="s">
        <v>384</v>
      </c>
    </row>
    <row r="68" spans="24:25">
      <c r="X68" s="28" t="s">
        <v>286</v>
      </c>
      <c r="Y68" s="28" t="s">
        <v>385</v>
      </c>
    </row>
    <row r="69" spans="24:25">
      <c r="X69" s="28" t="s">
        <v>287</v>
      </c>
      <c r="Y69" s="28" t="s">
        <v>386</v>
      </c>
    </row>
    <row r="70" spans="24:25">
      <c r="X70" s="28" t="s">
        <v>288</v>
      </c>
      <c r="Y70" s="28" t="s">
        <v>387</v>
      </c>
    </row>
    <row r="71" spans="24:25">
      <c r="X71" s="28" t="s">
        <v>289</v>
      </c>
      <c r="Y71" s="28" t="s">
        <v>388</v>
      </c>
    </row>
    <row r="72" spans="24:25">
      <c r="X72" s="28" t="s">
        <v>290</v>
      </c>
      <c r="Y72" s="28" t="s">
        <v>389</v>
      </c>
    </row>
    <row r="73" spans="24:25">
      <c r="X73" s="28" t="s">
        <v>291</v>
      </c>
      <c r="Y73" s="28" t="s">
        <v>390</v>
      </c>
    </row>
    <row r="74" spans="24:25">
      <c r="X74" s="28" t="s">
        <v>292</v>
      </c>
      <c r="Y74" s="28" t="s">
        <v>391</v>
      </c>
    </row>
    <row r="75" spans="24:25">
      <c r="X75" s="28" t="s">
        <v>293</v>
      </c>
      <c r="Y75" s="28" t="s">
        <v>392</v>
      </c>
    </row>
    <row r="76" spans="24:25">
      <c r="X76" s="28" t="s">
        <v>294</v>
      </c>
      <c r="Y76" s="28" t="s">
        <v>393</v>
      </c>
    </row>
    <row r="77" spans="24:25">
      <c r="X77" s="28" t="s">
        <v>295</v>
      </c>
      <c r="Y77" s="28" t="s">
        <v>394</v>
      </c>
    </row>
    <row r="78" spans="24:25">
      <c r="X78" s="28" t="s">
        <v>296</v>
      </c>
      <c r="Y78" s="28" t="s">
        <v>395</v>
      </c>
    </row>
    <row r="79" spans="24:25">
      <c r="X79" s="28" t="s">
        <v>297</v>
      </c>
      <c r="Y79" s="28" t="s">
        <v>396</v>
      </c>
    </row>
    <row r="80" spans="24:25">
      <c r="X80" s="28" t="s">
        <v>298</v>
      </c>
      <c r="Y80" s="28" t="s">
        <v>397</v>
      </c>
    </row>
    <row r="81" spans="24:25">
      <c r="X81" s="28" t="s">
        <v>299</v>
      </c>
      <c r="Y81" s="28" t="s">
        <v>398</v>
      </c>
    </row>
    <row r="82" spans="24:25">
      <c r="X82" s="28" t="s">
        <v>300</v>
      </c>
      <c r="Y82" s="28" t="s">
        <v>399</v>
      </c>
    </row>
    <row r="83" spans="24:25">
      <c r="X83" s="28" t="s">
        <v>301</v>
      </c>
      <c r="Y83" s="28" t="s">
        <v>400</v>
      </c>
    </row>
    <row r="84" spans="24:25">
      <c r="X84" s="28" t="s">
        <v>302</v>
      </c>
      <c r="Y84" s="28" t="s">
        <v>401</v>
      </c>
    </row>
    <row r="85" spans="24:25">
      <c r="X85" s="28" t="s">
        <v>303</v>
      </c>
      <c r="Y85" s="28" t="s">
        <v>402</v>
      </c>
    </row>
    <row r="86" spans="24:25">
      <c r="X86" s="28" t="s">
        <v>304</v>
      </c>
      <c r="Y86" s="28" t="s">
        <v>403</v>
      </c>
    </row>
    <row r="87" spans="24:25">
      <c r="X87" s="28" t="s">
        <v>305</v>
      </c>
      <c r="Y87" s="28" t="s">
        <v>404</v>
      </c>
    </row>
    <row r="88" spans="24:25">
      <c r="X88" s="28" t="s">
        <v>306</v>
      </c>
      <c r="Y88" s="28" t="s">
        <v>405</v>
      </c>
    </row>
    <row r="89" spans="24:25">
      <c r="X89" s="28" t="s">
        <v>307</v>
      </c>
      <c r="Y89" s="28" t="s">
        <v>406</v>
      </c>
    </row>
    <row r="90" spans="24:25">
      <c r="X90" s="28" t="s">
        <v>308</v>
      </c>
      <c r="Y90" s="28" t="s">
        <v>407</v>
      </c>
    </row>
    <row r="91" spans="24:25">
      <c r="X91" s="28" t="s">
        <v>309</v>
      </c>
      <c r="Y91" s="28" t="s">
        <v>408</v>
      </c>
    </row>
    <row r="92" spans="24:25">
      <c r="X92" s="28" t="s">
        <v>310</v>
      </c>
      <c r="Y92" s="28" t="s">
        <v>409</v>
      </c>
    </row>
    <row r="93" spans="24:25">
      <c r="X93" s="28" t="s">
        <v>311</v>
      </c>
      <c r="Y93" s="28" t="s">
        <v>410</v>
      </c>
    </row>
    <row r="94" spans="24:25">
      <c r="X94" s="28" t="s">
        <v>312</v>
      </c>
      <c r="Y94" s="28" t="s">
        <v>411</v>
      </c>
    </row>
    <row r="95" spans="24:25">
      <c r="X95" s="28" t="s">
        <v>313</v>
      </c>
      <c r="Y95" s="28" t="s">
        <v>412</v>
      </c>
    </row>
    <row r="96" spans="24:25">
      <c r="X96" s="28" t="s">
        <v>314</v>
      </c>
      <c r="Y96" s="28" t="s">
        <v>413</v>
      </c>
    </row>
    <row r="97" spans="24:25">
      <c r="X97" s="28" t="s">
        <v>315</v>
      </c>
      <c r="Y97" s="28" t="s">
        <v>414</v>
      </c>
    </row>
    <row r="98" spans="24:25">
      <c r="X98" s="28" t="s">
        <v>316</v>
      </c>
      <c r="Y98" s="28" t="s">
        <v>415</v>
      </c>
    </row>
    <row r="99" spans="24:25">
      <c r="X99" s="28" t="s">
        <v>317</v>
      </c>
      <c r="Y99" s="28" t="s">
        <v>416</v>
      </c>
    </row>
    <row r="100" spans="24:25">
      <c r="X100" s="28" t="s">
        <v>318</v>
      </c>
      <c r="Y100" s="28" t="s">
        <v>417</v>
      </c>
    </row>
  </sheetData>
  <phoneticPr fontId="24" type="noConversion"/>
  <pageMargins left="0.7" right="0.7" top="0.75" bottom="0.75" header="0.3" footer="0.3"/>
  <pageSetup scale="19" orientation="portrait" horizontalDpi="1200" verticalDpi="1200" r:id="rId1"/>
  <colBreaks count="1" manualBreakCount="1">
    <brk id="28" max="100" man="1"/>
  </colBreaks>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9f97a82-78eb-4dcf-9ca8-84204709301a">
      <UserInfo>
        <DisplayName/>
        <AccountId xsi:nil="true"/>
        <AccountType/>
      </UserInfo>
    </SharedWithUsers>
    <MediaLengthInSeconds xmlns="28687c60-02c7-4e00-8b1e-0a94dbae4ccd" xsi:nil="true"/>
    <_Flow_SignoffStatus xmlns="28687c60-02c7-4e00-8b1e-0a94dbae4ccd" xsi:nil="true"/>
    <DOC_x0020_ID xmlns="b9f97a82-78eb-4dcf-9ca8-84204709301a" xsi:nil="true"/>
    <Equipment_x0020_Supplier xmlns="b9f97a82-78eb-4dcf-9ca8-84204709301a">N/A</Equipment_x0020_Supplier>
    <Doc_x0020_Version xmlns="b9f97a82-78eb-4dcf-9ca8-84204709301a">1.1</Doc_x0020_Version>
    <Group1 xmlns="b9f97a82-78eb-4dcf-9ca8-84204709301a">Manufacturing Engineering</Group1>
    <Production_x0020_Program xmlns="b9f97a82-78eb-4dcf-9ca8-84204709301a">N/A</Production_x0020_Program>
    <RFx_x0020_Template xmlns="28687c60-02c7-4e00-8b1e-0a94dbae4ccd">No</RFx_x0020_Template>
    <Published_x0020_Standard xmlns="b9f97a82-78eb-4dcf-9ca8-84204709301a">false</Published_x0020_Standard>
    <_ExtendedDescription xmlns="http://schemas.microsoft.com/sharepoint/v3" xsi:nil="true"/>
    <Standard xmlns="b9f97a82-78eb-4dcf-9ca8-84204709301a">false</Standard>
    <_dlc_DocId xmlns="b9f97a82-78eb-4dcf-9ca8-84204709301a">MERSTD-671228008-254691</_dlc_DocId>
    <_dlc_DocIdUrl xmlns="b9f97a82-78eb-4dcf-9ca8-84204709301a">
      <Url>https://rivian.sharepoint.com/sites/ManufacturingEngineeringHub/_layouts/15/DocIdRedir.aspx?ID=MERSTD-671228008-254691</Url>
      <Description>MERSTD-671228008-254691</Description>
    </_dlc_DocIdUrl>
    <lcf76f155ced4ddcb4097134ff3c332f xmlns="28687c60-02c7-4e00-8b1e-0a94dbae4ccd">
      <Terms xmlns="http://schemas.microsoft.com/office/infopath/2007/PartnerControls"/>
    </lcf76f155ced4ddcb4097134ff3c332f>
    <Facilities_x0020_Hosted xmlns="28687c60-02c7-4e00-8b1e-0a94dbae4ccd">false</Facilities_x0020_Hosted>
    <TaxCatchAll xmlns="b9f97a82-78eb-4dcf-9ca8-84204709301a" xsi:nil="true"/>
    <Rivian_x0020_Facility xmlns="28687c60-02c7-4e00-8b1e-0a94dbae4ccd">All</Rivian_x0020_Facility>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5693B918EAFDF49ACBD49F80A7ACA0D" ma:contentTypeVersion="38" ma:contentTypeDescription="Create a new document." ma:contentTypeScope="" ma:versionID="47756f534f9d2fe9d0a1c6009bce8578">
  <xsd:schema xmlns:xsd="http://www.w3.org/2001/XMLSchema" xmlns:xs="http://www.w3.org/2001/XMLSchema" xmlns:p="http://schemas.microsoft.com/office/2006/metadata/properties" xmlns:ns1="http://schemas.microsoft.com/sharepoint/v3" xmlns:ns2="b9f97a82-78eb-4dcf-9ca8-84204709301a" xmlns:ns3="28687c60-02c7-4e00-8b1e-0a94dbae4ccd" targetNamespace="http://schemas.microsoft.com/office/2006/metadata/properties" ma:root="true" ma:fieldsID="d372e1aa4e2f27592ed26bbc04a6954a" ns1:_="" ns2:_="" ns3:_="">
    <xsd:import namespace="http://schemas.microsoft.com/sharepoint/v3"/>
    <xsd:import namespace="b9f97a82-78eb-4dcf-9ca8-84204709301a"/>
    <xsd:import namespace="28687c60-02c7-4e00-8b1e-0a94dbae4ccd"/>
    <xsd:element name="properties">
      <xsd:complexType>
        <xsd:sequence>
          <xsd:element name="documentManagement">
            <xsd:complexType>
              <xsd:all>
                <xsd:element ref="ns2:DOC_x0020_ID" minOccurs="0"/>
                <xsd:element ref="ns2:Doc_x0020_Version" minOccurs="0"/>
                <xsd:element ref="ns2:Group1" minOccurs="0"/>
                <xsd:element ref="ns3:RFx_x0020_Template" minOccurs="0"/>
                <xsd:element ref="ns2:Equipment_x0020_Supplier" minOccurs="0"/>
                <xsd:element ref="ns2:Production_x0020_Program" minOccurs="0"/>
                <xsd:element ref="ns1:_ExtendedDescription" minOccurs="0"/>
                <xsd:element ref="ns3:_Flow_SignoffStatus" minOccurs="0"/>
                <xsd:element ref="ns2:Published_x0020_Standard" minOccurs="0"/>
                <xsd:element ref="ns2:Standard"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LengthInSeconds" minOccurs="0"/>
                <xsd:element ref="ns3:MediaServiceAutoKeyPoints" minOccurs="0"/>
                <xsd:element ref="ns3:MediaServiceKeyPoints" minOccurs="0"/>
                <xsd:element ref="ns2:_dlc_DocId" minOccurs="0"/>
                <xsd:element ref="ns2:_dlc_DocIdUrl" minOccurs="0"/>
                <xsd:element ref="ns2:_dlc_DocIdPersistId" minOccurs="0"/>
                <xsd:element ref="ns2:SharedWithUsers" minOccurs="0"/>
                <xsd:element ref="ns3:MediaServiceFastMetadata" minOccurs="0"/>
                <xsd:element ref="ns2:SharedWithDetails" minOccurs="0"/>
                <xsd:element ref="ns3:MediaServiceMetadata" minOccurs="0"/>
                <xsd:element ref="ns3:Facilities_x0020_Hosted" minOccurs="0"/>
                <xsd:element ref="ns3:MediaServiceObjectDetectorVersions" minOccurs="0"/>
                <xsd:element ref="ns3:lcf76f155ced4ddcb4097134ff3c332f" minOccurs="0"/>
                <xsd:element ref="ns2:TaxCatchAll" minOccurs="0"/>
                <xsd:element ref="ns3:Rivian_x0020_Facility"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ExtendedDescription" ma:index="8" nillable="true" ma:displayName="Description" ma:format="Dropdown" ma:internalName="_ExtendedDescription">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9f97a82-78eb-4dcf-9ca8-84204709301a" elementFormDefault="qualified">
    <xsd:import namespace="http://schemas.microsoft.com/office/2006/documentManagement/types"/>
    <xsd:import namespace="http://schemas.microsoft.com/office/infopath/2007/PartnerControls"/>
    <xsd:element name="DOC_x0020_ID" ma:index="2" nillable="true" ma:displayName="DOC ID" ma:description="Document ID (DOC ID) assigned to the document by MTW." ma:internalName="DOC_x0020_ID">
      <xsd:simpleType>
        <xsd:restriction base="dms:Text">
          <xsd:maxLength value="255"/>
        </xsd:restriction>
      </xsd:simpleType>
    </xsd:element>
    <xsd:element name="Doc_x0020_Version" ma:index="3" nillable="true" ma:displayName="Doc Version" ma:decimals="1" ma:description="MTW Column for document version number. Must manually add value from in-document version history every time the document is updated." ma:internalName="Doc_x0020_Version" ma:percentage="FALSE">
      <xsd:simpleType>
        <xsd:restriction base="dms:Number"/>
      </xsd:simpleType>
    </xsd:element>
    <xsd:element name="Group1" ma:index="4" nillable="true" ma:displayName="Group" ma:default="Manufacturing Engineering" ma:description="ME Team / Group or other Team / Group at Rivian." ma:format="Dropdown" ma:internalName="Group1">
      <xsd:simpleType>
        <xsd:restriction base="dms:Choice">
          <xsd:enumeration value="Manufacturing Engineering"/>
          <xsd:enumeration value="Automation Controls Engineering"/>
          <xsd:enumeration value="Technical Program Management"/>
          <xsd:enumeration value="Factory Systems"/>
          <xsd:enumeration value="Factory Data"/>
          <xsd:enumeration value="Factory Design and Industrial Engineering"/>
          <xsd:enumeration value="Virtual Engineering"/>
          <xsd:enumeration value="Digital Manufacturing Engineering"/>
          <xsd:enumeration value="Material Flow Engineering"/>
          <xsd:enumeration value="Dimensional Engineering"/>
          <xsd:enumeration value="Building Infrastructure Design"/>
          <xsd:enumeration value="Manufacturing Technical Writing"/>
          <xsd:enumeration value="Battery Manufacturing Engineering"/>
          <xsd:enumeration value="Cell Engineering"/>
          <xsd:enumeration value="Safety Engineering"/>
          <xsd:enumeration value="Paint Manufacturing Engineering"/>
          <xsd:enumeration value="Body Assembly"/>
          <xsd:enumeration value="General Assembly"/>
          <xsd:enumeration value="Drive Unit"/>
          <xsd:enumeration value="Stamping"/>
          <xsd:enumeration value="Power Electronics"/>
          <xsd:enumeration value="Stationary Energy Storage Manufacturing"/>
          <xsd:enumeration value="Ergonomic Engineering"/>
          <xsd:enumeration value="Facility Control Related Systems"/>
          <xsd:enumeration value="Facilities Design"/>
          <xsd:enumeration value="Manufacturing IT"/>
          <xsd:enumeration value="Global Standard"/>
        </xsd:restriction>
      </xsd:simpleType>
    </xsd:element>
    <xsd:element name="Equipment_x0020_Supplier" ma:index="6" nillable="true" ma:displayName="Equipment Supplier" ma:description="Equipment Supplier specific to the standard (MTW Custom field)" ma:internalName="Equipment_x0020_Supplier">
      <xsd:simpleType>
        <xsd:restriction base="dms:Text">
          <xsd:maxLength value="255"/>
        </xsd:restriction>
      </xsd:simpleType>
    </xsd:element>
    <xsd:element name="Production_x0020_Program" ma:index="7" nillable="true" ma:displayName="Production Program" ma:description="Production Program for which the standard has been developed (MTW Custom field)" ma:internalName="Production_x0020_Program">
      <xsd:simpleType>
        <xsd:restriction base="dms:Text">
          <xsd:maxLength value="255"/>
        </xsd:restriction>
      </xsd:simpleType>
    </xsd:element>
    <xsd:element name="Published_x0020_Standard" ma:index="12" nillable="true" ma:displayName="Published Standard" ma:default="0" ma:description="Field used for filtering standards documents by published versions" ma:internalName="Published_x0020_Standard">
      <xsd:simpleType>
        <xsd:restriction base="dms:Boolean"/>
      </xsd:simpleType>
    </xsd:element>
    <xsd:element name="Standard" ma:index="13" nillable="true" ma:displayName="Standard" ma:default="0" ma:description="Indicates whether this document is a standard. Used to show/hide RFx Template field conditionally." ma:internalName="Standard">
      <xsd:simpleType>
        <xsd:restriction base="dms:Boolean"/>
      </xsd:simple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_dlc_DocIdUrl" ma:index="2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0" nillable="true" ma:displayName="Persist ID" ma:description="Keep ID on add." ma:hidden="true" ma:internalName="_dlc_DocIdPersistId" ma:readOnly="true">
      <xsd:simpleType>
        <xsd:restriction base="dms:Boolean"/>
      </xsd:simpleType>
    </xsd:element>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3" nillable="true" ma:displayName="Shared With Details" ma:internalName="SharedWithDetails" ma:readOnly="true">
      <xsd:simpleType>
        <xsd:restriction base="dms:Note">
          <xsd:maxLength value="255"/>
        </xsd:restriction>
      </xsd:simpleType>
    </xsd:element>
    <xsd:element name="TaxCatchAll" ma:index="39" nillable="true" ma:displayName="Taxonomy Catch All Column" ma:hidden="true" ma:list="{c0877f06-f39c-4d4f-a840-33987f2ff65d}" ma:internalName="TaxCatchAll" ma:showField="CatchAllData" ma:web="b9f97a82-78eb-4dcf-9ca8-84204709301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8687c60-02c7-4e00-8b1e-0a94dbae4ccd" elementFormDefault="qualified">
    <xsd:import namespace="http://schemas.microsoft.com/office/2006/documentManagement/types"/>
    <xsd:import namespace="http://schemas.microsoft.com/office/infopath/2007/PartnerControls"/>
    <xsd:element name="RFx_x0020_Template" ma:index="5" nillable="true" ma:displayName="RFx Template" ma:default="Project-Specific Document" ma:description="Indicates whether the standard is a Core RFx document or Project-Specific document." ma:format="Dropdown" ma:internalName="RFx_x0020_Template">
      <xsd:simpleType>
        <xsd:restriction base="dms:Choice">
          <xsd:enumeration value="No"/>
          <xsd:enumeration value="Project-Specific Document"/>
          <xsd:enumeration value="Core RFx Document"/>
        </xsd:restriction>
      </xsd:simpleType>
    </xsd:element>
    <xsd:element name="_Flow_SignoffStatus" ma:index="9" nillable="true" ma:displayName="Sign-off status" ma:internalName="Sign_x002d_off_x0020_status">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AutoKeyPoints" ma:index="26" nillable="true" ma:displayName="MediaServiceAutoKeyPoints" ma:hidden="true" ma:internalName="MediaServiceAutoKeyPoints" ma:readOnly="true">
      <xsd:simpleType>
        <xsd:restriction base="dms:Note"/>
      </xsd:simpleType>
    </xsd:element>
    <xsd:element name="MediaServiceKeyPoints" ma:index="27" nillable="true" ma:displayName="KeyPoints" ma:internalName="MediaServiceKeyPoints" ma:readOnly="true">
      <xsd:simpleType>
        <xsd:restriction base="dms:Note">
          <xsd:maxLength value="255"/>
        </xsd:restriction>
      </xsd:simpleType>
    </xsd:element>
    <xsd:element name="MediaServiceFastMetadata" ma:index="32" nillable="true" ma:displayName="MediaServiceFastMetadata" ma:hidden="true" ma:internalName="MediaServiceFastMetadata" ma:readOnly="true">
      <xsd:simpleType>
        <xsd:restriction base="dms:Note"/>
      </xsd:simpleType>
    </xsd:element>
    <xsd:element name="MediaServiceMetadata" ma:index="34" nillable="true" ma:displayName="MediaServiceMetadata" ma:hidden="true" ma:internalName="MediaServiceMetadata" ma:readOnly="true">
      <xsd:simpleType>
        <xsd:restriction base="dms:Note"/>
      </xsd:simpleType>
    </xsd:element>
    <xsd:element name="Facilities_x0020_Hosted" ma:index="35" nillable="true" ma:displayName="Facilities Hosted" ma:default="0" ma:description="Indicates if the document is hosted in a Facilities Document Library" ma:internalName="Facilities_x0020_Hosted">
      <xsd:simpleType>
        <xsd:restriction base="dms:Boolean"/>
      </xsd:simpleType>
    </xsd:element>
    <xsd:element name="MediaServiceObjectDetectorVersions" ma:index="36" nillable="true" ma:displayName="MediaServiceObjectDetectorVersions" ma:hidden="true" ma:indexed="true" ma:internalName="MediaServiceObjectDetectorVersions" ma:readOnly="true">
      <xsd:simpleType>
        <xsd:restriction base="dms:Text"/>
      </xsd:simpleType>
    </xsd:element>
    <xsd:element name="lcf76f155ced4ddcb4097134ff3c332f" ma:index="38" nillable="true" ma:taxonomy="true" ma:internalName="lcf76f155ced4ddcb4097134ff3c332f" ma:taxonomyFieldName="MediaServiceImageTags" ma:displayName="Image Tags" ma:readOnly="false" ma:fieldId="{5cf76f15-5ced-4ddc-b409-7134ff3c332f}" ma:taxonomyMulti="true" ma:sspId="18acef41-f8ff-41fa-8cd9-d8818a119714" ma:termSetId="09814cd3-568e-fe90-9814-8d621ff8fb84" ma:anchorId="fba54fb3-c3e1-fe81-a776-ca4b69148c4d" ma:open="true" ma:isKeyword="false">
      <xsd:complexType>
        <xsd:sequence>
          <xsd:element ref="pc:Terms" minOccurs="0" maxOccurs="1"/>
        </xsd:sequence>
      </xsd:complexType>
    </xsd:element>
    <xsd:element name="Rivian_x0020_Facility" ma:index="40" nillable="true" ma:displayName="Rivian Facility" ma:default="All" ma:description="Standard applies to selected Rivian manufacturing facility." ma:format="Dropdown" ma:internalName="Rivian_x0020_Facility">
      <xsd:simpleType>
        <xsd:restriction base="dms:Choice">
          <xsd:enumeration value="Normal, IL"/>
          <xsd:enumeration value="Stanton Springs North, GA"/>
          <xsd:enumeration value="All"/>
        </xsd:restriction>
      </xsd:simpleType>
    </xsd:element>
    <xsd:element name="MediaServiceSearchProperties" ma:index="4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Props1.xml><?xml version="1.0" encoding="utf-8"?>
<ds:datastoreItem xmlns:ds="http://schemas.openxmlformats.org/officeDocument/2006/customXml" ds:itemID="{DE8EAE5A-4FF3-434F-ACC5-7C9F3416F554}">
  <ds:schemaRefs>
    <ds:schemaRef ds:uri="http://schemas.microsoft.com/office/2006/metadata/properties"/>
    <ds:schemaRef ds:uri="http://schemas.microsoft.com/office/infopath/2007/PartnerControls"/>
    <ds:schemaRef ds:uri="b9f97a82-78eb-4dcf-9ca8-84204709301a"/>
    <ds:schemaRef ds:uri="28687c60-02c7-4e00-8b1e-0a94dbae4ccd"/>
    <ds:schemaRef ds:uri="http://schemas.microsoft.com/sharepoint/v3"/>
  </ds:schemaRefs>
</ds:datastoreItem>
</file>

<file path=customXml/itemProps2.xml><?xml version="1.0" encoding="utf-8"?>
<ds:datastoreItem xmlns:ds="http://schemas.openxmlformats.org/officeDocument/2006/customXml" ds:itemID="{50F6033E-F4A8-4748-B156-1A3A37FCD483}">
  <ds:schemaRefs>
    <ds:schemaRef ds:uri="http://schemas.microsoft.com/sharepoint/events"/>
  </ds:schemaRefs>
</ds:datastoreItem>
</file>

<file path=customXml/itemProps3.xml><?xml version="1.0" encoding="utf-8"?>
<ds:datastoreItem xmlns:ds="http://schemas.openxmlformats.org/officeDocument/2006/customXml" ds:itemID="{3C19A910-A218-429F-BBEA-5A71789380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9f97a82-78eb-4dcf-9ca8-84204709301a"/>
    <ds:schemaRef ds:uri="28687c60-02c7-4e00-8b1e-0a94dbae4c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4AC9B7-E987-480D-8942-DBDDDF0D6D84}">
  <ds:schemaRefs>
    <ds:schemaRef ds:uri="http://schemas.microsoft.com/sharepoint/v3/contenttype/forms"/>
  </ds:schemaRefs>
</ds:datastoreItem>
</file>

<file path=customXml/itemProps5.xml><?xml version="1.0" encoding="utf-8"?>
<ds:datastoreItem xmlns:ds="http://schemas.openxmlformats.org/officeDocument/2006/customXml" ds:itemID="{21BB9F36-3495-4A13-AF4F-9713AF53C5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47</vt:i4>
      </vt:variant>
    </vt:vector>
  </HeadingPairs>
  <TitlesOfParts>
    <vt:vector size="58" baseType="lpstr">
      <vt:lpstr>Instructions</vt:lpstr>
      <vt:lpstr>Cover Page</vt:lpstr>
      <vt:lpstr>ISO View</vt:lpstr>
      <vt:lpstr>Cylinder Detail</vt:lpstr>
      <vt:lpstr>Sensor Detail</vt:lpstr>
      <vt:lpstr>Tooling Detail</vt:lpstr>
      <vt:lpstr>Sequence Detail</vt:lpstr>
      <vt:lpstr>Validation</vt:lpstr>
      <vt:lpstr>Template Version History</vt:lpstr>
      <vt:lpstr>EEC_Import</vt:lpstr>
      <vt:lpstr>Dropdown_Lists</vt:lpstr>
      <vt:lpstr>'Sequence Detail'!Actor</vt:lpstr>
      <vt:lpstr>'Sequence Detail'!ActorDescription</vt:lpstr>
      <vt:lpstr>'Sequence Detail'!ActorName</vt:lpstr>
      <vt:lpstr>'Sequence Detail'!ActorType</vt:lpstr>
      <vt:lpstr>'Sequence Detail'!Auxiliar</vt:lpstr>
      <vt:lpstr>'Sequence Detail'!CustomAction</vt:lpstr>
      <vt:lpstr>'Sequence Detail'!CustomDuration</vt:lpstr>
      <vt:lpstr>Date</vt:lpstr>
      <vt:lpstr>'Sequence Detail'!DepID</vt:lpstr>
      <vt:lpstr>DesignStatus</vt:lpstr>
      <vt:lpstr>'Sequence Detail'!Duration</vt:lpstr>
      <vt:lpstr>'Sequence Detail'!End</vt:lpstr>
      <vt:lpstr>'Sequence Detail'!ID</vt:lpstr>
      <vt:lpstr>'Sequence Detail'!IndStart</vt:lpstr>
      <vt:lpstr>Integrator</vt:lpstr>
      <vt:lpstr>IntegratorResponsibleEngineer</vt:lpstr>
      <vt:lpstr>Line</vt:lpstr>
      <vt:lpstr>LineDescription</vt:lpstr>
      <vt:lpstr>ManifoldConnection</vt:lpstr>
      <vt:lpstr>MotionGroupActions</vt:lpstr>
      <vt:lpstr>MotionGroupStatuses</vt:lpstr>
      <vt:lpstr>Motor</vt:lpstr>
      <vt:lpstr>Operators</vt:lpstr>
      <vt:lpstr>'Cover Page'!Print_Area</vt:lpstr>
      <vt:lpstr>'Cylinder Detail'!Print_Area</vt:lpstr>
      <vt:lpstr>Dropdown_Lists!Print_Area</vt:lpstr>
      <vt:lpstr>'ISO View'!Print_Area</vt:lpstr>
      <vt:lpstr>'Sensor Detail'!Print_Area</vt:lpstr>
      <vt:lpstr>'Sequence Detail'!Print_Area</vt:lpstr>
      <vt:lpstr>RivianResponsibleEngineer</vt:lpstr>
      <vt:lpstr>Robots</vt:lpstr>
      <vt:lpstr>'Sequence Detail'!RowType</vt:lpstr>
      <vt:lpstr>SensorGroupStatuses</vt:lpstr>
      <vt:lpstr>'Sensor Detail'!SensorType</vt:lpstr>
      <vt:lpstr>Shop</vt:lpstr>
      <vt:lpstr>'Sequence Detail'!StandardAction</vt:lpstr>
      <vt:lpstr>'Sequence Detail'!StandardDuration</vt:lpstr>
      <vt:lpstr>'Sequence Detail'!Start</vt:lpstr>
      <vt:lpstr>Station</vt:lpstr>
      <vt:lpstr>StationDescription</vt:lpstr>
      <vt:lpstr>'Sequence Detail'!Style</vt:lpstr>
      <vt:lpstr>System</vt:lpstr>
      <vt:lpstr>SystemDescription</vt:lpstr>
      <vt:lpstr>Tool</vt:lpstr>
      <vt:lpstr>ToolDescription</vt:lpstr>
      <vt:lpstr>ToolType</vt:lpstr>
      <vt:lpstr>'Sequence Detail'!ValveName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Rivian Standards Buyoff Checklist Template</dc:title>
  <dc:subject/>
  <dc:creator>Microsoft Office User</dc:creator>
  <cp:keywords/>
  <dc:description/>
  <cp:lastModifiedBy>aaa</cp:lastModifiedBy>
  <cp:revision/>
  <dcterms:created xsi:type="dcterms:W3CDTF">2020-11-17T15:45:15Z</dcterms:created>
  <dcterms:modified xsi:type="dcterms:W3CDTF">2025-06-30T05:27:11Z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519868d-90ac-495b-9a77-a3accd50cde5_Enabled">
    <vt:lpwstr>true</vt:lpwstr>
  </property>
  <property fmtid="{D5CDD505-2E9C-101B-9397-08002B2CF9AE}" pid="3" name="MSIP_Label_8519868d-90ac-495b-9a77-a3accd50cde5_SetDate">
    <vt:lpwstr>2020-11-17T15:45:16Z</vt:lpwstr>
  </property>
  <property fmtid="{D5CDD505-2E9C-101B-9397-08002B2CF9AE}" pid="4" name="MSIP_Label_8519868d-90ac-495b-9a77-a3accd50cde5_Method">
    <vt:lpwstr>Standard</vt:lpwstr>
  </property>
  <property fmtid="{D5CDD505-2E9C-101B-9397-08002B2CF9AE}" pid="5" name="MSIP_Label_8519868d-90ac-495b-9a77-a3accd50cde5_Name">
    <vt:lpwstr>Proprietary</vt:lpwstr>
  </property>
  <property fmtid="{D5CDD505-2E9C-101B-9397-08002B2CF9AE}" pid="6" name="MSIP_Label_8519868d-90ac-495b-9a77-a3accd50cde5_SiteId">
    <vt:lpwstr>f798cb4f-b8b7-45f7-ad25-1ff5f130070a</vt:lpwstr>
  </property>
  <property fmtid="{D5CDD505-2E9C-101B-9397-08002B2CF9AE}" pid="7" name="MSIP_Label_8519868d-90ac-495b-9a77-a3accd50cde5_ActionId">
    <vt:lpwstr>41eced17-e5c2-4889-b50e-5141e054cea6</vt:lpwstr>
  </property>
  <property fmtid="{D5CDD505-2E9C-101B-9397-08002B2CF9AE}" pid="8" name="MSIP_Label_8519868d-90ac-495b-9a77-a3accd50cde5_ContentBits">
    <vt:lpwstr>0</vt:lpwstr>
  </property>
  <property fmtid="{D5CDD505-2E9C-101B-9397-08002B2CF9AE}" pid="9" name="ContentTypeId">
    <vt:lpwstr>0x01010085693B918EAFDF49ACBD49F80A7ACA0D</vt:lpwstr>
  </property>
  <property fmtid="{D5CDD505-2E9C-101B-9397-08002B2CF9AE}" pid="10" name="Order">
    <vt:r8>9715300</vt:r8>
  </property>
  <property fmtid="{D5CDD505-2E9C-101B-9397-08002B2CF9AE}" pid="11" name="xd_Signature">
    <vt:bool>false</vt:bool>
  </property>
  <property fmtid="{D5CDD505-2E9C-101B-9397-08002B2CF9AE}" pid="12" name="xd_ProgID">
    <vt:lpwstr/>
  </property>
  <property fmtid="{D5CDD505-2E9C-101B-9397-08002B2CF9AE}" pid="13" name="ComplianceAssetId">
    <vt:lpwstr/>
  </property>
  <property fmtid="{D5CDD505-2E9C-101B-9397-08002B2CF9AE}" pid="14" name="TemplateUrl">
    <vt:lpwstr/>
  </property>
  <property fmtid="{D5CDD505-2E9C-101B-9397-08002B2CF9AE}" pid="15" name="_ExtendedDescription">
    <vt:lpwstr/>
  </property>
  <property fmtid="{D5CDD505-2E9C-101B-9397-08002B2CF9AE}" pid="16" name="TriggerFlowInfo">
    <vt:lpwstr/>
  </property>
  <property fmtid="{D5CDD505-2E9C-101B-9397-08002B2CF9AE}" pid="17" name="_dlc_DocIdItemGuid">
    <vt:lpwstr>43f197cd-cb8c-4b3d-b006-0466c26beded</vt:lpwstr>
  </property>
  <property fmtid="{D5CDD505-2E9C-101B-9397-08002B2CF9AE}" pid="18" name="MediaServiceImageTags">
    <vt:lpwstr/>
  </property>
</Properties>
</file>